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BOK\Desktop\papers\prism\R&amp;R\code\Q5\"/>
    </mc:Choice>
  </mc:AlternateContent>
  <xr:revisionPtr revIDLastSave="0" documentId="13_ncr:1_{2D563CC2-6C4A-488D-B196-063FD4EFBFD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ed_GDP_now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69" i="1" l="1" a="1"/>
  <c r="A69" i="1" s="1"/>
  <c r="A68" i="1" s="1" a="1"/>
  <c r="A68" i="1" s="1"/>
  <c r="A67" i="1" s="1" a="1"/>
  <c r="A67" i="1" s="1"/>
  <c r="A66" i="1" s="1" a="1"/>
  <c r="A66" i="1" s="1"/>
  <c r="A65" i="1" s="1" a="1"/>
  <c r="A65" i="1" s="1"/>
  <c r="A64" i="1" s="1" a="1"/>
  <c r="A64" i="1" s="1"/>
  <c r="A63" i="1" s="1" a="1"/>
  <c r="A63" i="1" s="1"/>
  <c r="A62" i="1" s="1" a="1"/>
  <c r="A62" i="1" s="1"/>
  <c r="A61" i="1" s="1" a="1"/>
  <c r="A61" i="1" s="1"/>
  <c r="A60" i="1" s="1" a="1"/>
  <c r="A60" i="1" s="1"/>
  <c r="A59" i="1" s="1" a="1"/>
  <c r="A59" i="1" s="1"/>
  <c r="A58" i="1" s="1" a="1"/>
  <c r="A58" i="1" s="1"/>
  <c r="A57" i="1" s="1" a="1"/>
  <c r="A57" i="1" s="1"/>
  <c r="A56" i="1" s="1" a="1"/>
  <c r="A56" i="1" s="1"/>
  <c r="A55" i="1" s="1" a="1"/>
  <c r="A55" i="1" s="1"/>
  <c r="A54" i="1" s="1" a="1"/>
  <c r="A54" i="1" s="1"/>
  <c r="A53" i="1" s="1" a="1"/>
  <c r="A53" i="1" s="1"/>
  <c r="A52" i="1" s="1" a="1"/>
  <c r="A52" i="1" s="1"/>
  <c r="A51" i="1" s="1" a="1"/>
  <c r="A51" i="1" s="1"/>
  <c r="A50" i="1" s="1" a="1"/>
  <c r="A50" i="1" s="1"/>
  <c r="A49" i="1" s="1" a="1"/>
  <c r="A49" i="1" s="1"/>
  <c r="A48" i="1" s="1" a="1"/>
  <c r="A48" i="1" s="1"/>
  <c r="A47" i="1" s="1" a="1"/>
  <c r="A47" i="1" s="1"/>
  <c r="A46" i="1" s="1" a="1"/>
  <c r="A46" i="1" s="1"/>
  <c r="A45" i="1" s="1" a="1"/>
  <c r="A45" i="1" s="1"/>
  <c r="A44" i="1" s="1" a="1"/>
  <c r="A44" i="1" s="1"/>
  <c r="A43" i="1" s="1" a="1"/>
  <c r="A43" i="1" s="1"/>
  <c r="A42" i="1" s="1" a="1"/>
  <c r="A42" i="1" s="1"/>
  <c r="A41" i="1" s="1" a="1"/>
  <c r="A41" i="1" s="1"/>
  <c r="A40" i="1" s="1" a="1"/>
  <c r="A40" i="1" s="1"/>
  <c r="A39" i="1" s="1" a="1"/>
  <c r="A39" i="1" s="1"/>
  <c r="A38" i="1" s="1" a="1"/>
  <c r="A38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<sst xmlns="http://schemas.openxmlformats.org/spreadsheetml/2006/main" count="15" uniqueCount="15">
  <si>
    <t>GDP(SA) True</t>
  </si>
  <si>
    <t>DFM</t>
  </si>
  <si>
    <t>BEM1</t>
  </si>
  <si>
    <t>BEM2</t>
  </si>
  <si>
    <t>BEM3</t>
  </si>
  <si>
    <t>LBVAR</t>
  </si>
  <si>
    <t>TFM</t>
  </si>
  <si>
    <t>T-M</t>
  </si>
  <si>
    <t>VAR</t>
  </si>
  <si>
    <t>SVR-KNN</t>
  </si>
  <si>
    <t>CRNN</t>
  </si>
  <si>
    <t>RF-DVS</t>
  </si>
  <si>
    <t>S-XGB</t>
  </si>
  <si>
    <t>LQR</t>
  </si>
  <si>
    <t>OptimARIMA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</si>
</sst>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0"/>
  </numFmts>
  <fonts count="2" x14ac:knownFonts="1">
    <font>
      <sz val="10"/>
      <color indexed="8"/>
      <name val="맑은 고딕"/>
    </font>
    <font>
      <sz val="8"/>
      <name val="돋움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/>
      <top style="thin">
        <color indexed="10"/>
      </top>
      <bottom/>
      <diagonal/>
    </border>
    <border>
      <left/>
      <right/>
      <top style="thin">
        <color indexed="10"/>
      </top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/>
      <bottom/>
      <diagonal/>
    </border>
    <border>
      <left/>
      <right/>
      <top/>
      <bottom/>
      <diagonal/>
    </border>
    <border>
      <left/>
      <right style="thin">
        <color indexed="10"/>
      </right>
      <top/>
      <bottom style="thin">
        <color indexed="10"/>
      </bottom>
      <diagonal/>
    </border>
  </borders>
  <cellStyleXfs count="1">
    <xf numFmtId="0" fontId="0" fillId="0" borderId="0" applyNumberFormat="0" applyFill="0" applyBorder="0" applyProtection="0"/>
  </cellStyleXfs>
  <cellXfs count="17">
    <xf numFmtId="0" fontId="0" fillId="0" borderId="0" xfId="0" applyFont="1" applyAlignment="1"/>
    <xf numFmtId="0" fontId="0" fillId="0" borderId="0" xfId="0" applyNumberFormat="1" applyFont="1" applyAlignment="1"/>
    <xf numFmtId="0" fontId="0" fillId="2" borderId="1" xfId="0" applyFont="1" applyFill="1" applyBorder="1" applyAlignment="1"/>
    <xf numFmtId="49" fontId="0" fillId="3" borderId="2" xfId="0" applyNumberFormat="1" applyFont="1" applyFill="1" applyBorder="1" applyAlignment="1"/>
    <xf numFmtId="49" fontId="0" fillId="4" borderId="3" xfId="0" applyNumberFormat="1" applyFont="1" applyFill="1" applyBorder="1" applyAlignment="1"/>
    <xf numFmtId="49" fontId="0" fillId="4" borderId="4" xfId="0" applyNumberFormat="1" applyFont="1" applyFill="1" applyBorder="1" applyAlignment="1"/>
    <xf numFmtId="0" fontId="0" fillId="4" borderId="4" xfId="0" applyFont="1" applyFill="1" applyBorder="1" applyAlignment="1"/>
    <xf numFmtId="14" fontId="0" fillId="2" borderId="5" xfId="0" applyNumberFormat="1" applyFont="1" applyFill="1" applyBorder="1" applyAlignment="1"/>
    <xf numFmtId="0" fontId="0" fillId="3" borderId="6" xfId="0" applyNumberFormat="1" applyFont="1" applyFill="1" applyBorder="1" applyAlignment="1"/>
    <xf numFmtId="0" fontId="0" fillId="4" borderId="3" xfId="0" applyFont="1" applyFill="1" applyBorder="1" applyAlignment="1"/>
    <xf numFmtId="0" fontId="0" fillId="4" borderId="4" xfId="0" applyNumberFormat="1" applyFont="1" applyFill="1" applyBorder="1" applyAlignment="1"/>
    <xf numFmtId="176" fontId="0" fillId="4" borderId="3" xfId="0" applyNumberFormat="1" applyFont="1" applyFill="1" applyBorder="1" applyAlignment="1"/>
    <xf numFmtId="176" fontId="0" fillId="4" borderId="4" xfId="0" applyNumberFormat="1" applyFont="1" applyFill="1" applyBorder="1" applyAlignment="1"/>
    <xf numFmtId="0" fontId="0" fillId="4" borderId="7" xfId="0" applyNumberFormat="1" applyFont="1" applyFill="1" applyBorder="1" applyAlignment="1"/>
    <xf numFmtId="0" fontId="0" fillId="4" borderId="3" xfId="0" applyNumberFormat="1" applyFont="1" applyFill="1" applyBorder="1" applyAlignment="1"/>
    <xf numFmtId="0" fontId="0" fillId="0" borderId="0" xfId="0" applyNumberFormat="1" applyFont="1" applyAlignment="1"/>
    <xf numFmtId="0" fontId="0" fillId="0" borderId="4" xfId="0" applyFont="1" applyBorder="1" applyAlignment="1"/>
  </cellXfs>
  <cellStyles count="1">
    <cellStyle name="표준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C9DAF8"/>
      <rgbColor rgb="FFAAAAAA"/>
      <rgbColor rgb="FFEFEFEF"/>
      <rgbColor rgb="FFFFFF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 테마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테마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테마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0"/>
  <sheetViews>
    <sheetView showGridLines="0" tabSelected="1" topLeftCell="A55" workbookViewId="0">
      <selection activeCell="M70" sqref="M70"/>
    </sheetView>
  </sheetViews>
  <sheetFormatPr defaultColWidth="12.5546875" defaultRowHeight="15.75" customHeight="1" x14ac:dyDescent="0.35"/>
  <cols>
    <col min="1" max="27" width="12.5546875" style="1" customWidth="1"/>
    <col min="28" max="16384" width="12.5546875" style="1"/>
  </cols>
  <sheetData>
    <row r="1" spans="1:26" ht="15.6" customHeight="1" x14ac:dyDescent="0.35">
      <c r="A1" s="2"/>
      <c r="B1" s="3" t="s">
        <v>0</v>
      </c>
      <c r="C1" s="4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ht="15.6" customHeight="1" x14ac:dyDescent="0.35">
      <c r="A2" s="7">
        <v>39142</v>
      </c>
      <c r="B2" s="8">
        <v>1.8</v>
      </c>
      <c r="C2" s="9"/>
      <c r="D2" s="10">
        <v>1.04850396456957</v>
      </c>
      <c r="E2" s="10">
        <v>1.11859909539671</v>
      </c>
      <c r="F2" s="6"/>
      <c r="G2" s="6"/>
      <c r="H2" s="6"/>
      <c r="I2" s="6"/>
      <c r="J2" s="6"/>
      <c r="K2" s="10">
        <v>1.6376398183967</v>
      </c>
      <c r="L2" s="6"/>
      <c r="M2" s="10">
        <v>1.3805339118664199</v>
      </c>
      <c r="N2" s="10">
        <v>1.3003065586090099</v>
      </c>
      <c r="O2" s="10">
        <v>1.1019913657412199</v>
      </c>
      <c r="P2" s="10">
        <v>3.18772810423871</v>
      </c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5.6" customHeight="1" x14ac:dyDescent="0.35">
      <c r="A3" s="7">
        <v>39234</v>
      </c>
      <c r="B3" s="8">
        <v>1.7</v>
      </c>
      <c r="C3" s="9"/>
      <c r="D3" s="10">
        <v>1.4101225660583701</v>
      </c>
      <c r="E3" s="10">
        <v>1.10731096588754</v>
      </c>
      <c r="F3" s="6"/>
      <c r="G3" s="6"/>
      <c r="H3" s="6"/>
      <c r="I3" s="6"/>
      <c r="J3" s="6"/>
      <c r="K3" s="10">
        <v>1.3036866294917699</v>
      </c>
      <c r="L3" s="6"/>
      <c r="M3" s="10">
        <v>1.38992504038626</v>
      </c>
      <c r="N3" s="10">
        <v>1.34529149532318</v>
      </c>
      <c r="O3" s="10">
        <v>0.74539514069824497</v>
      </c>
      <c r="P3" s="10">
        <v>1.52310061250387</v>
      </c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.6" customHeight="1" x14ac:dyDescent="0.35">
      <c r="A4" s="7">
        <v>39326</v>
      </c>
      <c r="B4" s="8">
        <v>1.2</v>
      </c>
      <c r="C4" s="9"/>
      <c r="D4" s="10">
        <v>1.1866527349203799</v>
      </c>
      <c r="E4" s="10">
        <v>1.1438283919577701</v>
      </c>
      <c r="F4" s="6"/>
      <c r="G4" s="6"/>
      <c r="H4" s="6"/>
      <c r="I4" s="6"/>
      <c r="J4" s="6"/>
      <c r="K4" s="10">
        <v>1.29238477392337</v>
      </c>
      <c r="L4" s="6"/>
      <c r="M4" s="10">
        <v>1.17288451790564</v>
      </c>
      <c r="N4" s="10">
        <v>1.38642477989197</v>
      </c>
      <c r="O4" s="10">
        <v>0.95089590389864997</v>
      </c>
      <c r="P4" s="10">
        <v>1.09815840238468</v>
      </c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5.6" customHeight="1" x14ac:dyDescent="0.35">
      <c r="A5" s="7">
        <v>39417</v>
      </c>
      <c r="B5" s="8">
        <v>2</v>
      </c>
      <c r="C5" s="9"/>
      <c r="D5" s="10">
        <v>1.0176757475571601</v>
      </c>
      <c r="E5" s="10">
        <v>0.92840886012961499</v>
      </c>
      <c r="F5" s="6"/>
      <c r="G5" s="6"/>
      <c r="H5" s="6"/>
      <c r="I5" s="6"/>
      <c r="J5" s="6"/>
      <c r="K5" s="10">
        <v>1.34131183522435</v>
      </c>
      <c r="L5" s="6"/>
      <c r="M5" s="10">
        <v>1.0484643965524501</v>
      </c>
      <c r="N5" s="10">
        <v>1.3644819259643599</v>
      </c>
      <c r="O5" s="10">
        <v>2.5942174291014202</v>
      </c>
      <c r="P5" s="10">
        <v>1.44545012583067</v>
      </c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5.6" customHeight="1" x14ac:dyDescent="0.35">
      <c r="A6" s="7">
        <v>39508</v>
      </c>
      <c r="B6" s="8">
        <v>0.8</v>
      </c>
      <c r="C6" s="9"/>
      <c r="D6" s="10">
        <v>1.19474019677082</v>
      </c>
      <c r="E6" s="10">
        <v>1.24565759081232</v>
      </c>
      <c r="F6" s="6"/>
      <c r="G6" s="6"/>
      <c r="H6" s="6"/>
      <c r="I6" s="6"/>
      <c r="J6" s="6"/>
      <c r="K6" s="10">
        <v>1.04577682730954</v>
      </c>
      <c r="L6" s="6"/>
      <c r="M6" s="10">
        <v>1.5564030079067199</v>
      </c>
      <c r="N6" s="10">
        <v>1.4444938898086599</v>
      </c>
      <c r="O6" s="10">
        <v>1.19610491223947</v>
      </c>
      <c r="P6" s="10">
        <v>1.06118232929756</v>
      </c>
      <c r="Q6" s="6"/>
      <c r="R6" s="6"/>
      <c r="S6" s="6"/>
      <c r="T6" s="6"/>
      <c r="U6" s="6"/>
      <c r="V6" s="6"/>
      <c r="W6" s="6"/>
      <c r="X6" s="6"/>
      <c r="Y6" s="6"/>
      <c r="Z6" s="6"/>
    </row>
    <row r="7" spans="1:26" ht="15.6" customHeight="1" x14ac:dyDescent="0.35">
      <c r="A7" s="7">
        <v>39600</v>
      </c>
      <c r="B7" s="8">
        <v>0.4</v>
      </c>
      <c r="C7" s="9"/>
      <c r="D7" s="10">
        <v>0.64868950959713301</v>
      </c>
      <c r="E7" s="10">
        <v>0.69556961792773797</v>
      </c>
      <c r="F7" s="6"/>
      <c r="G7" s="6"/>
      <c r="H7" s="6"/>
      <c r="I7" s="6"/>
      <c r="J7" s="6"/>
      <c r="K7" s="10">
        <v>1.39104007927076</v>
      </c>
      <c r="L7" s="6"/>
      <c r="M7" s="10">
        <v>0.82049323663713303</v>
      </c>
      <c r="N7" s="10">
        <v>1.36721467971802</v>
      </c>
      <c r="O7" s="10">
        <v>1.4113269844507099</v>
      </c>
      <c r="P7" s="10">
        <v>2.42874573375722</v>
      </c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5.6" customHeight="1" x14ac:dyDescent="0.35">
      <c r="A8" s="7">
        <v>39692</v>
      </c>
      <c r="B8" s="8">
        <v>0.7</v>
      </c>
      <c r="C8" s="9"/>
      <c r="D8" s="10">
        <v>1.1391835693801899</v>
      </c>
      <c r="E8" s="10">
        <v>0.93274087488595103</v>
      </c>
      <c r="F8" s="6"/>
      <c r="G8" s="6"/>
      <c r="H8" s="6"/>
      <c r="I8" s="6"/>
      <c r="J8" s="6"/>
      <c r="K8" s="10">
        <v>1.0273118612727301</v>
      </c>
      <c r="L8" s="6"/>
      <c r="M8" s="10">
        <v>1.0254845842996001</v>
      </c>
      <c r="N8" s="10">
        <v>1.3194888830184901</v>
      </c>
      <c r="O8" s="10">
        <v>0.204281684299053</v>
      </c>
      <c r="P8" s="10">
        <v>2.14285967887449</v>
      </c>
      <c r="Q8" s="6"/>
      <c r="R8" s="6"/>
      <c r="S8" s="6"/>
      <c r="T8" s="6"/>
      <c r="U8" s="6"/>
      <c r="V8" s="6"/>
      <c r="W8" s="6"/>
      <c r="X8" s="6"/>
      <c r="Y8" s="6"/>
      <c r="Z8" s="6"/>
    </row>
    <row r="9" spans="1:26" ht="15.6" customHeight="1" x14ac:dyDescent="0.35">
      <c r="A9" s="7">
        <v>39783</v>
      </c>
      <c r="B9" s="8">
        <v>-3.4</v>
      </c>
      <c r="C9" s="9"/>
      <c r="D9" s="10">
        <v>1.0015323860599801</v>
      </c>
      <c r="E9" s="10">
        <v>1.40106161205491</v>
      </c>
      <c r="F9" s="6"/>
      <c r="G9" s="6"/>
      <c r="H9" s="6"/>
      <c r="I9" s="6"/>
      <c r="J9" s="6"/>
      <c r="K9" s="10">
        <v>0.386686348559166</v>
      </c>
      <c r="L9" s="6"/>
      <c r="M9" s="10">
        <v>0.70541630860779603</v>
      </c>
      <c r="N9" s="10">
        <v>1.2847210168838501</v>
      </c>
      <c r="O9" s="10">
        <v>-4.5791404990967397</v>
      </c>
      <c r="P9" s="10">
        <v>-1.8814784012138499</v>
      </c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5.6" customHeight="1" x14ac:dyDescent="0.35">
      <c r="A10" s="7">
        <v>39873</v>
      </c>
      <c r="B10" s="8">
        <v>0.3</v>
      </c>
      <c r="C10" s="9"/>
      <c r="D10" s="10">
        <v>0.81367566878487496</v>
      </c>
      <c r="E10" s="10">
        <v>3.5150608504238798</v>
      </c>
      <c r="F10" s="6"/>
      <c r="G10" s="6"/>
      <c r="H10" s="6"/>
      <c r="I10" s="6"/>
      <c r="J10" s="6"/>
      <c r="K10" s="10">
        <v>0.134462437555666</v>
      </c>
      <c r="L10" s="6"/>
      <c r="M10" s="10">
        <v>0.364238146962025</v>
      </c>
      <c r="N10" s="10">
        <v>0.15965162217616999</v>
      </c>
      <c r="O10" s="10">
        <v>-0.35120519708786702</v>
      </c>
      <c r="P10" s="10">
        <v>0.460651372040984</v>
      </c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.6" customHeight="1" x14ac:dyDescent="0.35">
      <c r="A11" s="7">
        <v>39965</v>
      </c>
      <c r="B11" s="8">
        <v>1.4</v>
      </c>
      <c r="C11" s="9"/>
      <c r="D11" s="10">
        <v>3.7425846832068301</v>
      </c>
      <c r="E11" s="10">
        <v>1.89062784878455</v>
      </c>
      <c r="F11" s="6"/>
      <c r="G11" s="6"/>
      <c r="H11" s="6"/>
      <c r="I11" s="6"/>
      <c r="J11" s="6"/>
      <c r="K11" s="10">
        <v>2.4907174871255999</v>
      </c>
      <c r="L11" s="6"/>
      <c r="M11" s="10">
        <v>1.4522384869716001</v>
      </c>
      <c r="N11" s="10">
        <v>1.2717133760452299</v>
      </c>
      <c r="O11" s="10">
        <v>2.37905556613459</v>
      </c>
      <c r="P11" s="10">
        <v>3.0218193611764299</v>
      </c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.6" customHeight="1" x14ac:dyDescent="0.35">
      <c r="A12" s="7">
        <v>40057</v>
      </c>
      <c r="B12" s="8">
        <v>3.1</v>
      </c>
      <c r="C12" s="9"/>
      <c r="D12" s="10">
        <v>3.4755381107334702</v>
      </c>
      <c r="E12" s="10">
        <v>1.90142731115159</v>
      </c>
      <c r="F12" s="6"/>
      <c r="G12" s="6"/>
      <c r="H12" s="6"/>
      <c r="I12" s="6"/>
      <c r="J12" s="6"/>
      <c r="K12" s="10">
        <v>1.7312035897128699</v>
      </c>
      <c r="L12" s="6"/>
      <c r="M12" s="10">
        <v>1.3394018610306599</v>
      </c>
      <c r="N12" s="10">
        <v>1.2703278064727801</v>
      </c>
      <c r="O12" s="10">
        <v>1.1996163617120501</v>
      </c>
      <c r="P12" s="10">
        <v>1.75688389458901</v>
      </c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5.6" customHeight="1" x14ac:dyDescent="0.35">
      <c r="A13" s="7">
        <v>40148</v>
      </c>
      <c r="B13" s="8">
        <v>0.7</v>
      </c>
      <c r="C13" s="9"/>
      <c r="D13" s="10">
        <v>3.1672885573845702</v>
      </c>
      <c r="E13" s="10">
        <v>3.2175471089665599</v>
      </c>
      <c r="F13" s="6"/>
      <c r="G13" s="6"/>
      <c r="H13" s="6"/>
      <c r="I13" s="6"/>
      <c r="J13" s="6"/>
      <c r="K13" s="10">
        <v>1.99359727379095</v>
      </c>
      <c r="L13" s="6"/>
      <c r="M13" s="10">
        <v>1.84206446652314</v>
      </c>
      <c r="N13" s="10">
        <v>1.36756038665772</v>
      </c>
      <c r="O13" s="10">
        <v>0.72123798808750095</v>
      </c>
      <c r="P13" s="10">
        <v>1.4138470521027799</v>
      </c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5.6" customHeight="1" x14ac:dyDescent="0.35">
      <c r="A14" s="7">
        <v>40238</v>
      </c>
      <c r="B14" s="8">
        <v>2.2999999999999998</v>
      </c>
      <c r="C14" s="9"/>
      <c r="D14" s="10">
        <v>2.3588161281606901</v>
      </c>
      <c r="E14" s="10">
        <v>1.4992842491732701</v>
      </c>
      <c r="F14" s="6"/>
      <c r="G14" s="6"/>
      <c r="H14" s="6"/>
      <c r="I14" s="6"/>
      <c r="J14" s="6"/>
      <c r="K14" s="10">
        <v>1.73651405910934</v>
      </c>
      <c r="L14" s="6"/>
      <c r="M14" s="10">
        <v>1.23007823643363</v>
      </c>
      <c r="N14" s="10">
        <v>1.34926605224609</v>
      </c>
      <c r="O14" s="10">
        <v>0.54546543492800503</v>
      </c>
      <c r="P14" s="10">
        <v>2.0529230646932302</v>
      </c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.6" customHeight="1" x14ac:dyDescent="0.35">
      <c r="A15" s="7">
        <v>40330</v>
      </c>
      <c r="B15" s="8">
        <v>1.6</v>
      </c>
      <c r="C15" s="9"/>
      <c r="D15" s="10">
        <v>2.1329528801302899</v>
      </c>
      <c r="E15" s="10">
        <v>1.70690076263185</v>
      </c>
      <c r="F15" s="6"/>
      <c r="G15" s="6"/>
      <c r="H15" s="6"/>
      <c r="I15" s="6"/>
      <c r="J15" s="6"/>
      <c r="K15" s="10">
        <v>1.5411940519812799</v>
      </c>
      <c r="L15" s="6"/>
      <c r="M15" s="10">
        <v>1.39470755825413</v>
      </c>
      <c r="N15" s="10">
        <v>0.94549232721328702</v>
      </c>
      <c r="O15" s="10">
        <v>2.1155103644315401</v>
      </c>
      <c r="P15" s="10">
        <v>2.1722120927338602</v>
      </c>
      <c r="Q15" s="6"/>
      <c r="R15" s="6"/>
      <c r="S15" s="6"/>
      <c r="T15" s="6"/>
      <c r="U15" s="6"/>
      <c r="V15" s="6"/>
      <c r="W15" s="6"/>
      <c r="X15" s="6"/>
      <c r="Y15" s="6"/>
      <c r="Z15" s="6"/>
    </row>
    <row r="16" spans="1:26" ht="15.6" customHeight="1" x14ac:dyDescent="0.35">
      <c r="A16" s="7">
        <v>40422</v>
      </c>
      <c r="B16" s="8">
        <v>1</v>
      </c>
      <c r="C16" s="9"/>
      <c r="D16" s="10">
        <v>1.3204276615835999</v>
      </c>
      <c r="E16" s="10">
        <v>1.3183401784486299</v>
      </c>
      <c r="F16" s="6"/>
      <c r="G16" s="6"/>
      <c r="H16" s="6"/>
      <c r="I16" s="6"/>
      <c r="J16" s="6"/>
      <c r="K16" s="10">
        <v>1.60352820963149</v>
      </c>
      <c r="L16" s="6"/>
      <c r="M16" s="10">
        <v>1.48332186690792</v>
      </c>
      <c r="N16" s="10">
        <v>1.5210446119308501</v>
      </c>
      <c r="O16" s="10">
        <v>0.32820360341676003</v>
      </c>
      <c r="P16" s="10">
        <v>0.49221941634093702</v>
      </c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26" ht="15.6" customHeight="1" x14ac:dyDescent="0.35">
      <c r="A17" s="7">
        <v>40513</v>
      </c>
      <c r="B17" s="8">
        <v>1.4</v>
      </c>
      <c r="C17" s="9"/>
      <c r="D17" s="10">
        <v>1.25447873344893</v>
      </c>
      <c r="E17" s="10">
        <v>1.3306951817782</v>
      </c>
      <c r="F17" s="6"/>
      <c r="G17" s="6"/>
      <c r="H17" s="6"/>
      <c r="I17" s="6"/>
      <c r="J17" s="6"/>
      <c r="K17" s="10">
        <v>1.47458731618335</v>
      </c>
      <c r="L17" s="6"/>
      <c r="M17" s="10">
        <v>1.3243121576672501</v>
      </c>
      <c r="N17" s="10">
        <v>1.2558135986328101</v>
      </c>
      <c r="O17" s="10">
        <v>1.51048755730707</v>
      </c>
      <c r="P17" s="10">
        <v>1.18442965272701</v>
      </c>
      <c r="Q17" s="6"/>
      <c r="R17" s="6"/>
      <c r="S17" s="6"/>
      <c r="T17" s="6"/>
      <c r="U17" s="6"/>
      <c r="V17" s="6"/>
      <c r="W17" s="6"/>
      <c r="X17" s="6"/>
      <c r="Y17" s="6"/>
      <c r="Z17" s="6"/>
    </row>
    <row r="18" spans="1:26" ht="15.6" customHeight="1" x14ac:dyDescent="0.35">
      <c r="A18" s="7">
        <v>40603</v>
      </c>
      <c r="B18" s="8">
        <v>1</v>
      </c>
      <c r="C18" s="9"/>
      <c r="D18" s="10">
        <v>1.5218487392653299</v>
      </c>
      <c r="E18" s="10">
        <v>1.1108804593577699</v>
      </c>
      <c r="F18" s="6"/>
      <c r="G18" s="6"/>
      <c r="H18" s="6"/>
      <c r="I18" s="6"/>
      <c r="J18" s="6"/>
      <c r="K18" s="10">
        <v>1.2773260300591001</v>
      </c>
      <c r="L18" s="6"/>
      <c r="M18" s="10">
        <v>1.7906549672819101</v>
      </c>
      <c r="N18" s="10">
        <v>0.97791898250579801</v>
      </c>
      <c r="O18" s="10">
        <v>1.35320696258644</v>
      </c>
      <c r="P18" s="10">
        <v>2.8285237114781001</v>
      </c>
      <c r="Q18" s="6"/>
      <c r="R18" s="6"/>
      <c r="S18" s="6"/>
      <c r="T18" s="6"/>
      <c r="U18" s="6"/>
      <c r="V18" s="6"/>
      <c r="W18" s="6"/>
      <c r="X18" s="6"/>
      <c r="Y18" s="6"/>
      <c r="Z18" s="6"/>
    </row>
    <row r="19" spans="1:26" ht="15.6" customHeight="1" x14ac:dyDescent="0.35">
      <c r="A19" s="7">
        <v>40695</v>
      </c>
      <c r="B19" s="8">
        <v>0.4</v>
      </c>
      <c r="C19" s="9"/>
      <c r="D19" s="10">
        <v>1.1107604898205301</v>
      </c>
      <c r="E19" s="10">
        <v>0.84021940586538302</v>
      </c>
      <c r="F19" s="6"/>
      <c r="G19" s="6"/>
      <c r="H19" s="6"/>
      <c r="I19" s="6"/>
      <c r="J19" s="6"/>
      <c r="K19" s="10">
        <v>1.21595718366695</v>
      </c>
      <c r="L19" s="6"/>
      <c r="M19" s="10">
        <v>1.09112361526294</v>
      </c>
      <c r="N19" s="10">
        <v>0.96934199333190896</v>
      </c>
      <c r="O19" s="10">
        <v>0.22600506046583499</v>
      </c>
      <c r="P19" s="10">
        <v>1.91370554300786</v>
      </c>
      <c r="Q19" s="6"/>
      <c r="R19" s="6"/>
      <c r="S19" s="6"/>
      <c r="T19" s="6"/>
      <c r="U19" s="6"/>
      <c r="V19" s="6"/>
      <c r="W19" s="6"/>
      <c r="X19" s="6"/>
      <c r="Y19" s="6"/>
      <c r="Z19" s="6"/>
    </row>
    <row r="20" spans="1:26" ht="15.6" customHeight="1" x14ac:dyDescent="0.35">
      <c r="A20" s="7">
        <v>40787</v>
      </c>
      <c r="B20" s="8">
        <v>0.5</v>
      </c>
      <c r="C20" s="9"/>
      <c r="D20" s="10">
        <v>1.1475603301814601</v>
      </c>
      <c r="E20" s="10">
        <v>1.0849061704755401</v>
      </c>
      <c r="F20" s="6"/>
      <c r="G20" s="6"/>
      <c r="H20" s="6"/>
      <c r="I20" s="6"/>
      <c r="J20" s="6"/>
      <c r="K20" s="10">
        <v>1.40235944840022</v>
      </c>
      <c r="L20" s="6"/>
      <c r="M20" s="10">
        <v>0.90094936071611798</v>
      </c>
      <c r="N20" s="10">
        <v>0.86733627319335904</v>
      </c>
      <c r="O20" s="10">
        <v>0.39102209948123501</v>
      </c>
      <c r="P20" s="10">
        <v>1.1442332745003001</v>
      </c>
      <c r="Q20" s="6"/>
      <c r="R20" s="6"/>
      <c r="S20" s="6"/>
      <c r="T20" s="6"/>
      <c r="U20" s="6"/>
      <c r="V20" s="6"/>
      <c r="W20" s="6"/>
      <c r="X20" s="6"/>
      <c r="Y20" s="6"/>
      <c r="Z20" s="6"/>
    </row>
    <row r="21" spans="1:26" ht="15.6" customHeight="1" x14ac:dyDescent="0.35">
      <c r="A21" s="7">
        <v>40878</v>
      </c>
      <c r="B21" s="8">
        <v>0.7</v>
      </c>
      <c r="C21" s="9"/>
      <c r="D21" s="10">
        <v>1.05471969393758</v>
      </c>
      <c r="E21" s="10">
        <v>1.0190713100003601</v>
      </c>
      <c r="F21" s="6"/>
      <c r="G21" s="6"/>
      <c r="H21" s="6"/>
      <c r="I21" s="6"/>
      <c r="J21" s="6"/>
      <c r="K21" s="10">
        <v>0.29970111837392799</v>
      </c>
      <c r="L21" s="6"/>
      <c r="M21" s="10">
        <v>0.99284893332142898</v>
      </c>
      <c r="N21" s="10">
        <v>0.97809618711471602</v>
      </c>
      <c r="O21" s="10">
        <v>-3.21882990547879E-2</v>
      </c>
      <c r="P21" s="10">
        <v>4.50775969471841E-2</v>
      </c>
      <c r="Q21" s="6"/>
      <c r="R21" s="6"/>
      <c r="S21" s="6"/>
      <c r="T21" s="6"/>
      <c r="U21" s="6"/>
      <c r="V21" s="6"/>
      <c r="W21" s="6"/>
      <c r="X21" s="6"/>
      <c r="Y21" s="6"/>
      <c r="Z21" s="6"/>
    </row>
    <row r="22" spans="1:26" ht="15.6" customHeight="1" x14ac:dyDescent="0.35">
      <c r="A22" s="7">
        <v>40969</v>
      </c>
      <c r="B22" s="8">
        <v>1</v>
      </c>
      <c r="C22" s="9"/>
      <c r="D22" s="10">
        <v>1.39190089707135</v>
      </c>
      <c r="E22" s="10">
        <v>1.29880557730306</v>
      </c>
      <c r="F22" s="6"/>
      <c r="G22" s="6"/>
      <c r="H22" s="6"/>
      <c r="I22" s="6"/>
      <c r="J22" s="6"/>
      <c r="K22" s="10">
        <v>1.7971592086649399</v>
      </c>
      <c r="L22" s="6"/>
      <c r="M22" s="10">
        <v>0.68172786435725796</v>
      </c>
      <c r="N22" s="10">
        <v>0.62495523691177401</v>
      </c>
      <c r="O22" s="10">
        <v>0.50450795142550398</v>
      </c>
      <c r="P22" s="10">
        <v>0.90044341135879502</v>
      </c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5.6" customHeight="1" x14ac:dyDescent="0.35">
      <c r="A23" s="7">
        <v>41061</v>
      </c>
      <c r="B23" s="8">
        <v>0.4</v>
      </c>
      <c r="C23" s="9"/>
      <c r="D23" s="10">
        <v>1.3215173275618499</v>
      </c>
      <c r="E23" s="10">
        <v>1.1764390953633399</v>
      </c>
      <c r="F23" s="6"/>
      <c r="G23" s="6"/>
      <c r="H23" s="6"/>
      <c r="I23" s="6"/>
      <c r="J23" s="6"/>
      <c r="K23" s="10">
        <v>0.75956041822899001</v>
      </c>
      <c r="L23" s="6"/>
      <c r="M23" s="10">
        <v>0.50955803612103601</v>
      </c>
      <c r="N23" s="10">
        <v>0.64289474487304699</v>
      </c>
      <c r="O23" s="10">
        <v>3.0033694588323299E-2</v>
      </c>
      <c r="P23" s="10">
        <v>-2.9039888514606399E-2</v>
      </c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5.6" customHeight="1" x14ac:dyDescent="0.35">
      <c r="A24" s="7">
        <v>41153</v>
      </c>
      <c r="B24" s="8">
        <v>0.4</v>
      </c>
      <c r="C24" s="9"/>
      <c r="D24" s="10">
        <v>1.0029829101766199</v>
      </c>
      <c r="E24" s="10">
        <v>1.1585045123595701</v>
      </c>
      <c r="F24" s="6"/>
      <c r="G24" s="6"/>
      <c r="H24" s="6"/>
      <c r="I24" s="6"/>
      <c r="J24" s="6"/>
      <c r="K24" s="10">
        <v>0.541200350417682</v>
      </c>
      <c r="L24" s="6"/>
      <c r="M24" s="10">
        <v>0.671068512780846</v>
      </c>
      <c r="N24" s="10">
        <v>0.63619804382324197</v>
      </c>
      <c r="O24" s="10">
        <v>-0.138502433414881</v>
      </c>
      <c r="P24" s="10">
        <v>0.31980698869129298</v>
      </c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5.6" customHeight="1" x14ac:dyDescent="0.35">
      <c r="A25" s="7">
        <v>41244</v>
      </c>
      <c r="B25" s="8">
        <v>0.7</v>
      </c>
      <c r="C25" s="9"/>
      <c r="D25" s="10">
        <v>1.5721805454003199</v>
      </c>
      <c r="E25" s="10">
        <v>1.4749883870857501</v>
      </c>
      <c r="F25" s="6"/>
      <c r="G25" s="6"/>
      <c r="H25" s="6"/>
      <c r="I25" s="6"/>
      <c r="J25" s="6"/>
      <c r="K25" s="10">
        <v>0.82322217791644203</v>
      </c>
      <c r="L25" s="6"/>
      <c r="M25" s="10">
        <v>0.56261411691928498</v>
      </c>
      <c r="N25" s="10">
        <v>0.64412915706634499</v>
      </c>
      <c r="O25" s="10">
        <v>0.40341543933123802</v>
      </c>
      <c r="P25" s="10">
        <v>0.79320747541659098</v>
      </c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5.6" customHeight="1" x14ac:dyDescent="0.35">
      <c r="A26" s="7">
        <v>41334</v>
      </c>
      <c r="B26" s="8">
        <v>0.8</v>
      </c>
      <c r="C26" s="9"/>
      <c r="D26" s="10">
        <v>1.71553161627838</v>
      </c>
      <c r="E26" s="10">
        <v>1.1576553314798199</v>
      </c>
      <c r="F26" s="6"/>
      <c r="G26" s="6"/>
      <c r="H26" s="6"/>
      <c r="I26" s="6"/>
      <c r="J26" s="6"/>
      <c r="K26" s="10">
        <v>0.89041797094394304</v>
      </c>
      <c r="L26" s="6"/>
      <c r="M26" s="10">
        <v>1.37940630156164</v>
      </c>
      <c r="N26" s="10">
        <v>1.2255744934082</v>
      </c>
      <c r="O26" s="10">
        <v>0.534048550993798</v>
      </c>
      <c r="P26" s="10">
        <v>0.97084740265198599</v>
      </c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5.6" customHeight="1" x14ac:dyDescent="0.35">
      <c r="A27" s="7">
        <v>41426</v>
      </c>
      <c r="B27" s="8">
        <v>1.1000000000000001</v>
      </c>
      <c r="C27" s="9"/>
      <c r="D27" s="10">
        <v>1.2120206035010701</v>
      </c>
      <c r="E27" s="10">
        <v>1.2825566373619399</v>
      </c>
      <c r="F27" s="6"/>
      <c r="G27" s="6"/>
      <c r="H27" s="6"/>
      <c r="I27" s="6"/>
      <c r="J27" s="6"/>
      <c r="K27" s="10">
        <v>0.70997990639620001</v>
      </c>
      <c r="L27" s="6"/>
      <c r="M27" s="10">
        <v>0.75155327522184101</v>
      </c>
      <c r="N27" s="10">
        <v>1.43074238300324</v>
      </c>
      <c r="O27" s="10">
        <v>0.17427729767481601</v>
      </c>
      <c r="P27" s="10">
        <v>0.49825798112219</v>
      </c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5.6" customHeight="1" x14ac:dyDescent="0.35">
      <c r="A28" s="7">
        <v>41518</v>
      </c>
      <c r="B28" s="8">
        <v>1</v>
      </c>
      <c r="C28" s="9"/>
      <c r="D28" s="10">
        <v>1.3471961004755799</v>
      </c>
      <c r="E28" s="10">
        <v>1.51999297003957</v>
      </c>
      <c r="F28" s="6"/>
      <c r="G28" s="6"/>
      <c r="H28" s="6"/>
      <c r="I28" s="6"/>
      <c r="J28" s="6"/>
      <c r="K28" s="10">
        <v>0.75191402574828103</v>
      </c>
      <c r="L28" s="6"/>
      <c r="M28" s="10">
        <v>0.87172896831464397</v>
      </c>
      <c r="N28" s="10">
        <v>1.19877982139587</v>
      </c>
      <c r="O28" s="10">
        <v>-0.183815695643577</v>
      </c>
      <c r="P28" s="10">
        <v>0.38095592485303897</v>
      </c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5.6" customHeight="1" x14ac:dyDescent="0.35">
      <c r="A29" s="7">
        <v>41609</v>
      </c>
      <c r="B29" s="8">
        <v>0.9</v>
      </c>
      <c r="C29" s="9"/>
      <c r="D29" s="10">
        <v>1.5147071260237499</v>
      </c>
      <c r="E29" s="10">
        <v>1.2635798499683699</v>
      </c>
      <c r="F29" s="6"/>
      <c r="G29" s="6"/>
      <c r="H29" s="6"/>
      <c r="I29" s="6"/>
      <c r="J29" s="6"/>
      <c r="K29" s="10">
        <v>1.2340361934191599</v>
      </c>
      <c r="L29" s="6"/>
      <c r="M29" s="10">
        <v>1.51958705547662</v>
      </c>
      <c r="N29" s="10">
        <v>1.18990898132324</v>
      </c>
      <c r="O29" s="10">
        <v>0.43830557014426602</v>
      </c>
      <c r="P29" s="10">
        <v>0.96811719617519798</v>
      </c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5.6" customHeight="1" x14ac:dyDescent="0.35">
      <c r="A30" s="7">
        <v>41699</v>
      </c>
      <c r="B30" s="8">
        <v>0.8</v>
      </c>
      <c r="C30" s="9"/>
      <c r="D30" s="10">
        <v>1.5010498168436499</v>
      </c>
      <c r="E30" s="10">
        <v>1.1920110511608699</v>
      </c>
      <c r="F30" s="6"/>
      <c r="G30" s="6"/>
      <c r="H30" s="6"/>
      <c r="I30" s="6"/>
      <c r="J30" s="6"/>
      <c r="K30" s="10">
        <v>0.83898047083083704</v>
      </c>
      <c r="L30" s="6"/>
      <c r="M30" s="10">
        <v>0.73155938644031504</v>
      </c>
      <c r="N30" s="10">
        <v>0.91557914018631004</v>
      </c>
      <c r="O30" s="10">
        <v>0.43657235601975802</v>
      </c>
      <c r="P30" s="10">
        <v>0.68461441606526396</v>
      </c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5.6" customHeight="1" x14ac:dyDescent="0.35">
      <c r="A31" s="7">
        <v>41791</v>
      </c>
      <c r="B31" s="8">
        <v>0.9</v>
      </c>
      <c r="C31" s="9"/>
      <c r="D31" s="10">
        <v>1.27039657334471</v>
      </c>
      <c r="E31" s="10">
        <v>1.1513710817006</v>
      </c>
      <c r="F31" s="6"/>
      <c r="G31" s="6"/>
      <c r="H31" s="6"/>
      <c r="I31" s="6"/>
      <c r="J31" s="6"/>
      <c r="K31" s="10">
        <v>0.74148527396656005</v>
      </c>
      <c r="L31" s="6"/>
      <c r="M31" s="10">
        <v>0.90781490893346894</v>
      </c>
      <c r="N31" s="10">
        <v>0.91955405473709095</v>
      </c>
      <c r="O31" s="10">
        <v>-0.52200707232954502</v>
      </c>
      <c r="P31" s="10">
        <v>0.20911410879470799</v>
      </c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5.6" customHeight="1" x14ac:dyDescent="0.35">
      <c r="A32" s="7">
        <v>41883</v>
      </c>
      <c r="B32" s="8">
        <v>0.3</v>
      </c>
      <c r="C32" s="9"/>
      <c r="D32" s="10">
        <v>1.2952675408596901</v>
      </c>
      <c r="E32" s="10">
        <v>1.2110620078271199</v>
      </c>
      <c r="F32" s="6"/>
      <c r="G32" s="6"/>
      <c r="H32" s="6"/>
      <c r="I32" s="6"/>
      <c r="J32" s="6"/>
      <c r="K32" s="10">
        <v>0.92736810752152699</v>
      </c>
      <c r="L32" s="6"/>
      <c r="M32" s="10">
        <v>0.70368702354134705</v>
      </c>
      <c r="N32" s="10">
        <v>0.91791230440139804</v>
      </c>
      <c r="O32" s="10">
        <v>0.62944496716585496</v>
      </c>
      <c r="P32" s="10">
        <v>0.750412643689782</v>
      </c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5.6" customHeight="1" x14ac:dyDescent="0.35">
      <c r="A33" s="7">
        <v>41974</v>
      </c>
      <c r="B33" s="8">
        <v>0.5</v>
      </c>
      <c r="C33" s="9"/>
      <c r="D33" s="10">
        <v>0.977032914890685</v>
      </c>
      <c r="E33" s="10">
        <v>0.98513387787608797</v>
      </c>
      <c r="F33" s="6"/>
      <c r="G33" s="6"/>
      <c r="H33" s="6"/>
      <c r="I33" s="6"/>
      <c r="J33" s="6"/>
      <c r="K33" s="10">
        <v>1.2321064109939699</v>
      </c>
      <c r="L33" s="6"/>
      <c r="M33" s="10">
        <v>0.71640719202011305</v>
      </c>
      <c r="N33" s="10">
        <v>0.87230551242828402</v>
      </c>
      <c r="O33" s="10">
        <v>2.9198120517497901E-3</v>
      </c>
      <c r="P33" s="10">
        <v>0.67590210642328397</v>
      </c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5.6" customHeight="1" x14ac:dyDescent="0.35">
      <c r="A34" s="7">
        <v>42064</v>
      </c>
      <c r="B34" s="8">
        <v>0.9</v>
      </c>
      <c r="C34" s="9"/>
      <c r="D34" s="10">
        <v>1.3673028820997899</v>
      </c>
      <c r="E34" s="10">
        <v>1.22050462739392</v>
      </c>
      <c r="F34" s="6"/>
      <c r="G34" s="6"/>
      <c r="H34" s="6"/>
      <c r="I34" s="6"/>
      <c r="J34" s="6"/>
      <c r="K34" s="10">
        <v>0.90742914126045404</v>
      </c>
      <c r="L34" s="6"/>
      <c r="M34" s="10">
        <v>0.61019106263980305</v>
      </c>
      <c r="N34" s="10">
        <v>1.1965746879577599</v>
      </c>
      <c r="O34" s="10">
        <v>0.48180389721071298</v>
      </c>
      <c r="P34" s="10">
        <v>0.83160716505870502</v>
      </c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5.6" customHeight="1" x14ac:dyDescent="0.35">
      <c r="A35" s="7">
        <v>42156</v>
      </c>
      <c r="B35" s="8">
        <v>0.4</v>
      </c>
      <c r="C35" s="9"/>
      <c r="D35" s="10">
        <v>1.0626895335120099</v>
      </c>
      <c r="E35" s="10">
        <v>0.95433407917937496</v>
      </c>
      <c r="F35" s="6"/>
      <c r="G35" s="6"/>
      <c r="H35" s="6"/>
      <c r="I35" s="6"/>
      <c r="J35" s="6"/>
      <c r="K35" s="10">
        <v>0.55777259533185797</v>
      </c>
      <c r="L35" s="6"/>
      <c r="M35" s="10">
        <v>0.68349186667892603</v>
      </c>
      <c r="N35" s="10">
        <v>0.68220025300979603</v>
      </c>
      <c r="O35" s="10">
        <v>-0.24610561687756699</v>
      </c>
      <c r="P35" s="10">
        <v>0.36712211337301298</v>
      </c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5.6" customHeight="1" x14ac:dyDescent="0.35">
      <c r="A36" s="7">
        <v>42248</v>
      </c>
      <c r="B36" s="8">
        <v>1.5</v>
      </c>
      <c r="C36" s="9"/>
      <c r="D36" s="10">
        <v>1.17405933865946</v>
      </c>
      <c r="E36" s="10">
        <v>1.16813438895189</v>
      </c>
      <c r="F36" s="6"/>
      <c r="G36" s="6"/>
      <c r="H36" s="6"/>
      <c r="I36" s="6"/>
      <c r="J36" s="6"/>
      <c r="K36" s="10">
        <v>0.68882052409161398</v>
      </c>
      <c r="L36" s="6"/>
      <c r="M36" s="10">
        <v>0.92082214074231195</v>
      </c>
      <c r="N36" s="10">
        <v>1.176713347435</v>
      </c>
      <c r="O36" s="10">
        <v>0.47849556145786298</v>
      </c>
      <c r="P36" s="10">
        <v>0.56675365342453599</v>
      </c>
      <c r="Q36" s="6"/>
      <c r="R36" s="6"/>
      <c r="S36" s="6"/>
      <c r="T36" s="6"/>
      <c r="U36" s="6"/>
      <c r="V36" s="6"/>
      <c r="W36" s="6"/>
      <c r="X36" s="6"/>
      <c r="Y36" s="6"/>
      <c r="Z36" s="6"/>
    </row>
    <row r="37" spans="1:26" ht="15.6" customHeight="1" x14ac:dyDescent="0.35">
      <c r="A37" s="7">
        <v>42339</v>
      </c>
      <c r="B37" s="8">
        <v>0.8</v>
      </c>
      <c r="C37" s="9"/>
      <c r="D37" s="10">
        <v>1.4537797970802999</v>
      </c>
      <c r="E37" s="10">
        <v>1.3268604836776301</v>
      </c>
      <c r="F37" s="6"/>
      <c r="G37" s="6"/>
      <c r="H37" s="6"/>
      <c r="I37" s="6"/>
      <c r="J37" s="6"/>
      <c r="K37" s="10">
        <v>0.80523548143813195</v>
      </c>
      <c r="L37" s="6"/>
      <c r="M37" s="10">
        <v>1.5372204463079899</v>
      </c>
      <c r="N37" s="10">
        <v>0.75382518768310502</v>
      </c>
      <c r="O37" s="10">
        <v>0.551633376456522</v>
      </c>
      <c r="P37" s="10">
        <v>0.74893733490720205</v>
      </c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5.6" customHeight="1" x14ac:dyDescent="0.35">
      <c r="A38" s="7" cm="1">
        <f t="array" ref="A38">DATE(YEAR(A39),MONTH(A39)-3,1)</f>
        <v>42430</v>
      </c>
      <c r="B38" s="8">
        <v>0.3</v>
      </c>
      <c r="C38" s="11">
        <v>9.6765505327907994E-2</v>
      </c>
      <c r="D38" s="12">
        <v>0.19913700000000001</v>
      </c>
      <c r="E38" s="12">
        <v>9.3119999999999994E-2</v>
      </c>
      <c r="F38" s="12">
        <v>0.22593299999999999</v>
      </c>
      <c r="G38" s="12">
        <v>0.74709700000000001</v>
      </c>
      <c r="H38" s="12">
        <v>0.47644454369062</v>
      </c>
      <c r="I38" s="12">
        <v>0.819794793818172</v>
      </c>
      <c r="J38" s="12">
        <v>0.79816399999999998</v>
      </c>
      <c r="K38" s="12">
        <v>0.350113994728527</v>
      </c>
      <c r="L38" s="12">
        <v>-0.28277945999999998</v>
      </c>
      <c r="M38" s="12">
        <v>0.53618070178995603</v>
      </c>
      <c r="N38" s="12">
        <v>0.57159632444381703</v>
      </c>
      <c r="O38" s="12">
        <v>0.30369299999999999</v>
      </c>
      <c r="P38" s="12">
        <v>4.0466000000000002E-2</v>
      </c>
      <c r="Q38" s="12"/>
      <c r="R38" s="6"/>
      <c r="S38" s="6"/>
      <c r="T38" s="6"/>
      <c r="U38" s="6"/>
      <c r="V38" s="6"/>
      <c r="W38" s="6"/>
      <c r="X38" s="6"/>
      <c r="Y38" s="12"/>
      <c r="Z38" s="12"/>
    </row>
    <row r="39" spans="1:26" ht="15.6" customHeight="1" x14ac:dyDescent="0.35">
      <c r="A39" s="7" cm="1">
        <f t="array" ref="A39">DATE(YEAR(A40),MONTH(A40)-3,1)</f>
        <v>42522</v>
      </c>
      <c r="B39" s="8">
        <v>1.2</v>
      </c>
      <c r="C39" s="11">
        <v>0.90968064813041705</v>
      </c>
      <c r="D39" s="12">
        <v>0.89207899999999996</v>
      </c>
      <c r="E39" s="12">
        <v>0.84811000000000003</v>
      </c>
      <c r="F39" s="12">
        <v>0.89196299999999995</v>
      </c>
      <c r="G39" s="12">
        <v>0.35142899999999999</v>
      </c>
      <c r="H39" s="12">
        <v>1.0633697542364999</v>
      </c>
      <c r="I39" s="12">
        <v>1.0686419834124401</v>
      </c>
      <c r="J39" s="12">
        <v>1.132944</v>
      </c>
      <c r="K39" s="12">
        <v>1.0512045206887899</v>
      </c>
      <c r="L39" s="12">
        <v>0.58187279999999997</v>
      </c>
      <c r="M39" s="12">
        <v>0.77269948359848295</v>
      </c>
      <c r="N39" s="12">
        <v>1.7542190551757799</v>
      </c>
      <c r="O39" s="12">
        <v>0.563998</v>
      </c>
      <c r="P39" s="12">
        <v>1.2665759999999999</v>
      </c>
      <c r="Q39" s="12"/>
      <c r="R39" s="6"/>
      <c r="S39" s="6"/>
      <c r="T39" s="6"/>
      <c r="U39" s="6"/>
      <c r="V39" s="6"/>
      <c r="W39" s="6"/>
      <c r="X39" s="6"/>
      <c r="Y39" s="12"/>
      <c r="Z39" s="12"/>
    </row>
    <row r="40" spans="1:26" ht="15.6" customHeight="1" x14ac:dyDescent="0.35">
      <c r="A40" s="7" cm="1">
        <f t="array" ref="A40">DATE(YEAR(A41),MONTH(A41)-3,1)</f>
        <v>42614</v>
      </c>
      <c r="B40" s="8">
        <v>0.4</v>
      </c>
      <c r="C40" s="11">
        <v>0.55010574653569599</v>
      </c>
      <c r="D40" s="12">
        <v>0.64195400000000002</v>
      </c>
      <c r="E40" s="12">
        <v>0.56389500000000004</v>
      </c>
      <c r="F40" s="12">
        <v>0.68477399999999999</v>
      </c>
      <c r="G40" s="12">
        <v>0.93662599999999996</v>
      </c>
      <c r="H40" s="12">
        <v>0.95351115778552198</v>
      </c>
      <c r="I40" s="12">
        <v>0.72645207283304303</v>
      </c>
      <c r="J40" s="12">
        <v>0.95010300000000003</v>
      </c>
      <c r="K40" s="12">
        <v>0.45401846422039999</v>
      </c>
      <c r="L40" s="12">
        <v>0.69687809999999994</v>
      </c>
      <c r="M40" s="12">
        <v>0.86391835914606196</v>
      </c>
      <c r="N40" s="12">
        <v>0.92820131778716997</v>
      </c>
      <c r="O40" s="12">
        <v>0.59265199999999996</v>
      </c>
      <c r="P40" s="12">
        <v>0.44287300000000002</v>
      </c>
      <c r="Q40" s="12"/>
      <c r="R40" s="6"/>
      <c r="S40" s="6"/>
      <c r="T40" s="6"/>
      <c r="U40" s="6"/>
      <c r="V40" s="6"/>
      <c r="W40" s="6"/>
      <c r="X40" s="6"/>
      <c r="Y40" s="12"/>
      <c r="Z40" s="12"/>
    </row>
    <row r="41" spans="1:26" ht="15.6" customHeight="1" x14ac:dyDescent="0.35">
      <c r="A41" s="7" cm="1">
        <f t="array" ref="A41">DATE(YEAR(A42),MONTH(A42)-3,1)</f>
        <v>42705</v>
      </c>
      <c r="B41" s="8">
        <v>0.6</v>
      </c>
      <c r="C41" s="11">
        <v>1.13103257066387</v>
      </c>
      <c r="D41" s="12">
        <v>0.69500799999999996</v>
      </c>
      <c r="E41" s="12">
        <v>0.64204499999999998</v>
      </c>
      <c r="F41" s="12">
        <v>0.712063</v>
      </c>
      <c r="G41" s="12">
        <v>0.57575399999999999</v>
      </c>
      <c r="H41" s="12">
        <v>1.0674276446148001</v>
      </c>
      <c r="I41" s="12">
        <v>0.87291484641943995</v>
      </c>
      <c r="J41" s="12">
        <v>1.0456209999999999</v>
      </c>
      <c r="K41" s="12">
        <v>1.28447570267855</v>
      </c>
      <c r="L41" s="12">
        <v>0.96055126000000002</v>
      </c>
      <c r="M41" s="12">
        <v>0.73464663977169298</v>
      </c>
      <c r="N41" s="12">
        <v>1.09948682785034</v>
      </c>
      <c r="O41" s="12">
        <v>0.76981599999999994</v>
      </c>
      <c r="P41" s="12">
        <v>1.336816</v>
      </c>
      <c r="Q41" s="12"/>
      <c r="R41" s="6"/>
      <c r="S41" s="6"/>
      <c r="T41" s="6"/>
      <c r="U41" s="6"/>
      <c r="V41" s="6"/>
      <c r="W41" s="6"/>
      <c r="X41" s="6"/>
      <c r="Y41" s="12"/>
      <c r="Z41" s="12"/>
    </row>
    <row r="42" spans="1:26" ht="15.6" customHeight="1" x14ac:dyDescent="0.35">
      <c r="A42" s="7" cm="1">
        <f t="array" ref="A42">DATE(YEAR(A43),MONTH(A43)-3,1)</f>
        <v>42795</v>
      </c>
      <c r="B42" s="8">
        <v>1</v>
      </c>
      <c r="C42" s="11">
        <v>1.07711623584131</v>
      </c>
      <c r="D42" s="12">
        <v>1.1199159999999999</v>
      </c>
      <c r="E42" s="12">
        <v>1.0978669999999999</v>
      </c>
      <c r="F42" s="12">
        <v>1.0544439999999999</v>
      </c>
      <c r="G42" s="12">
        <v>0.64759100000000003</v>
      </c>
      <c r="H42" s="12">
        <v>1.0670232493074401</v>
      </c>
      <c r="I42" s="12">
        <v>1.0479093779858599</v>
      </c>
      <c r="J42" s="12">
        <v>1.1133569999999999</v>
      </c>
      <c r="K42" s="12">
        <v>1.1047904706023</v>
      </c>
      <c r="L42" s="12">
        <v>1.2134948000000001</v>
      </c>
      <c r="M42" s="12">
        <v>0.81843315403258898</v>
      </c>
      <c r="N42" s="12">
        <v>0.89296567440033003</v>
      </c>
      <c r="O42" s="12">
        <v>1.0742160000000001</v>
      </c>
      <c r="P42" s="12">
        <v>1.447208</v>
      </c>
      <c r="Q42" s="12"/>
      <c r="R42" s="6"/>
      <c r="S42" s="6"/>
      <c r="T42" s="6"/>
      <c r="U42" s="6"/>
      <c r="V42" s="6"/>
      <c r="W42" s="6"/>
      <c r="X42" s="6"/>
      <c r="Y42" s="12"/>
      <c r="Z42" s="12"/>
    </row>
    <row r="43" spans="1:26" ht="15.6" customHeight="1" x14ac:dyDescent="0.35">
      <c r="A43" s="7" cm="1">
        <f t="array" ref="A43">DATE(YEAR(A44),MONTH(A44)-3,1)</f>
        <v>42887</v>
      </c>
      <c r="B43" s="8">
        <v>0.8</v>
      </c>
      <c r="C43" s="11">
        <v>0.50836077959724701</v>
      </c>
      <c r="D43" s="12">
        <v>1.108525</v>
      </c>
      <c r="E43" s="12">
        <v>1.1260520000000001</v>
      </c>
      <c r="F43" s="12">
        <v>1.015314</v>
      </c>
      <c r="G43" s="12">
        <v>0.68927899999999998</v>
      </c>
      <c r="H43" s="12">
        <v>0.932465718951488</v>
      </c>
      <c r="I43" s="12">
        <v>0.94488391622762902</v>
      </c>
      <c r="J43" s="12">
        <v>0.78698599999999996</v>
      </c>
      <c r="K43" s="12">
        <v>1.0296328384953199</v>
      </c>
      <c r="L43" s="12">
        <v>0.79233724000000005</v>
      </c>
      <c r="M43" s="12">
        <v>0.79498313781009999</v>
      </c>
      <c r="N43" s="12">
        <v>1.19161152839661</v>
      </c>
      <c r="O43" s="12">
        <v>0.945407</v>
      </c>
      <c r="P43" s="12">
        <v>1.284572</v>
      </c>
      <c r="Q43" s="12"/>
      <c r="R43" s="6"/>
      <c r="S43" s="6"/>
      <c r="T43" s="6"/>
      <c r="U43" s="6"/>
      <c r="V43" s="6"/>
      <c r="W43" s="6"/>
      <c r="X43" s="6"/>
      <c r="Y43" s="12"/>
      <c r="Z43" s="12"/>
    </row>
    <row r="44" spans="1:26" ht="15.6" customHeight="1" x14ac:dyDescent="0.35">
      <c r="A44" s="7" cm="1">
        <f t="array" ref="A44">DATE(YEAR(A45),MONTH(A45)-3,1)</f>
        <v>42979</v>
      </c>
      <c r="B44" s="8">
        <v>1.4</v>
      </c>
      <c r="C44" s="11">
        <v>0.73780532018760703</v>
      </c>
      <c r="D44" s="12">
        <v>0.28770099999999998</v>
      </c>
      <c r="E44" s="12">
        <v>0.27575300000000003</v>
      </c>
      <c r="F44" s="12">
        <v>0.39924100000000001</v>
      </c>
      <c r="G44" s="12">
        <v>0.96964099999999998</v>
      </c>
      <c r="H44" s="12">
        <v>0.743458949658657</v>
      </c>
      <c r="I44" s="12">
        <v>0.83473230119603903</v>
      </c>
      <c r="J44" s="12">
        <v>0.96013199999999999</v>
      </c>
      <c r="K44" s="12">
        <v>0.92132988772578295</v>
      </c>
      <c r="L44" s="12">
        <v>0.67590190000000006</v>
      </c>
      <c r="M44" s="12">
        <v>0.80045130359994998</v>
      </c>
      <c r="N44" s="12">
        <v>0.87996208667755105</v>
      </c>
      <c r="O44" s="12">
        <v>0.71237600000000001</v>
      </c>
      <c r="P44" s="12">
        <v>0.97380199999999995</v>
      </c>
      <c r="Q44" s="12"/>
      <c r="R44" s="6"/>
      <c r="S44" s="6"/>
      <c r="T44" s="6"/>
      <c r="U44" s="6"/>
      <c r="V44" s="6"/>
      <c r="W44" s="6"/>
      <c r="X44" s="6"/>
      <c r="Y44" s="12"/>
      <c r="Z44" s="12"/>
    </row>
    <row r="45" spans="1:26" ht="15.6" customHeight="1" x14ac:dyDescent="0.35">
      <c r="A45" s="7" cm="1">
        <f t="array" ref="A45">DATE(YEAR(A46),MONTH(A46)-3,1)</f>
        <v>43070</v>
      </c>
      <c r="B45" s="8">
        <v>-0.3</v>
      </c>
      <c r="C45" s="11">
        <v>0.71009688627299905</v>
      </c>
      <c r="D45" s="12">
        <v>0.95237899999999998</v>
      </c>
      <c r="E45" s="12">
        <v>0.67377100000000001</v>
      </c>
      <c r="F45" s="12">
        <v>0.89577799999999996</v>
      </c>
      <c r="G45" s="12">
        <v>1.387553</v>
      </c>
      <c r="H45" s="12">
        <v>0.872119604761599</v>
      </c>
      <c r="I45" s="12">
        <v>0.894160425082557</v>
      </c>
      <c r="J45" s="12">
        <v>0.69409500000000002</v>
      </c>
      <c r="K45" s="12">
        <v>0.512125292734122</v>
      </c>
      <c r="L45" s="12">
        <v>0.71935225000000003</v>
      </c>
      <c r="M45" s="12">
        <v>0.743252139180265</v>
      </c>
      <c r="N45" s="12">
        <v>0.79880201816558805</v>
      </c>
      <c r="O45" s="12">
        <v>0.35492800000000002</v>
      </c>
      <c r="P45" s="12">
        <v>0.47841400000000001</v>
      </c>
      <c r="Q45" s="12"/>
      <c r="R45" s="6"/>
      <c r="S45" s="6"/>
      <c r="T45" s="6"/>
      <c r="U45" s="6"/>
      <c r="V45" s="6"/>
      <c r="W45" s="6"/>
      <c r="X45" s="6"/>
      <c r="Y45" s="12"/>
      <c r="Z45" s="12"/>
    </row>
    <row r="46" spans="1:26" ht="15.6" customHeight="1" x14ac:dyDescent="0.35">
      <c r="A46" s="7" cm="1">
        <f t="array" ref="A46">DATE(YEAR(A47),MONTH(A47)-3,1)</f>
        <v>43160</v>
      </c>
      <c r="B46" s="8">
        <v>1.3</v>
      </c>
      <c r="C46" s="11">
        <v>1.1079978385579801</v>
      </c>
      <c r="D46" s="12">
        <v>0.67872200000000005</v>
      </c>
      <c r="E46" s="12">
        <v>0.80809299999999995</v>
      </c>
      <c r="F46" s="12">
        <v>0.70968699999999996</v>
      </c>
      <c r="G46" s="12">
        <v>0.75348499999999996</v>
      </c>
      <c r="H46" s="12">
        <v>0.97752640103094701</v>
      </c>
      <c r="I46" s="12">
        <v>1.0054379576792001</v>
      </c>
      <c r="J46" s="12">
        <v>0.93706800000000001</v>
      </c>
      <c r="K46" s="12">
        <v>1.2140901645162101</v>
      </c>
      <c r="L46" s="12">
        <v>0.80441034</v>
      </c>
      <c r="M46" s="12">
        <v>1.11177728341795</v>
      </c>
      <c r="N46" s="12">
        <v>0.71219825744628895</v>
      </c>
      <c r="O46" s="12">
        <v>0.74432200000000004</v>
      </c>
      <c r="P46" s="12">
        <v>1.71661</v>
      </c>
      <c r="Q46" s="12"/>
      <c r="R46" s="6"/>
      <c r="S46" s="6"/>
      <c r="T46" s="6"/>
      <c r="U46" s="6"/>
      <c r="V46" s="6"/>
      <c r="W46" s="6"/>
      <c r="X46" s="6"/>
      <c r="Y46" s="12"/>
      <c r="Z46" s="12"/>
    </row>
    <row r="47" spans="1:26" ht="15.6" customHeight="1" x14ac:dyDescent="0.35">
      <c r="A47" s="7" cm="1">
        <f t="array" ref="A47">DATE(YEAR(A48),MONTH(A48)-3,1)</f>
        <v>43252</v>
      </c>
      <c r="B47" s="8">
        <v>0.7</v>
      </c>
      <c r="C47" s="11">
        <v>0.959595843543944</v>
      </c>
      <c r="D47" s="12">
        <v>0.71134299999999995</v>
      </c>
      <c r="E47" s="12">
        <v>0.55233600000000005</v>
      </c>
      <c r="F47" s="12">
        <v>0.70128800000000002</v>
      </c>
      <c r="G47" s="12">
        <v>0.31625999999999999</v>
      </c>
      <c r="H47" s="12">
        <v>0.56679146918486401</v>
      </c>
      <c r="I47" s="12">
        <v>0.54893017203459005</v>
      </c>
      <c r="J47" s="12">
        <v>0.83720099999999997</v>
      </c>
      <c r="K47" s="12">
        <v>0.57726226724400898</v>
      </c>
      <c r="L47" s="12">
        <v>0.63374090000000005</v>
      </c>
      <c r="M47" s="12">
        <v>0.49995840027745098</v>
      </c>
      <c r="N47" s="12">
        <v>1.31321680545807</v>
      </c>
      <c r="O47" s="12">
        <v>0.68789900000000004</v>
      </c>
      <c r="P47" s="12">
        <v>0.596387</v>
      </c>
      <c r="Q47" s="12"/>
      <c r="R47" s="6"/>
      <c r="S47" s="6"/>
      <c r="T47" s="6"/>
      <c r="U47" s="6"/>
      <c r="V47" s="6"/>
      <c r="W47" s="6"/>
      <c r="X47" s="6"/>
      <c r="Y47" s="12"/>
      <c r="Z47" s="12"/>
    </row>
    <row r="48" spans="1:26" ht="15.6" customHeight="1" x14ac:dyDescent="0.35">
      <c r="A48" s="7" cm="1">
        <f t="array" ref="A48">DATE(YEAR(A49),MONTH(A49)-3,1)</f>
        <v>43344</v>
      </c>
      <c r="B48" s="8">
        <v>0.6</v>
      </c>
      <c r="C48" s="11">
        <v>0.97109739262780204</v>
      </c>
      <c r="D48" s="12">
        <v>0.52368800000000004</v>
      </c>
      <c r="E48" s="12">
        <v>0.47566599999999998</v>
      </c>
      <c r="F48" s="12">
        <v>0.57142400000000004</v>
      </c>
      <c r="G48" s="12">
        <v>0.36177799999999999</v>
      </c>
      <c r="H48" s="12">
        <v>1.0800162974086001</v>
      </c>
      <c r="I48" s="12">
        <v>1.0457687841899801</v>
      </c>
      <c r="J48" s="12">
        <v>0.701816</v>
      </c>
      <c r="K48" s="12">
        <v>0.60425636097022595</v>
      </c>
      <c r="L48" s="12">
        <v>0.34749292999999998</v>
      </c>
      <c r="M48" s="12">
        <v>0.58075629907049497</v>
      </c>
      <c r="N48" s="12">
        <v>0.68545734882354703</v>
      </c>
      <c r="O48" s="12">
        <v>0.67921299999999996</v>
      </c>
      <c r="P48" s="12">
        <v>0.320519</v>
      </c>
      <c r="Q48" s="12"/>
      <c r="R48" s="6"/>
      <c r="S48" s="6"/>
      <c r="T48" s="6"/>
      <c r="U48" s="6"/>
      <c r="V48" s="6"/>
      <c r="W48" s="6"/>
      <c r="X48" s="6"/>
      <c r="Y48" s="12"/>
      <c r="Z48" s="12"/>
    </row>
    <row r="49" spans="1:26" ht="15.6" customHeight="1" x14ac:dyDescent="0.35">
      <c r="A49" s="7" cm="1">
        <f t="array" ref="A49">DATE(YEAR(A50),MONTH(A50)-3,1)</f>
        <v>43435</v>
      </c>
      <c r="B49" s="8">
        <v>0.6</v>
      </c>
      <c r="C49" s="11">
        <v>0.265891526319186</v>
      </c>
      <c r="D49" s="12">
        <v>9.6939999999999998E-2</v>
      </c>
      <c r="E49" s="12">
        <v>-2.1690000000000001E-2</v>
      </c>
      <c r="F49" s="12">
        <v>0.245889</v>
      </c>
      <c r="G49" s="12">
        <v>0.74957399999999996</v>
      </c>
      <c r="H49" s="12">
        <v>0.35103274057990003</v>
      </c>
      <c r="I49" s="12">
        <v>0.66124605449810803</v>
      </c>
      <c r="J49" s="12">
        <v>0.70308300000000001</v>
      </c>
      <c r="K49" s="12">
        <v>0.45311827841385399</v>
      </c>
      <c r="L49" s="12">
        <v>5.6084156000000003E-2</v>
      </c>
      <c r="M49" s="12">
        <v>1.13997128534655</v>
      </c>
      <c r="N49" s="12">
        <v>0.72548359632492099</v>
      </c>
      <c r="O49" s="12">
        <v>0.11767900000000001</v>
      </c>
      <c r="P49" s="12">
        <v>0.41074699999999997</v>
      </c>
      <c r="Q49" s="12"/>
      <c r="R49" s="6"/>
      <c r="S49" s="6"/>
      <c r="T49" s="6"/>
      <c r="U49" s="6"/>
      <c r="V49" s="6"/>
      <c r="W49" s="6"/>
      <c r="X49" s="6"/>
      <c r="Y49" s="12"/>
      <c r="Z49" s="12"/>
    </row>
    <row r="50" spans="1:26" ht="15.6" customHeight="1" x14ac:dyDescent="0.35">
      <c r="A50" s="7" cm="1">
        <f t="array" ref="A50">DATE(YEAR(A51),MONTH(A51)-3,1)</f>
        <v>43525</v>
      </c>
      <c r="B50" s="8">
        <v>-0.1</v>
      </c>
      <c r="C50" s="11">
        <v>0.118252665541146</v>
      </c>
      <c r="D50" s="12">
        <v>-7.2260000000000005E-2</v>
      </c>
      <c r="E50" s="12">
        <v>-0.32045000000000001</v>
      </c>
      <c r="F50" s="12">
        <v>0.15650500000000001</v>
      </c>
      <c r="G50" s="12">
        <v>0.75638000000000005</v>
      </c>
      <c r="H50" s="12">
        <v>0.51255534718245699</v>
      </c>
      <c r="I50" s="12">
        <v>0.60620221756519999</v>
      </c>
      <c r="J50" s="12">
        <v>0.361543</v>
      </c>
      <c r="K50" s="12">
        <v>-8.6190050984548294E-2</v>
      </c>
      <c r="L50" s="12">
        <v>0.71092299999999997</v>
      </c>
      <c r="M50" s="12">
        <v>0.61333592145004601</v>
      </c>
      <c r="N50" s="12">
        <v>0.68573641777038596</v>
      </c>
      <c r="O50" s="12">
        <v>-0.56797699999999995</v>
      </c>
      <c r="P50" s="12">
        <v>-0.21914</v>
      </c>
      <c r="Q50" s="12"/>
      <c r="R50" s="6"/>
      <c r="S50" s="6"/>
      <c r="T50" s="6"/>
      <c r="U50" s="6"/>
      <c r="V50" s="6"/>
      <c r="W50" s="6"/>
      <c r="X50" s="6"/>
      <c r="Y50" s="12"/>
      <c r="Z50" s="12"/>
    </row>
    <row r="51" spans="1:26" ht="15.6" customHeight="1" x14ac:dyDescent="0.35">
      <c r="A51" s="7" cm="1">
        <f t="array" ref="A51">DATE(YEAR(A52),MONTH(A52)-3,1)</f>
        <v>43617</v>
      </c>
      <c r="B51" s="8">
        <v>1.1000000000000001</v>
      </c>
      <c r="C51" s="11">
        <v>1.11156835276165</v>
      </c>
      <c r="D51" s="12">
        <v>0.85408499999999998</v>
      </c>
      <c r="E51" s="12">
        <v>0.83754200000000001</v>
      </c>
      <c r="F51" s="12">
        <v>0.80323800000000001</v>
      </c>
      <c r="G51" s="12">
        <v>1.2548760000000001</v>
      </c>
      <c r="H51" s="12">
        <v>1.0400166007435601</v>
      </c>
      <c r="I51" s="12">
        <v>0.99618244694705005</v>
      </c>
      <c r="J51" s="12">
        <v>0.88099099999999997</v>
      </c>
      <c r="K51" s="12">
        <v>0.87297945736976201</v>
      </c>
      <c r="L51" s="12">
        <v>0.51288880000000003</v>
      </c>
      <c r="M51" s="12">
        <v>0.86478390848617004</v>
      </c>
      <c r="N51" s="12">
        <v>1.30905508995056</v>
      </c>
      <c r="O51" s="12">
        <v>0.97299000000000002</v>
      </c>
      <c r="P51" s="12">
        <v>1.066703</v>
      </c>
      <c r="Q51" s="12"/>
      <c r="R51" s="6"/>
      <c r="S51" s="6"/>
      <c r="T51" s="6"/>
      <c r="U51" s="6"/>
      <c r="V51" s="6"/>
      <c r="W51" s="6"/>
      <c r="X51" s="6"/>
      <c r="Y51" s="12"/>
      <c r="Z51" s="12"/>
    </row>
    <row r="52" spans="1:26" ht="15.6" customHeight="1" x14ac:dyDescent="0.35">
      <c r="A52" s="7" cm="1">
        <f t="array" ref="A52">DATE(YEAR(A53),MONTH(A53)-3,1)</f>
        <v>43709</v>
      </c>
      <c r="B52" s="8">
        <v>0.4</v>
      </c>
      <c r="C52" s="11">
        <v>0.69987894239150905</v>
      </c>
      <c r="D52" s="12">
        <v>0.44980999999999999</v>
      </c>
      <c r="E52" s="12">
        <v>0.35154299999999999</v>
      </c>
      <c r="F52" s="12">
        <v>0.511463</v>
      </c>
      <c r="G52" s="12">
        <v>1.000116</v>
      </c>
      <c r="H52" s="12">
        <v>0.47887444895335102</v>
      </c>
      <c r="I52" s="12">
        <v>0.66429596497350896</v>
      </c>
      <c r="J52" s="12">
        <v>0.68031200000000003</v>
      </c>
      <c r="K52" s="12">
        <v>0.470158257943808</v>
      </c>
      <c r="L52" s="12">
        <v>1.1893855</v>
      </c>
      <c r="M52" s="12">
        <v>0.70446534471822098</v>
      </c>
      <c r="N52" s="12">
        <v>1.0148947238922099</v>
      </c>
      <c r="O52" s="12">
        <v>0.80779100000000004</v>
      </c>
      <c r="P52" s="12">
        <v>0.78579399999999999</v>
      </c>
      <c r="Q52" s="12"/>
      <c r="R52" s="6"/>
      <c r="S52" s="6"/>
      <c r="T52" s="6"/>
      <c r="U52" s="6"/>
      <c r="V52" s="6"/>
      <c r="W52" s="6"/>
      <c r="X52" s="6"/>
      <c r="Y52" s="12"/>
      <c r="Z52" s="12"/>
    </row>
    <row r="53" spans="1:26" ht="15.6" customHeight="1" x14ac:dyDescent="0.35">
      <c r="A53" s="7" cm="1">
        <f t="array" ref="A53">DATE(YEAR(A54),MONTH(A54)-3,1)</f>
        <v>43800</v>
      </c>
      <c r="B53" s="8">
        <v>1.2</v>
      </c>
      <c r="C53" s="11">
        <v>0.57590452552404003</v>
      </c>
      <c r="D53" s="12">
        <v>0.62098500000000001</v>
      </c>
      <c r="E53" s="12">
        <v>0.55467699999999998</v>
      </c>
      <c r="F53" s="12">
        <v>0.623506</v>
      </c>
      <c r="G53" s="12">
        <v>0.28878900000000002</v>
      </c>
      <c r="H53" s="12">
        <v>0.97552828624894505</v>
      </c>
      <c r="I53" s="12">
        <v>1.12461740811634</v>
      </c>
      <c r="J53" s="12">
        <v>0.85209199999999996</v>
      </c>
      <c r="K53" s="12">
        <v>0.89780159547483895</v>
      </c>
      <c r="L53" s="12">
        <v>0.87367225000000004</v>
      </c>
      <c r="M53" s="12">
        <v>0.70223249829823498</v>
      </c>
      <c r="N53" s="12">
        <v>7.7020831406116499E-2</v>
      </c>
      <c r="O53" s="12">
        <v>0.365954</v>
      </c>
      <c r="P53" s="12">
        <v>0.86751199999999995</v>
      </c>
      <c r="Q53" s="12"/>
      <c r="R53" s="6"/>
      <c r="S53" s="6"/>
      <c r="T53" s="6"/>
      <c r="U53" s="6"/>
      <c r="V53" s="6"/>
      <c r="W53" s="6"/>
      <c r="X53" s="6"/>
      <c r="Y53" s="12"/>
      <c r="Z53" s="12"/>
    </row>
    <row r="54" spans="1:26" ht="15.6" customHeight="1" x14ac:dyDescent="0.35">
      <c r="A54" s="7" cm="1">
        <f t="array" ref="A54">DATE(YEAR(A55),MONTH(A55)-3,1)</f>
        <v>43891</v>
      </c>
      <c r="B54" s="8">
        <v>-1.3</v>
      </c>
      <c r="C54" s="11">
        <v>-3.9388748075635902E-2</v>
      </c>
      <c r="D54" s="12">
        <v>-4.7499999999999999E-3</v>
      </c>
      <c r="E54" s="12">
        <v>-0.14660999999999999</v>
      </c>
      <c r="F54" s="12">
        <v>0.180169</v>
      </c>
      <c r="G54" s="12">
        <v>0.27936699999999998</v>
      </c>
      <c r="H54" s="12">
        <v>-3.6016150026829702E-2</v>
      </c>
      <c r="I54" s="12">
        <v>0.62411612645148296</v>
      </c>
      <c r="J54" s="12">
        <v>0.839619</v>
      </c>
      <c r="K54" s="12">
        <v>0.23187380903572899</v>
      </c>
      <c r="L54" s="12">
        <v>-0.72131866</v>
      </c>
      <c r="M54" s="12">
        <v>5.7405847789575498E-2</v>
      </c>
      <c r="N54" s="12">
        <v>0.300211101770401</v>
      </c>
      <c r="O54" s="12">
        <v>-2.7806999999999998E-2</v>
      </c>
      <c r="P54" s="12">
        <v>3.2603E-2</v>
      </c>
      <c r="Q54" s="12"/>
      <c r="R54" s="6"/>
      <c r="S54" s="6"/>
      <c r="T54" s="6"/>
      <c r="U54" s="6"/>
      <c r="V54" s="6"/>
      <c r="W54" s="6"/>
      <c r="X54" s="6"/>
      <c r="Y54" s="12"/>
      <c r="Z54" s="12"/>
    </row>
    <row r="55" spans="1:26" ht="15.6" customHeight="1" x14ac:dyDescent="0.35">
      <c r="A55" s="7" cm="1">
        <f t="array" ref="A55">DATE(YEAR(A56),MONTH(A56)-3,1)</f>
        <v>43983</v>
      </c>
      <c r="B55" s="8">
        <v>-3</v>
      </c>
      <c r="C55" s="11">
        <v>-0.54498243790643397</v>
      </c>
      <c r="D55" s="12">
        <v>-1.25403</v>
      </c>
      <c r="E55" s="12">
        <v>-1.1612100000000001</v>
      </c>
      <c r="F55" s="12">
        <v>-0.49188999999999999</v>
      </c>
      <c r="G55" s="12">
        <v>-7.8241300000000003</v>
      </c>
      <c r="H55" s="12">
        <v>-0.88084843909030297</v>
      </c>
      <c r="I55" s="12">
        <v>0.25335755703685803</v>
      </c>
      <c r="J55" s="12">
        <v>-1.4533</v>
      </c>
      <c r="K55" s="12">
        <v>-0.71690958653408299</v>
      </c>
      <c r="L55" s="12">
        <v>0.39227682000000003</v>
      </c>
      <c r="M55" s="12">
        <v>-0.98489901297098004</v>
      </c>
      <c r="N55" s="12">
        <v>-3.1644263267517099</v>
      </c>
      <c r="O55" s="12">
        <v>-2.5985870000000002</v>
      </c>
      <c r="P55" s="12">
        <v>-1.444183</v>
      </c>
      <c r="Q55" s="12"/>
      <c r="R55" s="6"/>
      <c r="S55" s="6"/>
      <c r="T55" s="6"/>
      <c r="U55" s="6"/>
      <c r="V55" s="6"/>
      <c r="W55" s="6"/>
      <c r="X55" s="6"/>
      <c r="Y55" s="12"/>
      <c r="Z55" s="12"/>
    </row>
    <row r="56" spans="1:26" ht="15.6" customHeight="1" x14ac:dyDescent="0.35">
      <c r="A56" s="7" cm="1">
        <f t="array" ref="A56">DATE(YEAR(A57),MONTH(A57)-3,1)</f>
        <v>44075</v>
      </c>
      <c r="B56" s="8">
        <v>2.2999999999999998</v>
      </c>
      <c r="C56" s="11">
        <v>1.60246672756077</v>
      </c>
      <c r="D56" s="12">
        <v>1.8537380000000001</v>
      </c>
      <c r="E56" s="12">
        <v>2.3472930000000001</v>
      </c>
      <c r="F56" s="12">
        <v>1.0726469999999999</v>
      </c>
      <c r="G56" s="12">
        <v>4.3465109999999996</v>
      </c>
      <c r="H56" s="12">
        <v>2.42209649954335</v>
      </c>
      <c r="I56" s="12">
        <v>1.65097270109683</v>
      </c>
      <c r="J56" s="12">
        <v>1.2140820000000001</v>
      </c>
      <c r="K56" s="12">
        <v>2.2233262368167499</v>
      </c>
      <c r="L56" s="12">
        <v>1.4095112999999999</v>
      </c>
      <c r="M56" s="12">
        <v>0.93949163060637797</v>
      </c>
      <c r="N56" s="12">
        <v>1.49724900722504</v>
      </c>
      <c r="O56" s="12">
        <v>0.82290399999999997</v>
      </c>
      <c r="P56" s="12">
        <v>2.8647969999999998</v>
      </c>
      <c r="Q56" s="12"/>
      <c r="R56" s="6"/>
      <c r="S56" s="6"/>
      <c r="T56" s="6"/>
      <c r="U56" s="6"/>
      <c r="V56" s="6"/>
      <c r="W56" s="6"/>
      <c r="X56" s="6"/>
      <c r="Y56" s="12"/>
      <c r="Z56" s="12"/>
    </row>
    <row r="57" spans="1:26" ht="15.6" customHeight="1" x14ac:dyDescent="0.35">
      <c r="A57" s="7" cm="1">
        <f t="array" ref="A57">DATE(YEAR(A58),MONTH(A58)-3,1)</f>
        <v>44166</v>
      </c>
      <c r="B57" s="8">
        <v>1.3</v>
      </c>
      <c r="C57" s="11">
        <v>0.837722193812514</v>
      </c>
      <c r="D57" s="12">
        <v>1.517258</v>
      </c>
      <c r="E57" s="12">
        <v>1.5588500000000001</v>
      </c>
      <c r="F57" s="12">
        <v>1.4894259999999999</v>
      </c>
      <c r="G57" s="12">
        <v>3.3954909999999998</v>
      </c>
      <c r="H57" s="12">
        <v>1.86171729420527</v>
      </c>
      <c r="I57" s="12">
        <v>1.27764809867339</v>
      </c>
      <c r="J57" s="12">
        <v>0.65826799999999996</v>
      </c>
      <c r="K57" s="12">
        <v>1.4660299525018401</v>
      </c>
      <c r="L57" s="12">
        <v>0.26395336000000003</v>
      </c>
      <c r="M57" s="12">
        <v>0.90888906682285797</v>
      </c>
      <c r="N57" s="12">
        <v>1.2552896738052399</v>
      </c>
      <c r="O57" s="12">
        <v>1.9463729999999999</v>
      </c>
      <c r="P57" s="12">
        <v>1.520173</v>
      </c>
      <c r="Q57" s="12"/>
      <c r="R57" s="6"/>
      <c r="S57" s="6"/>
      <c r="T57" s="6"/>
      <c r="U57" s="6"/>
      <c r="V57" s="6"/>
      <c r="W57" s="6"/>
      <c r="X57" s="6"/>
      <c r="Y57" s="12"/>
      <c r="Z57" s="12"/>
    </row>
    <row r="58" spans="1:26" ht="15.6" customHeight="1" x14ac:dyDescent="0.35">
      <c r="A58" s="7" cm="1">
        <f t="array" ref="A58">DATE(YEAR(A59),MONTH(A59)-3,1)</f>
        <v>44256</v>
      </c>
      <c r="B58" s="8">
        <v>1.8</v>
      </c>
      <c r="C58" s="11">
        <v>0.708796485088936</v>
      </c>
      <c r="D58" s="12">
        <v>1.135054</v>
      </c>
      <c r="E58" s="12">
        <v>1.1258600000000001</v>
      </c>
      <c r="F58" s="12">
        <v>1.0571839999999999</v>
      </c>
      <c r="G58" s="12">
        <v>3.3540770000000002</v>
      </c>
      <c r="H58" s="12">
        <v>1.7043653697562</v>
      </c>
      <c r="I58" s="12">
        <v>0.97637374991209802</v>
      </c>
      <c r="J58" s="12">
        <v>1.226291</v>
      </c>
      <c r="K58" s="12">
        <v>1.8441018892240499</v>
      </c>
      <c r="L58" s="12">
        <v>1.3949053</v>
      </c>
      <c r="M58" s="12">
        <v>0.78378479607371898</v>
      </c>
      <c r="N58" s="12">
        <v>1.41016113758087</v>
      </c>
      <c r="O58" s="12">
        <v>1.8200959999999999</v>
      </c>
      <c r="P58" s="12">
        <v>1.897805</v>
      </c>
      <c r="Q58" s="12"/>
      <c r="R58" s="6"/>
      <c r="S58" s="6"/>
      <c r="T58" s="6"/>
      <c r="U58" s="6"/>
      <c r="V58" s="6"/>
      <c r="W58" s="6"/>
      <c r="X58" s="6"/>
      <c r="Y58" s="12"/>
      <c r="Z58" s="12"/>
    </row>
    <row r="59" spans="1:26" ht="15.6" customHeight="1" x14ac:dyDescent="0.35">
      <c r="A59" s="7" cm="1">
        <f t="array" ref="A59">DATE(YEAR(A60),MONTH(A60)-3,1)</f>
        <v>44348</v>
      </c>
      <c r="B59" s="8">
        <v>0.9</v>
      </c>
      <c r="C59" s="11">
        <v>0.79660713618197898</v>
      </c>
      <c r="D59" s="12">
        <v>1.0532140000000001</v>
      </c>
      <c r="E59" s="12">
        <v>0.91615400000000002</v>
      </c>
      <c r="F59" s="12">
        <v>0.93946799999999997</v>
      </c>
      <c r="G59" s="12">
        <v>1.6572530000000001</v>
      </c>
      <c r="H59" s="12">
        <v>1.9715396532201599</v>
      </c>
      <c r="I59" s="12">
        <v>1.1789284373726701</v>
      </c>
      <c r="J59" s="12">
        <v>1.3111060000000001</v>
      </c>
      <c r="K59" s="12">
        <v>1.0689834303457399</v>
      </c>
      <c r="L59" s="12">
        <v>1.5954638999999999</v>
      </c>
      <c r="M59" s="12">
        <v>0.82049007112575101</v>
      </c>
      <c r="N59" s="12">
        <v>1.31070899963379</v>
      </c>
      <c r="O59" s="12">
        <v>0.772235</v>
      </c>
      <c r="P59" s="12">
        <v>1.253916</v>
      </c>
      <c r="Q59" s="12"/>
      <c r="R59" s="6"/>
      <c r="S59" s="6"/>
      <c r="T59" s="6"/>
      <c r="U59" s="6"/>
      <c r="V59" s="6"/>
      <c r="W59" s="6"/>
      <c r="X59" s="6"/>
      <c r="Y59" s="12"/>
      <c r="Z59" s="12"/>
    </row>
    <row r="60" spans="1:26" ht="15.6" customHeight="1" x14ac:dyDescent="0.35">
      <c r="A60" s="7" cm="1">
        <f t="array" ref="A60">DATE(YEAR(A61),MONTH(A61)-3,1)</f>
        <v>44440</v>
      </c>
      <c r="B60" s="8">
        <v>0.1</v>
      </c>
      <c r="C60" s="11">
        <v>1.5832175181652199</v>
      </c>
      <c r="D60" s="12">
        <v>0.57208599999999998</v>
      </c>
      <c r="E60" s="12">
        <v>0.509077</v>
      </c>
      <c r="F60" s="12">
        <v>0.59174499999999997</v>
      </c>
      <c r="G60" s="12">
        <v>-8.5339999999999999E-2</v>
      </c>
      <c r="H60" s="12">
        <v>1.1361075598983501</v>
      </c>
      <c r="I60" s="12">
        <v>0.83216766361269301</v>
      </c>
      <c r="J60" s="12">
        <v>0.94798700000000002</v>
      </c>
      <c r="K60" s="12">
        <v>1.0444527374421</v>
      </c>
      <c r="L60" s="12">
        <v>0.33896959999999998</v>
      </c>
      <c r="M60" s="12">
        <v>0.86006889859059998</v>
      </c>
      <c r="N60" s="12">
        <v>0.90601950883865401</v>
      </c>
      <c r="O60" s="12">
        <v>0.58193799999999996</v>
      </c>
      <c r="P60" s="12">
        <v>1.3136000000000001</v>
      </c>
      <c r="Q60" s="12"/>
      <c r="R60" s="6"/>
      <c r="S60" s="6"/>
      <c r="T60" s="6"/>
      <c r="U60" s="6"/>
      <c r="V60" s="6"/>
      <c r="W60" s="6"/>
      <c r="X60" s="6"/>
      <c r="Y60" s="12"/>
      <c r="Z60" s="12"/>
    </row>
    <row r="61" spans="1:26" ht="15.6" customHeight="1" x14ac:dyDescent="0.35">
      <c r="A61" s="7" cm="1">
        <f t="array" ref="A61">DATE(YEAR(A62),MONTH(A62)-3,1)</f>
        <v>44531</v>
      </c>
      <c r="B61" s="8">
        <v>1.4</v>
      </c>
      <c r="C61" s="11">
        <v>0.67052347367387199</v>
      </c>
      <c r="D61" s="12">
        <v>1.296681</v>
      </c>
      <c r="E61" s="12">
        <v>1.352924</v>
      </c>
      <c r="F61" s="12">
        <v>1.212161</v>
      </c>
      <c r="G61" s="12">
        <v>1.2603390000000001</v>
      </c>
      <c r="H61" s="12">
        <v>0.57351377397625602</v>
      </c>
      <c r="I61" s="12">
        <v>0.72086801551575197</v>
      </c>
      <c r="J61" s="12">
        <v>1.6957310000000001</v>
      </c>
      <c r="K61" s="12">
        <v>1.3173996118717599</v>
      </c>
      <c r="L61" s="12">
        <v>0.67769425999999999</v>
      </c>
      <c r="M61" s="12">
        <v>0.74615812276216698</v>
      </c>
      <c r="N61" s="12">
        <v>0.95430064201355003</v>
      </c>
      <c r="O61" s="12">
        <v>1.7357689999999999</v>
      </c>
      <c r="P61" s="12">
        <v>1.7450129999999999</v>
      </c>
      <c r="Q61" s="12"/>
      <c r="R61" s="6"/>
      <c r="S61" s="6"/>
      <c r="T61" s="6"/>
      <c r="U61" s="6"/>
      <c r="V61" s="6"/>
      <c r="W61" s="6"/>
      <c r="X61" s="6"/>
      <c r="Y61" s="12"/>
      <c r="Z61" s="12"/>
    </row>
    <row r="62" spans="1:26" ht="15.6" customHeight="1" x14ac:dyDescent="0.35">
      <c r="A62" s="7" cm="1">
        <f t="array" ref="A62">DATE(YEAR(A63),MONTH(A63)-3,1)</f>
        <v>44621</v>
      </c>
      <c r="B62" s="8">
        <v>0.7</v>
      </c>
      <c r="C62" s="11">
        <v>1.23484862610723</v>
      </c>
      <c r="D62" s="12">
        <v>0.84420700000000004</v>
      </c>
      <c r="E62" s="12">
        <v>0.83652899999999997</v>
      </c>
      <c r="F62" s="12">
        <v>0.87666999999999995</v>
      </c>
      <c r="G62" s="12">
        <v>0.97516000000000003</v>
      </c>
      <c r="H62" s="12">
        <v>0.86985559481695496</v>
      </c>
      <c r="I62" s="12">
        <v>0.86538675668013598</v>
      </c>
      <c r="J62" s="12">
        <v>1.517371</v>
      </c>
      <c r="K62" s="12">
        <v>0.70775848202720204</v>
      </c>
      <c r="L62" s="12">
        <v>0.31368905000000002</v>
      </c>
      <c r="M62" s="12">
        <v>0.71986165738117502</v>
      </c>
      <c r="N62" s="12">
        <v>0.92264759540557895</v>
      </c>
      <c r="O62" s="12">
        <v>0.89302099999999995</v>
      </c>
      <c r="P62" s="12">
        <v>0.95853299999999997</v>
      </c>
      <c r="Q62" s="12"/>
      <c r="R62" s="6"/>
      <c r="S62" s="6"/>
      <c r="T62" s="6"/>
      <c r="U62" s="6"/>
      <c r="V62" s="6"/>
      <c r="W62" s="6"/>
      <c r="X62" s="6"/>
      <c r="Y62" s="12"/>
      <c r="Z62" s="12"/>
    </row>
    <row r="63" spans="1:26" ht="15.6" customHeight="1" x14ac:dyDescent="0.35">
      <c r="A63" s="7" cm="1">
        <f t="array" ref="A63">DATE(YEAR(A64),MONTH(A64)-3,1)</f>
        <v>44713</v>
      </c>
      <c r="B63" s="8">
        <v>0.8</v>
      </c>
      <c r="C63" s="11">
        <v>0.38313601279117498</v>
      </c>
      <c r="D63" s="12">
        <v>0.37376300000000001</v>
      </c>
      <c r="E63" s="12">
        <v>0.39195000000000002</v>
      </c>
      <c r="F63" s="12">
        <v>0.449743</v>
      </c>
      <c r="G63" s="12">
        <v>1.116168</v>
      </c>
      <c r="H63" s="12">
        <v>0.75994199042972299</v>
      </c>
      <c r="I63" s="12">
        <v>0.88283035926354703</v>
      </c>
      <c r="J63" s="12">
        <v>1.2723690000000001</v>
      </c>
      <c r="K63" s="12">
        <v>0.48348105970583799</v>
      </c>
      <c r="L63" s="12">
        <v>0.71954452999999996</v>
      </c>
      <c r="M63" s="12">
        <v>0.18567691054649499</v>
      </c>
      <c r="N63" s="12">
        <v>0.63478404283523604</v>
      </c>
      <c r="O63" s="12">
        <v>0.26861099999999999</v>
      </c>
      <c r="P63" s="12">
        <v>0.56914100000000001</v>
      </c>
      <c r="Q63" s="12"/>
      <c r="R63" s="6"/>
      <c r="S63" s="6"/>
      <c r="T63" s="6"/>
      <c r="U63" s="6"/>
      <c r="V63" s="6"/>
      <c r="W63" s="6"/>
      <c r="X63" s="6"/>
      <c r="Y63" s="12"/>
      <c r="Z63" s="12"/>
    </row>
    <row r="64" spans="1:26" ht="15.6" customHeight="1" x14ac:dyDescent="0.35">
      <c r="A64" s="7" cm="1">
        <f t="array" ref="A64">DATE(YEAR(A65),MONTH(A65)-3,1)</f>
        <v>44805</v>
      </c>
      <c r="B64" s="8">
        <v>0.2</v>
      </c>
      <c r="C64" s="11">
        <v>-3.5182086148525499E-2</v>
      </c>
      <c r="D64" s="12">
        <v>0.19992799999999999</v>
      </c>
      <c r="E64" s="12">
        <v>9.5254000000000005E-2</v>
      </c>
      <c r="F64" s="12">
        <v>0.34061900000000001</v>
      </c>
      <c r="G64" s="12">
        <v>1.0411699999999999</v>
      </c>
      <c r="H64" s="12">
        <v>0.28993776927535703</v>
      </c>
      <c r="I64" s="12">
        <v>0.422397806308413</v>
      </c>
      <c r="J64" s="12">
        <v>0.873112</v>
      </c>
      <c r="K64" s="12">
        <v>0.62004694232161495</v>
      </c>
      <c r="L64" s="12">
        <v>0.68461346999999995</v>
      </c>
      <c r="M64" s="12">
        <v>0.10286103469973799</v>
      </c>
      <c r="N64" s="12">
        <v>0.64097625017166104</v>
      </c>
      <c r="O64" s="12">
        <v>0.58890699999999996</v>
      </c>
      <c r="P64" s="12">
        <v>0.59603799999999996</v>
      </c>
      <c r="Q64" s="12"/>
      <c r="R64" s="6"/>
      <c r="S64" s="6"/>
      <c r="T64" s="6"/>
      <c r="U64" s="6"/>
      <c r="V64" s="6"/>
      <c r="W64" s="6"/>
      <c r="X64" s="6"/>
      <c r="Y64" s="12"/>
      <c r="Z64" s="12"/>
    </row>
    <row r="65" spans="1:26" ht="15.6" customHeight="1" x14ac:dyDescent="0.35">
      <c r="A65" s="7" cm="1">
        <f t="array" ref="A65">DATE(YEAR(A66),MONTH(A66)-3,1)</f>
        <v>44896</v>
      </c>
      <c r="B65" s="8">
        <v>-0.3</v>
      </c>
      <c r="C65" s="11">
        <v>-0.80932658317772899</v>
      </c>
      <c r="D65" s="12">
        <v>-0.78486</v>
      </c>
      <c r="E65" s="12">
        <v>-0.93252999999999997</v>
      </c>
      <c r="F65" s="12">
        <v>-0.55035999999999996</v>
      </c>
      <c r="G65" s="12">
        <v>-3.764E-2</v>
      </c>
      <c r="H65" s="12">
        <v>4.3073870182066499E-3</v>
      </c>
      <c r="I65" s="12">
        <v>0.45885565076943302</v>
      </c>
      <c r="J65" s="12">
        <v>-0.43845000000000001</v>
      </c>
      <c r="K65" s="12">
        <v>4.5649433528709003E-2</v>
      </c>
      <c r="L65" s="12">
        <v>-0.58131604999999997</v>
      </c>
      <c r="M65" s="12">
        <v>0.154930060308236</v>
      </c>
      <c r="N65" s="12">
        <v>0.28175333142280601</v>
      </c>
      <c r="O65" s="12">
        <v>-0.714974</v>
      </c>
      <c r="P65" s="12">
        <v>-0.43512099999999998</v>
      </c>
      <c r="Q65" s="12"/>
      <c r="R65" s="6"/>
      <c r="S65" s="6"/>
      <c r="T65" s="6"/>
      <c r="U65" s="6"/>
      <c r="V65" s="6"/>
      <c r="W65" s="6"/>
      <c r="X65" s="6"/>
      <c r="Y65" s="12"/>
      <c r="Z65" s="12"/>
    </row>
    <row r="66" spans="1:26" ht="15.6" customHeight="1" x14ac:dyDescent="0.35">
      <c r="A66" s="7" cm="1">
        <f t="array" ref="A66">DATE(YEAR(A67),MONTH(A67)-3,1)</f>
        <v>44986</v>
      </c>
      <c r="B66" s="8">
        <v>0.3</v>
      </c>
      <c r="C66" s="11">
        <v>0.36030048781912799</v>
      </c>
      <c r="D66" s="12">
        <v>0.32618000000000003</v>
      </c>
      <c r="E66" s="12">
        <v>0.19078899999999999</v>
      </c>
      <c r="F66" s="12">
        <v>0.42687599999999998</v>
      </c>
      <c r="G66" s="12"/>
      <c r="H66" s="6"/>
      <c r="I66" s="12">
        <v>0.4536</v>
      </c>
      <c r="J66" s="12">
        <v>0.60613600000000001</v>
      </c>
      <c r="K66" s="12">
        <v>0.45476663877461099</v>
      </c>
      <c r="L66" s="12"/>
      <c r="M66" s="12">
        <v>0.51521447002911402</v>
      </c>
      <c r="N66" s="12">
        <v>5.6324366480112097E-2</v>
      </c>
      <c r="O66" s="12"/>
      <c r="P66" s="12"/>
      <c r="Q66" s="12"/>
      <c r="R66" s="6"/>
      <c r="S66" s="6"/>
      <c r="T66" s="6"/>
      <c r="U66" s="6"/>
      <c r="V66" s="6"/>
      <c r="W66" s="6"/>
      <c r="X66" s="6"/>
      <c r="Y66" s="6"/>
      <c r="Z66" s="12"/>
    </row>
    <row r="67" spans="1:26" ht="15.6" customHeight="1" x14ac:dyDescent="0.35">
      <c r="A67" s="7" cm="1">
        <f t="array" ref="A67">DATE(YEAR(A68),MONTH(A68)-3,1)</f>
        <v>45078</v>
      </c>
      <c r="B67" s="13">
        <v>0.6</v>
      </c>
      <c r="C67" s="10">
        <v>1.6</v>
      </c>
      <c r="D67" s="12">
        <v>0.79</v>
      </c>
      <c r="E67" s="12">
        <v>0.79</v>
      </c>
      <c r="F67" s="12">
        <v>0.7</v>
      </c>
      <c r="G67" s="6"/>
      <c r="H67" s="6"/>
      <c r="I67" s="6"/>
      <c r="J67" s="10">
        <v>0.88</v>
      </c>
      <c r="K67" s="12">
        <v>0.53</v>
      </c>
      <c r="L67" s="6"/>
      <c r="M67" s="12">
        <v>0.62</v>
      </c>
      <c r="N67" s="12">
        <v>1.1200000000000001</v>
      </c>
      <c r="O67" s="10">
        <v>0.23</v>
      </c>
      <c r="P67" s="10">
        <v>0.7</v>
      </c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5.6" customHeight="1" x14ac:dyDescent="0.35">
      <c r="A68" s="7" cm="1">
        <f t="array" ref="A68">DATE(YEAR(A69),MONTH(A69)-3,1)</f>
        <v>45170</v>
      </c>
      <c r="B68" s="14">
        <v>0.6</v>
      </c>
      <c r="C68" s="10">
        <v>0.28999999999999998</v>
      </c>
      <c r="D68" s="10">
        <v>0.28999999999999998</v>
      </c>
      <c r="E68" s="10">
        <v>0.27</v>
      </c>
      <c r="F68" s="10">
        <v>0.39</v>
      </c>
      <c r="G68" s="6"/>
      <c r="H68" s="6"/>
      <c r="I68" s="6"/>
      <c r="J68" s="10">
        <v>0.45</v>
      </c>
      <c r="K68" s="10">
        <v>0.45</v>
      </c>
      <c r="L68" s="6"/>
      <c r="M68" s="10">
        <v>0.63</v>
      </c>
      <c r="N68" s="10">
        <v>0.5</v>
      </c>
      <c r="O68" s="10">
        <v>-0.66</v>
      </c>
      <c r="P68" s="10">
        <v>0.08</v>
      </c>
      <c r="Q68" s="6"/>
      <c r="R68" s="6"/>
      <c r="S68" s="6"/>
      <c r="T68" s="6"/>
      <c r="U68" s="6"/>
      <c r="V68" s="6"/>
      <c r="W68" s="6"/>
      <c r="X68" s="6"/>
      <c r="Y68" s="6"/>
      <c r="Z68" s="6"/>
    </row>
    <row r="69" spans="1:26" ht="15.6" customHeight="1" x14ac:dyDescent="0.35">
      <c r="A69" s="7" cm="1">
        <f t="array" ref="A69">DATE(YEAR(A70),MONTH(A70)-3,1)</f>
        <v>45261</v>
      </c>
      <c r="B69" s="14">
        <v>0.6</v>
      </c>
      <c r="C69" s="10">
        <v>0.23</v>
      </c>
      <c r="D69" s="10">
        <v>0.84</v>
      </c>
      <c r="E69" s="10">
        <v>0.8</v>
      </c>
      <c r="F69" s="10">
        <v>0.75</v>
      </c>
      <c r="G69" s="6"/>
      <c r="H69" s="6"/>
      <c r="I69" s="6"/>
      <c r="J69" s="10">
        <v>0.8</v>
      </c>
      <c r="K69" s="10">
        <v>0.97</v>
      </c>
      <c r="L69" s="6"/>
      <c r="M69" s="10">
        <v>0.66</v>
      </c>
      <c r="N69" s="10">
        <v>1.32</v>
      </c>
      <c r="O69" s="10">
        <v>0.43</v>
      </c>
      <c r="P69" s="10">
        <v>0.74</v>
      </c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5.6" customHeight="1" x14ac:dyDescent="0.35">
      <c r="A70" s="7">
        <v>45352</v>
      </c>
      <c r="B70" s="14">
        <v>1.3</v>
      </c>
      <c r="C70" s="10">
        <v>0.69</v>
      </c>
      <c r="D70" s="10">
        <v>0.7</v>
      </c>
      <c r="E70" s="10">
        <v>0.7</v>
      </c>
      <c r="F70" s="10">
        <v>0.66</v>
      </c>
      <c r="G70" s="6"/>
      <c r="H70" s="6"/>
      <c r="I70" s="6"/>
      <c r="J70" s="10">
        <v>0.62</v>
      </c>
      <c r="K70" s="10">
        <v>0.82</v>
      </c>
      <c r="L70" s="6"/>
      <c r="M70" s="10">
        <v>0.71</v>
      </c>
      <c r="N70" s="10">
        <v>0.94</v>
      </c>
      <c r="O70" s="10">
        <v>0.83</v>
      </c>
      <c r="P70" s="10">
        <v>0.95</v>
      </c>
      <c r="Q70" s="6"/>
      <c r="R70" s="6"/>
      <c r="S70" s="6"/>
      <c r="T70" s="6"/>
      <c r="U70" s="6"/>
      <c r="V70" s="6"/>
      <c r="W70" s="6"/>
      <c r="X70" s="6"/>
      <c r="Y70" s="6"/>
      <c r="Z70" s="6"/>
    </row>
  </sheetData>
  <phoneticPr fontId="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showGridLines="0" workbookViewId="0"/>
  </sheetViews>
  <sheetFormatPr defaultColWidth="9" defaultRowHeight="15.6" customHeight="1" x14ac:dyDescent="0.35"/>
  <cols>
    <col min="1" max="6" width="9" style="15" customWidth="1"/>
    <col min="7" max="16384" width="9" style="15"/>
  </cols>
  <sheetData>
    <row r="1" spans="1:5" ht="15" customHeight="1" x14ac:dyDescent="0.35">
      <c r="A1" s="16"/>
      <c r="B1" s="16"/>
      <c r="C1" s="16"/>
      <c r="D1" s="16"/>
      <c r="E1" s="16"/>
    </row>
    <row r="2" spans="1:5" ht="15" customHeight="1" x14ac:dyDescent="0.35">
      <c r="A2" s="16"/>
      <c r="B2" s="16"/>
      <c r="C2" s="16"/>
      <c r="D2" s="16"/>
      <c r="E2" s="16"/>
    </row>
    <row r="3" spans="1:5" ht="15" customHeight="1" x14ac:dyDescent="0.35">
      <c r="A3" s="16"/>
      <c r="B3" s="16"/>
      <c r="C3" s="16"/>
      <c r="D3" s="16"/>
      <c r="E3" s="16"/>
    </row>
    <row r="4" spans="1:5" ht="15" customHeight="1" x14ac:dyDescent="0.35">
      <c r="A4" s="16"/>
      <c r="B4" s="16"/>
      <c r="C4" s="16"/>
      <c r="D4" s="16"/>
      <c r="E4" s="16"/>
    </row>
    <row r="5" spans="1:5" ht="15" customHeight="1" x14ac:dyDescent="0.35">
      <c r="A5" s="16"/>
      <c r="B5" s="16"/>
      <c r="C5" s="16"/>
      <c r="D5" s="16"/>
      <c r="E5" s="16"/>
    </row>
    <row r="6" spans="1:5" ht="15" customHeight="1" x14ac:dyDescent="0.35">
      <c r="A6" s="16"/>
      <c r="B6" s="16"/>
      <c r="C6" s="16"/>
      <c r="D6" s="16"/>
      <c r="E6" s="16"/>
    </row>
    <row r="7" spans="1:5" ht="15" customHeight="1" x14ac:dyDescent="0.35">
      <c r="A7" s="16"/>
      <c r="B7" s="16"/>
      <c r="C7" s="16"/>
      <c r="D7" s="16"/>
      <c r="E7" s="16"/>
    </row>
    <row r="8" spans="1:5" ht="15" customHeight="1" x14ac:dyDescent="0.35">
      <c r="A8" s="16"/>
      <c r="B8" s="16"/>
      <c r="C8" s="16"/>
      <c r="D8" s="16"/>
      <c r="E8" s="16"/>
    </row>
    <row r="9" spans="1:5" ht="15" customHeight="1" x14ac:dyDescent="0.35">
      <c r="A9" s="16"/>
      <c r="B9" s="16"/>
      <c r="C9" s="16"/>
      <c r="D9" s="16"/>
      <c r="E9" s="16"/>
    </row>
    <row r="10" spans="1:5" ht="15" customHeight="1" x14ac:dyDescent="0.35">
      <c r="A10" s="16"/>
      <c r="B10" s="16"/>
      <c r="C10" s="16"/>
      <c r="D10" s="16"/>
      <c r="E10" s="16"/>
    </row>
  </sheetData>
  <phoneticPr fontId="1" type="noConversion"/>
  <pageMargins left="0.7" right="0.7" top="0.75" bottom="0.75" header="0.3" footer="0.3"/>
  <pageSetup orientation="portrait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pred_GDP_now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조형배</cp:lastModifiedBy>
  <dcterms:modified xsi:type="dcterms:W3CDTF">2026-02-09T00:58:57Z</dcterms:modified>
</cp:coreProperties>
</file>