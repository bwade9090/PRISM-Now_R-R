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ed_GDP_now" sheetId="1" r:id="rId5"/>
    <sheet name="Sheet1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<sst xmlns="http://schemas.openxmlformats.org/spreadsheetml/2006/main" uniqueCount="16">
  <si>
    <t>GDP(SA) True</t>
  </si>
  <si>
    <t>DFM</t>
  </si>
  <si>
    <t>BEM1</t>
  </si>
  <si>
    <t>BEM2</t>
  </si>
  <si>
    <t>BEM3</t>
  </si>
  <si>
    <t>LBVAR</t>
  </si>
  <si>
    <t>TFM</t>
  </si>
  <si>
    <t>T-M</t>
  </si>
  <si>
    <t>VAR</t>
  </si>
  <si>
    <t>SVR-KNN</t>
  </si>
  <si>
    <t>CRNN</t>
  </si>
  <si>
    <t>RF-DVS</t>
  </si>
  <si>
    <t>S-XGB</t>
  </si>
  <si>
    <t>LQR</t>
  </si>
  <si>
    <t>OptimARIMA</t>
  </si>
  <si>
    <t>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</si>
</sst>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"/>
  </numFmts>
  <fonts count="3">
    <font>
      <sz val="10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49" fontId="0" fillId="4" borderId="3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14" fontId="0" fillId="2" borderId="5" applyNumberFormat="1" applyFont="1" applyFill="1" applyBorder="1" applyAlignment="1" applyProtection="0">
      <alignment vertical="bottom"/>
    </xf>
    <xf numFmtId="0" fontId="0" fillId="3" borderId="6" applyNumberFormat="1" applyFont="1" applyFill="1" applyBorder="1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0" fontId="0" fillId="4" borderId="4" applyNumberFormat="1" applyFont="1" applyFill="1" applyBorder="1" applyAlignment="1" applyProtection="0">
      <alignment vertical="bottom"/>
    </xf>
    <xf numFmtId="59" fontId="0" fillId="4" borderId="3" applyNumberFormat="1" applyFont="1" applyFill="1" applyBorder="1" applyAlignment="1" applyProtection="0">
      <alignment vertical="bottom"/>
    </xf>
    <xf numFmtId="59" fontId="0" fillId="4" borderId="4" applyNumberFormat="1" applyFont="1" applyFill="1" applyBorder="1" applyAlignment="1" applyProtection="0">
      <alignment vertical="bottom"/>
    </xf>
    <xf numFmtId="0" fontId="0" fillId="4" borderId="7" applyNumberFormat="1" applyFont="1" applyFill="1" applyBorder="1" applyAlignment="1" applyProtection="0">
      <alignment vertical="bottom"/>
    </xf>
    <xf numFmtId="0" fontId="0" fillId="4" borderId="3" applyNumberFormat="1" applyFont="1" applyFill="1" applyBorder="1" applyAlignment="1" applyProtection="0">
      <alignment vertical="bottom"/>
    </xf>
    <xf numFmtId="0" fontId="0" fillId="4" borderId="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9daf8"/>
      <rgbColor rgb="ffaaaaaa"/>
      <rgbColor rgb="ffefefe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71"/>
  <sheetViews>
    <sheetView workbookViewId="0" showGridLines="0" defaultGridColor="1"/>
  </sheetViews>
  <sheetFormatPr defaultColWidth="12.6" defaultRowHeight="15.75" customHeight="1" outlineLevelRow="0" outlineLevelCol="0"/>
  <cols>
    <col min="1" max="26" width="12.6016" style="1" customWidth="1"/>
    <col min="27" max="16384" width="12.6016" style="1" customWidth="1"/>
  </cols>
  <sheetData>
    <row r="1" ht="15.6" customHeight="1">
      <c r="A1" s="2"/>
      <c r="B1" t="s" s="3">
        <v>0</v>
      </c>
      <c r="C1" t="s" s="4">
        <v>1</v>
      </c>
      <c r="D1" t="s" s="5">
        <v>2</v>
      </c>
      <c r="E1" t="s" s="5">
        <v>3</v>
      </c>
      <c r="F1" t="s" s="5">
        <v>4</v>
      </c>
      <c r="G1" t="s" s="5">
        <v>5</v>
      </c>
      <c r="H1" t="s" s="5">
        <v>6</v>
      </c>
      <c r="I1" t="s" s="5">
        <v>7</v>
      </c>
      <c r="J1" t="s" s="5">
        <v>8</v>
      </c>
      <c r="K1" t="s" s="5">
        <v>9</v>
      </c>
      <c r="L1" t="s" s="5">
        <v>10</v>
      </c>
      <c r="M1" t="s" s="5">
        <v>11</v>
      </c>
      <c r="N1" t="s" s="5">
        <v>12</v>
      </c>
      <c r="O1" t="s" s="5">
        <v>13</v>
      </c>
      <c r="P1" t="s" s="5">
        <v>14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 ht="15.6" customHeight="1">
      <c r="A2" s="7">
        <v>39142</v>
      </c>
      <c r="B2" s="8">
        <v>1.8</v>
      </c>
      <c r="C2" s="9"/>
      <c r="D2" s="10">
        <v>1.04850396456957</v>
      </c>
      <c r="E2" s="10">
        <v>1.11859909539671</v>
      </c>
      <c r="F2" s="6"/>
      <c r="G2" s="6"/>
      <c r="H2" s="6"/>
      <c r="I2" s="6"/>
      <c r="J2" s="6"/>
      <c r="K2" s="10">
        <v>1.6376398183967</v>
      </c>
      <c r="L2" s="6"/>
      <c r="M2" s="10">
        <v>1.38053391186642</v>
      </c>
      <c r="N2" s="10">
        <v>1.30030655860901</v>
      </c>
      <c r="O2" s="10">
        <v>1.10199136574122</v>
      </c>
      <c r="P2" s="10">
        <v>3.18772810423871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ht="15.6" customHeight="1">
      <c r="A3" s="7">
        <v>39234</v>
      </c>
      <c r="B3" s="8">
        <v>1.7</v>
      </c>
      <c r="C3" s="9"/>
      <c r="D3" s="10">
        <v>1.41012256605837</v>
      </c>
      <c r="E3" s="10">
        <v>1.10731096588754</v>
      </c>
      <c r="F3" s="6"/>
      <c r="G3" s="6"/>
      <c r="H3" s="6"/>
      <c r="I3" s="6"/>
      <c r="J3" s="6"/>
      <c r="K3" s="10">
        <v>1.30368662949177</v>
      </c>
      <c r="L3" s="6"/>
      <c r="M3" s="10">
        <v>1.38992504038626</v>
      </c>
      <c r="N3" s="10">
        <v>1.34529149532318</v>
      </c>
      <c r="O3" s="10">
        <v>0.745395140698245</v>
      </c>
      <c r="P3" s="10">
        <v>1.52310061250387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ht="15.6" customHeight="1">
      <c r="A4" s="7">
        <v>39326</v>
      </c>
      <c r="B4" s="8">
        <v>1.2</v>
      </c>
      <c r="C4" s="9"/>
      <c r="D4" s="10">
        <v>1.18665273492038</v>
      </c>
      <c r="E4" s="10">
        <v>1.14382839195777</v>
      </c>
      <c r="F4" s="6"/>
      <c r="G4" s="6"/>
      <c r="H4" s="6"/>
      <c r="I4" s="6"/>
      <c r="J4" s="6"/>
      <c r="K4" s="10">
        <v>1.29238477392337</v>
      </c>
      <c r="L4" s="6"/>
      <c r="M4" s="10">
        <v>1.17288451790564</v>
      </c>
      <c r="N4" s="10">
        <v>1.38642477989197</v>
      </c>
      <c r="O4" s="10">
        <v>0.95089590389865</v>
      </c>
      <c r="P4" s="10">
        <v>1.09815840238468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ht="15.6" customHeight="1">
      <c r="A5" s="7">
        <v>39417</v>
      </c>
      <c r="B5" s="8">
        <v>2</v>
      </c>
      <c r="C5" s="9"/>
      <c r="D5" s="10">
        <v>1.01767574755716</v>
      </c>
      <c r="E5" s="10">
        <v>0.928408860129615</v>
      </c>
      <c r="F5" s="6"/>
      <c r="G5" s="6"/>
      <c r="H5" s="6"/>
      <c r="I5" s="6"/>
      <c r="J5" s="6"/>
      <c r="K5" s="10">
        <v>1.34131183522435</v>
      </c>
      <c r="L5" s="6"/>
      <c r="M5" s="10">
        <v>1.04846439655245</v>
      </c>
      <c r="N5" s="10">
        <v>1.36448192596436</v>
      </c>
      <c r="O5" s="10">
        <v>2.59421742910142</v>
      </c>
      <c r="P5" s="10">
        <v>1.44545012583067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ht="15.6" customHeight="1">
      <c r="A6" s="7">
        <v>39508</v>
      </c>
      <c r="B6" s="8">
        <v>0.8</v>
      </c>
      <c r="C6" s="9"/>
      <c r="D6" s="10">
        <v>1.19474019677082</v>
      </c>
      <c r="E6" s="10">
        <v>1.24565759081232</v>
      </c>
      <c r="F6" s="6"/>
      <c r="G6" s="6"/>
      <c r="H6" s="6"/>
      <c r="I6" s="6"/>
      <c r="J6" s="6"/>
      <c r="K6" s="10">
        <v>1.04577682730954</v>
      </c>
      <c r="L6" s="6"/>
      <c r="M6" s="10">
        <v>1.55640300790672</v>
      </c>
      <c r="N6" s="10">
        <v>1.44449388980866</v>
      </c>
      <c r="O6" s="10">
        <v>1.19610491223947</v>
      </c>
      <c r="P6" s="10">
        <v>1.06118232929756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ht="15.6" customHeight="1">
      <c r="A7" s="7">
        <v>39600</v>
      </c>
      <c r="B7" s="8">
        <v>0.4</v>
      </c>
      <c r="C7" s="9"/>
      <c r="D7" s="10">
        <v>0.648689509597133</v>
      </c>
      <c r="E7" s="10">
        <v>0.695569617927738</v>
      </c>
      <c r="F7" s="6"/>
      <c r="G7" s="6"/>
      <c r="H7" s="6"/>
      <c r="I7" s="6"/>
      <c r="J7" s="6"/>
      <c r="K7" s="10">
        <v>1.39104007927076</v>
      </c>
      <c r="L7" s="6"/>
      <c r="M7" s="10">
        <v>0.820493236637133</v>
      </c>
      <c r="N7" s="10">
        <v>1.36721467971802</v>
      </c>
      <c r="O7" s="10">
        <v>1.41132698445071</v>
      </c>
      <c r="P7" s="10">
        <v>2.42874573375722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ht="15.6" customHeight="1">
      <c r="A8" s="7">
        <v>39692</v>
      </c>
      <c r="B8" s="8">
        <v>0.7</v>
      </c>
      <c r="C8" s="9"/>
      <c r="D8" s="10">
        <v>1.13918356938019</v>
      </c>
      <c r="E8" s="10">
        <v>0.932740874885951</v>
      </c>
      <c r="F8" s="6"/>
      <c r="G8" s="6"/>
      <c r="H8" s="6"/>
      <c r="I8" s="6"/>
      <c r="J8" s="6"/>
      <c r="K8" s="10">
        <v>1.02731186127273</v>
      </c>
      <c r="L8" s="6"/>
      <c r="M8" s="10">
        <v>1.0254845842996</v>
      </c>
      <c r="N8" s="10">
        <v>1.31948888301849</v>
      </c>
      <c r="O8" s="10">
        <v>0.204281684299053</v>
      </c>
      <c r="P8" s="10">
        <v>2.14285967887449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ht="15.6" customHeight="1">
      <c r="A9" s="7">
        <v>39783</v>
      </c>
      <c r="B9" s="8">
        <v>-3.4</v>
      </c>
      <c r="C9" s="9"/>
      <c r="D9" s="10">
        <v>1.00153238605998</v>
      </c>
      <c r="E9" s="10">
        <v>1.40106161205491</v>
      </c>
      <c r="F9" s="6"/>
      <c r="G9" s="6"/>
      <c r="H9" s="6"/>
      <c r="I9" s="6"/>
      <c r="J9" s="6"/>
      <c r="K9" s="10">
        <v>0.386686348559166</v>
      </c>
      <c r="L9" s="6"/>
      <c r="M9" s="10">
        <v>0.705416308607796</v>
      </c>
      <c r="N9" s="10">
        <v>1.28472101688385</v>
      </c>
      <c r="O9" s="10">
        <v>-4.57914049909674</v>
      </c>
      <c r="P9" s="10">
        <v>-1.88147840121385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ht="15.6" customHeight="1">
      <c r="A10" s="7">
        <v>39873</v>
      </c>
      <c r="B10" s="8">
        <v>0.3</v>
      </c>
      <c r="C10" s="9"/>
      <c r="D10" s="10">
        <v>0.813675668784875</v>
      </c>
      <c r="E10" s="10">
        <v>3.51506085042388</v>
      </c>
      <c r="F10" s="6"/>
      <c r="G10" s="6"/>
      <c r="H10" s="6"/>
      <c r="I10" s="6"/>
      <c r="J10" s="6"/>
      <c r="K10" s="10">
        <v>0.134462437555666</v>
      </c>
      <c r="L10" s="6"/>
      <c r="M10" s="10">
        <v>0.364238146962025</v>
      </c>
      <c r="N10" s="10">
        <v>0.15965162217617</v>
      </c>
      <c r="O10" s="10">
        <v>-0.351205197087867</v>
      </c>
      <c r="P10" s="10">
        <v>0.460651372040984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6" customHeight="1">
      <c r="A11" s="7">
        <v>39965</v>
      </c>
      <c r="B11" s="8">
        <v>1.4</v>
      </c>
      <c r="C11" s="9"/>
      <c r="D11" s="10">
        <v>3.74258468320683</v>
      </c>
      <c r="E11" s="10">
        <v>1.89062784878455</v>
      </c>
      <c r="F11" s="6"/>
      <c r="G11" s="6"/>
      <c r="H11" s="6"/>
      <c r="I11" s="6"/>
      <c r="J11" s="6"/>
      <c r="K11" s="10">
        <v>2.4907174871256</v>
      </c>
      <c r="L11" s="6"/>
      <c r="M11" s="10">
        <v>1.4522384869716</v>
      </c>
      <c r="N11" s="10">
        <v>1.27171337604523</v>
      </c>
      <c r="O11" s="10">
        <v>2.37905556613459</v>
      </c>
      <c r="P11" s="10">
        <v>3.02181936117643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6" customHeight="1">
      <c r="A12" s="7">
        <v>40057</v>
      </c>
      <c r="B12" s="8">
        <v>3.1</v>
      </c>
      <c r="C12" s="9"/>
      <c r="D12" s="10">
        <v>3.47553811073347</v>
      </c>
      <c r="E12" s="10">
        <v>1.90142731115159</v>
      </c>
      <c r="F12" s="6"/>
      <c r="G12" s="6"/>
      <c r="H12" s="6"/>
      <c r="I12" s="6"/>
      <c r="J12" s="6"/>
      <c r="K12" s="10">
        <v>1.73120358971287</v>
      </c>
      <c r="L12" s="6"/>
      <c r="M12" s="10">
        <v>1.33940186103066</v>
      </c>
      <c r="N12" s="10">
        <v>1.27032780647278</v>
      </c>
      <c r="O12" s="10">
        <v>1.19961636171205</v>
      </c>
      <c r="P12" s="10">
        <v>1.75688389458901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6" customHeight="1">
      <c r="A13" s="7">
        <v>40148</v>
      </c>
      <c r="B13" s="8">
        <v>0.7</v>
      </c>
      <c r="C13" s="9"/>
      <c r="D13" s="10">
        <v>3.16728855738457</v>
      </c>
      <c r="E13" s="10">
        <v>3.21754710896656</v>
      </c>
      <c r="F13" s="6"/>
      <c r="G13" s="6"/>
      <c r="H13" s="6"/>
      <c r="I13" s="6"/>
      <c r="J13" s="6"/>
      <c r="K13" s="10">
        <v>1.99359727379095</v>
      </c>
      <c r="L13" s="6"/>
      <c r="M13" s="10">
        <v>1.84206446652314</v>
      </c>
      <c r="N13" s="10">
        <v>1.36756038665772</v>
      </c>
      <c r="O13" s="10">
        <v>0.7212379880875009</v>
      </c>
      <c r="P13" s="10">
        <v>1.41384705210278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6" customHeight="1">
      <c r="A14" s="7">
        <v>40238</v>
      </c>
      <c r="B14" s="8">
        <v>2.3</v>
      </c>
      <c r="C14" s="9"/>
      <c r="D14" s="10">
        <v>2.35881612816069</v>
      </c>
      <c r="E14" s="10">
        <v>1.49928424917327</v>
      </c>
      <c r="F14" s="6"/>
      <c r="G14" s="6"/>
      <c r="H14" s="6"/>
      <c r="I14" s="6"/>
      <c r="J14" s="6"/>
      <c r="K14" s="10">
        <v>1.73651405910934</v>
      </c>
      <c r="L14" s="6"/>
      <c r="M14" s="10">
        <v>1.23007823643363</v>
      </c>
      <c r="N14" s="10">
        <v>1.34926605224609</v>
      </c>
      <c r="O14" s="10">
        <v>0.545465434928005</v>
      </c>
      <c r="P14" s="10">
        <v>2.05292306469323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6" customHeight="1">
      <c r="A15" s="7">
        <v>40330</v>
      </c>
      <c r="B15" s="8">
        <v>1.6</v>
      </c>
      <c r="C15" s="9"/>
      <c r="D15" s="10">
        <v>2.13295288013029</v>
      </c>
      <c r="E15" s="10">
        <v>1.70690076263185</v>
      </c>
      <c r="F15" s="6"/>
      <c r="G15" s="6"/>
      <c r="H15" s="6"/>
      <c r="I15" s="6"/>
      <c r="J15" s="6"/>
      <c r="K15" s="10">
        <v>1.54119405198128</v>
      </c>
      <c r="L15" s="6"/>
      <c r="M15" s="10">
        <v>1.39470755825413</v>
      </c>
      <c r="N15" s="10">
        <v>0.945492327213287</v>
      </c>
      <c r="O15" s="10">
        <v>2.11551036443154</v>
      </c>
      <c r="P15" s="10">
        <v>2.17221209273386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6" customHeight="1">
      <c r="A16" s="7">
        <v>40422</v>
      </c>
      <c r="B16" s="8">
        <v>1</v>
      </c>
      <c r="C16" s="9"/>
      <c r="D16" s="10">
        <v>1.3204276615836</v>
      </c>
      <c r="E16" s="10">
        <v>1.31834017844863</v>
      </c>
      <c r="F16" s="6"/>
      <c r="G16" s="6"/>
      <c r="H16" s="6"/>
      <c r="I16" s="6"/>
      <c r="J16" s="6"/>
      <c r="K16" s="10">
        <v>1.60352820963149</v>
      </c>
      <c r="L16" s="6"/>
      <c r="M16" s="10">
        <v>1.48332186690792</v>
      </c>
      <c r="N16" s="10">
        <v>1.52104461193085</v>
      </c>
      <c r="O16" s="10">
        <v>0.32820360341676</v>
      </c>
      <c r="P16" s="10">
        <v>0.492219416340937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6" customHeight="1">
      <c r="A17" s="7">
        <v>40513</v>
      </c>
      <c r="B17" s="8">
        <v>1.4</v>
      </c>
      <c r="C17" s="9"/>
      <c r="D17" s="10">
        <v>1.25447873344893</v>
      </c>
      <c r="E17" s="10">
        <v>1.3306951817782</v>
      </c>
      <c r="F17" s="6"/>
      <c r="G17" s="6"/>
      <c r="H17" s="6"/>
      <c r="I17" s="6"/>
      <c r="J17" s="6"/>
      <c r="K17" s="10">
        <v>1.47458731618335</v>
      </c>
      <c r="L17" s="6"/>
      <c r="M17" s="10">
        <v>1.32431215766725</v>
      </c>
      <c r="N17" s="10">
        <v>1.25581359863281</v>
      </c>
      <c r="O17" s="10">
        <v>1.51048755730707</v>
      </c>
      <c r="P17" s="10">
        <v>1.18442965272701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6" customHeight="1">
      <c r="A18" s="7">
        <v>40603</v>
      </c>
      <c r="B18" s="8">
        <v>1</v>
      </c>
      <c r="C18" s="9"/>
      <c r="D18" s="10">
        <v>1.52184873926533</v>
      </c>
      <c r="E18" s="10">
        <v>1.11088045935777</v>
      </c>
      <c r="F18" s="6"/>
      <c r="G18" s="6"/>
      <c r="H18" s="6"/>
      <c r="I18" s="6"/>
      <c r="J18" s="6"/>
      <c r="K18" s="10">
        <v>1.2773260300591</v>
      </c>
      <c r="L18" s="6"/>
      <c r="M18" s="10">
        <v>1.79065496728191</v>
      </c>
      <c r="N18" s="10">
        <v>0.977918982505798</v>
      </c>
      <c r="O18" s="10">
        <v>1.35320696258644</v>
      </c>
      <c r="P18" s="10">
        <v>2.8285237114781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6" customHeight="1">
      <c r="A19" s="7">
        <v>40695</v>
      </c>
      <c r="B19" s="8">
        <v>0.4</v>
      </c>
      <c r="C19" s="9"/>
      <c r="D19" s="10">
        <v>1.11076048982053</v>
      </c>
      <c r="E19" s="10">
        <v>0.840219405865383</v>
      </c>
      <c r="F19" s="6"/>
      <c r="G19" s="6"/>
      <c r="H19" s="6"/>
      <c r="I19" s="6"/>
      <c r="J19" s="6"/>
      <c r="K19" s="10">
        <v>1.21595718366695</v>
      </c>
      <c r="L19" s="6"/>
      <c r="M19" s="10">
        <v>1.09112361526294</v>
      </c>
      <c r="N19" s="10">
        <v>0.969341993331909</v>
      </c>
      <c r="O19" s="10">
        <v>0.226005060465835</v>
      </c>
      <c r="P19" s="10">
        <v>1.91370554300786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6" customHeight="1">
      <c r="A20" s="7">
        <v>40787</v>
      </c>
      <c r="B20" s="8">
        <v>0.5</v>
      </c>
      <c r="C20" s="9"/>
      <c r="D20" s="10">
        <v>1.14756033018146</v>
      </c>
      <c r="E20" s="10">
        <v>1.08490617047554</v>
      </c>
      <c r="F20" s="6"/>
      <c r="G20" s="6"/>
      <c r="H20" s="6"/>
      <c r="I20" s="6"/>
      <c r="J20" s="6"/>
      <c r="K20" s="10">
        <v>1.40235944840022</v>
      </c>
      <c r="L20" s="6"/>
      <c r="M20" s="10">
        <v>0.900949360716118</v>
      </c>
      <c r="N20" s="10">
        <v>0.867336273193359</v>
      </c>
      <c r="O20" s="10">
        <v>0.391022099481235</v>
      </c>
      <c r="P20" s="10">
        <v>1.1442332745003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6" customHeight="1">
      <c r="A21" s="7">
        <v>40878</v>
      </c>
      <c r="B21" s="8">
        <v>0.7</v>
      </c>
      <c r="C21" s="9"/>
      <c r="D21" s="10">
        <v>1.05471969393758</v>
      </c>
      <c r="E21" s="10">
        <v>1.01907131000036</v>
      </c>
      <c r="F21" s="6"/>
      <c r="G21" s="6"/>
      <c r="H21" s="6"/>
      <c r="I21" s="6"/>
      <c r="J21" s="6"/>
      <c r="K21" s="10">
        <v>0.299701118373928</v>
      </c>
      <c r="L21" s="6"/>
      <c r="M21" s="10">
        <v>0.992848933321429</v>
      </c>
      <c r="N21" s="10">
        <v>0.978096187114716</v>
      </c>
      <c r="O21" s="10">
        <v>-0.0321882990547879</v>
      </c>
      <c r="P21" s="10">
        <v>0.0450775969471841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6" customHeight="1">
      <c r="A22" s="7">
        <v>40969</v>
      </c>
      <c r="B22" s="8">
        <v>1</v>
      </c>
      <c r="C22" s="9"/>
      <c r="D22" s="10">
        <v>1.39190089707135</v>
      </c>
      <c r="E22" s="10">
        <v>1.29880557730306</v>
      </c>
      <c r="F22" s="6"/>
      <c r="G22" s="6"/>
      <c r="H22" s="6"/>
      <c r="I22" s="6"/>
      <c r="J22" s="6"/>
      <c r="K22" s="10">
        <v>1.79715920866494</v>
      </c>
      <c r="L22" s="6"/>
      <c r="M22" s="10">
        <v>0.681727864357258</v>
      </c>
      <c r="N22" s="10">
        <v>0.624955236911774</v>
      </c>
      <c r="O22" s="10">
        <v>0.504507951425504</v>
      </c>
      <c r="P22" s="10">
        <v>0.900443411358795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6" customHeight="1">
      <c r="A23" s="7">
        <v>41061</v>
      </c>
      <c r="B23" s="8">
        <v>0.4</v>
      </c>
      <c r="C23" s="9"/>
      <c r="D23" s="10">
        <v>1.32151732756185</v>
      </c>
      <c r="E23" s="10">
        <v>1.17643909536334</v>
      </c>
      <c r="F23" s="6"/>
      <c r="G23" s="6"/>
      <c r="H23" s="6"/>
      <c r="I23" s="6"/>
      <c r="J23" s="6"/>
      <c r="K23" s="10">
        <v>0.75956041822899</v>
      </c>
      <c r="L23" s="6"/>
      <c r="M23" s="10">
        <v>0.509558036121036</v>
      </c>
      <c r="N23" s="10">
        <v>0.642894744873047</v>
      </c>
      <c r="O23" s="10">
        <v>0.0300336945883233</v>
      </c>
      <c r="P23" s="10">
        <v>-0.0290398885146064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6" customHeight="1">
      <c r="A24" s="7">
        <v>41153</v>
      </c>
      <c r="B24" s="8">
        <v>0.4</v>
      </c>
      <c r="C24" s="9"/>
      <c r="D24" s="10">
        <v>1.00298291017662</v>
      </c>
      <c r="E24" s="10">
        <v>1.15850451235957</v>
      </c>
      <c r="F24" s="6"/>
      <c r="G24" s="6"/>
      <c r="H24" s="6"/>
      <c r="I24" s="6"/>
      <c r="J24" s="6"/>
      <c r="K24" s="10">
        <v>0.541200350417682</v>
      </c>
      <c r="L24" s="6"/>
      <c r="M24" s="10">
        <v>0.671068512780846</v>
      </c>
      <c r="N24" s="10">
        <v>0.636198043823242</v>
      </c>
      <c r="O24" s="10">
        <v>-0.138502433414881</v>
      </c>
      <c r="P24" s="10">
        <v>0.319806988691293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6" customHeight="1">
      <c r="A25" s="7">
        <v>41244</v>
      </c>
      <c r="B25" s="8">
        <v>0.7</v>
      </c>
      <c r="C25" s="9"/>
      <c r="D25" s="10">
        <v>1.57218054540032</v>
      </c>
      <c r="E25" s="10">
        <v>1.47498838708575</v>
      </c>
      <c r="F25" s="6"/>
      <c r="G25" s="6"/>
      <c r="H25" s="6"/>
      <c r="I25" s="6"/>
      <c r="J25" s="6"/>
      <c r="K25" s="10">
        <v>0.823222177916442</v>
      </c>
      <c r="L25" s="6"/>
      <c r="M25" s="10">
        <v>0.562614116919285</v>
      </c>
      <c r="N25" s="10">
        <v>0.644129157066345</v>
      </c>
      <c r="O25" s="10">
        <v>0.403415439331238</v>
      </c>
      <c r="P25" s="10">
        <v>0.793207475416591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6" customHeight="1">
      <c r="A26" s="7">
        <v>41334</v>
      </c>
      <c r="B26" s="8">
        <v>0.8</v>
      </c>
      <c r="C26" s="9"/>
      <c r="D26" s="10">
        <v>1.71553161627838</v>
      </c>
      <c r="E26" s="10">
        <v>1.15765533147982</v>
      </c>
      <c r="F26" s="6"/>
      <c r="G26" s="6"/>
      <c r="H26" s="6"/>
      <c r="I26" s="6"/>
      <c r="J26" s="6"/>
      <c r="K26" s="10">
        <v>0.890417970943943</v>
      </c>
      <c r="L26" s="6"/>
      <c r="M26" s="10">
        <v>1.37940630156164</v>
      </c>
      <c r="N26" s="10">
        <v>1.2255744934082</v>
      </c>
      <c r="O26" s="10">
        <v>0.534048550993798</v>
      </c>
      <c r="P26" s="10">
        <v>0.970847402651986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6" customHeight="1">
      <c r="A27" s="7">
        <v>41426</v>
      </c>
      <c r="B27" s="8">
        <v>1.1</v>
      </c>
      <c r="C27" s="9"/>
      <c r="D27" s="10">
        <v>1.21202060350107</v>
      </c>
      <c r="E27" s="10">
        <v>1.28255663736194</v>
      </c>
      <c r="F27" s="6"/>
      <c r="G27" s="6"/>
      <c r="H27" s="6"/>
      <c r="I27" s="6"/>
      <c r="J27" s="6"/>
      <c r="K27" s="10">
        <v>0.7099799063962</v>
      </c>
      <c r="L27" s="6"/>
      <c r="M27" s="10">
        <v>0.751553275221841</v>
      </c>
      <c r="N27" s="10">
        <v>1.43074238300324</v>
      </c>
      <c r="O27" s="10">
        <v>0.174277297674816</v>
      </c>
      <c r="P27" s="10">
        <v>0.49825798112219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6" customHeight="1">
      <c r="A28" s="7">
        <v>41518</v>
      </c>
      <c r="B28" s="8">
        <v>1</v>
      </c>
      <c r="C28" s="9"/>
      <c r="D28" s="10">
        <v>1.34719610047558</v>
      </c>
      <c r="E28" s="10">
        <v>1.51999297003957</v>
      </c>
      <c r="F28" s="6"/>
      <c r="G28" s="6"/>
      <c r="H28" s="6"/>
      <c r="I28" s="6"/>
      <c r="J28" s="6"/>
      <c r="K28" s="10">
        <v>0.751914025748281</v>
      </c>
      <c r="L28" s="6"/>
      <c r="M28" s="10">
        <v>0.871728968314644</v>
      </c>
      <c r="N28" s="10">
        <v>1.19877982139587</v>
      </c>
      <c r="O28" s="10">
        <v>-0.183815695643577</v>
      </c>
      <c r="P28" s="10">
        <v>0.380955924853039</v>
      </c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6" customHeight="1">
      <c r="A29" s="7">
        <v>41609</v>
      </c>
      <c r="B29" s="8">
        <v>0.9</v>
      </c>
      <c r="C29" s="9"/>
      <c r="D29" s="10">
        <v>1.51470712602375</v>
      </c>
      <c r="E29" s="10">
        <v>1.26357984996837</v>
      </c>
      <c r="F29" s="6"/>
      <c r="G29" s="6"/>
      <c r="H29" s="6"/>
      <c r="I29" s="6"/>
      <c r="J29" s="6"/>
      <c r="K29" s="10">
        <v>1.23403619341916</v>
      </c>
      <c r="L29" s="6"/>
      <c r="M29" s="10">
        <v>1.51958705547662</v>
      </c>
      <c r="N29" s="10">
        <v>1.18990898132324</v>
      </c>
      <c r="O29" s="10">
        <v>0.438305570144266</v>
      </c>
      <c r="P29" s="10">
        <v>0.968117196175198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6" customHeight="1">
      <c r="A30" s="7">
        <v>41699</v>
      </c>
      <c r="B30" s="8">
        <v>0.8</v>
      </c>
      <c r="C30" s="9"/>
      <c r="D30" s="10">
        <v>1.50104981684365</v>
      </c>
      <c r="E30" s="10">
        <v>1.19201105116087</v>
      </c>
      <c r="F30" s="6"/>
      <c r="G30" s="6"/>
      <c r="H30" s="6"/>
      <c r="I30" s="6"/>
      <c r="J30" s="6"/>
      <c r="K30" s="10">
        <v>0.838980470830837</v>
      </c>
      <c r="L30" s="6"/>
      <c r="M30" s="10">
        <v>0.731559386440315</v>
      </c>
      <c r="N30" s="10">
        <v>0.91557914018631</v>
      </c>
      <c r="O30" s="10">
        <v>0.436572356019758</v>
      </c>
      <c r="P30" s="10">
        <v>0.684614416065264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6" customHeight="1">
      <c r="A31" s="7">
        <v>41791</v>
      </c>
      <c r="B31" s="8">
        <v>0.9</v>
      </c>
      <c r="C31" s="9"/>
      <c r="D31" s="10">
        <v>1.27039657334471</v>
      </c>
      <c r="E31" s="10">
        <v>1.1513710817006</v>
      </c>
      <c r="F31" s="6"/>
      <c r="G31" s="6"/>
      <c r="H31" s="6"/>
      <c r="I31" s="6"/>
      <c r="J31" s="6"/>
      <c r="K31" s="10">
        <v>0.7414852739665601</v>
      </c>
      <c r="L31" s="6"/>
      <c r="M31" s="10">
        <v>0.9078149089334689</v>
      </c>
      <c r="N31" s="10">
        <v>0.919554054737091</v>
      </c>
      <c r="O31" s="10">
        <v>-0.522007072329545</v>
      </c>
      <c r="P31" s="10">
        <v>0.209114108794708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6" customHeight="1">
      <c r="A32" s="7">
        <v>41883</v>
      </c>
      <c r="B32" s="8">
        <v>0.3</v>
      </c>
      <c r="C32" s="9"/>
      <c r="D32" s="10">
        <v>1.29526754085969</v>
      </c>
      <c r="E32" s="10">
        <v>1.21106200782712</v>
      </c>
      <c r="F32" s="6"/>
      <c r="G32" s="6"/>
      <c r="H32" s="6"/>
      <c r="I32" s="6"/>
      <c r="J32" s="6"/>
      <c r="K32" s="10">
        <v>0.927368107521527</v>
      </c>
      <c r="L32" s="6"/>
      <c r="M32" s="10">
        <v>0.703687023541347</v>
      </c>
      <c r="N32" s="10">
        <v>0.917912304401398</v>
      </c>
      <c r="O32" s="10">
        <v>0.629444967165855</v>
      </c>
      <c r="P32" s="10">
        <v>0.750412643689782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6" customHeight="1">
      <c r="A33" s="7">
        <v>41974</v>
      </c>
      <c r="B33" s="8">
        <v>0.5</v>
      </c>
      <c r="C33" s="9"/>
      <c r="D33" s="10">
        <v>0.977032914890685</v>
      </c>
      <c r="E33" s="10">
        <v>0.985133877876088</v>
      </c>
      <c r="F33" s="6"/>
      <c r="G33" s="6"/>
      <c r="H33" s="6"/>
      <c r="I33" s="6"/>
      <c r="J33" s="6"/>
      <c r="K33" s="10">
        <v>1.23210641099397</v>
      </c>
      <c r="L33" s="6"/>
      <c r="M33" s="10">
        <v>0.716407192020113</v>
      </c>
      <c r="N33" s="10">
        <v>0.872305512428284</v>
      </c>
      <c r="O33" s="10">
        <v>0.00291981205174979</v>
      </c>
      <c r="P33" s="10">
        <v>0.675902106423284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6" customHeight="1">
      <c r="A34" s="7">
        <v>42064</v>
      </c>
      <c r="B34" s="8">
        <v>0.9</v>
      </c>
      <c r="C34" s="9"/>
      <c r="D34" s="10">
        <v>1.36730288209979</v>
      </c>
      <c r="E34" s="10">
        <v>1.22050462739392</v>
      </c>
      <c r="F34" s="6"/>
      <c r="G34" s="6"/>
      <c r="H34" s="6"/>
      <c r="I34" s="6"/>
      <c r="J34" s="6"/>
      <c r="K34" s="10">
        <v>0.907429141260454</v>
      </c>
      <c r="L34" s="6"/>
      <c r="M34" s="10">
        <v>0.6101910626398031</v>
      </c>
      <c r="N34" s="10">
        <v>1.19657468795776</v>
      </c>
      <c r="O34" s="10">
        <v>0.481803897210713</v>
      </c>
      <c r="P34" s="10">
        <v>0.831607165058705</v>
      </c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6" customHeight="1">
      <c r="A35" s="7">
        <v>42156</v>
      </c>
      <c r="B35" s="8">
        <v>0.4</v>
      </c>
      <c r="C35" s="9"/>
      <c r="D35" s="10">
        <v>1.06268953351201</v>
      </c>
      <c r="E35" s="10">
        <v>0.954334079179375</v>
      </c>
      <c r="F35" s="6"/>
      <c r="G35" s="6"/>
      <c r="H35" s="6"/>
      <c r="I35" s="6"/>
      <c r="J35" s="6"/>
      <c r="K35" s="10">
        <v>0.557772595331858</v>
      </c>
      <c r="L35" s="6"/>
      <c r="M35" s="10">
        <v>0.683491866678926</v>
      </c>
      <c r="N35" s="10">
        <v>0.682200253009796</v>
      </c>
      <c r="O35" s="10">
        <v>-0.246105616877567</v>
      </c>
      <c r="P35" s="10">
        <v>0.367122113373013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6" customHeight="1">
      <c r="A36" s="7">
        <v>42248</v>
      </c>
      <c r="B36" s="8">
        <v>1.5</v>
      </c>
      <c r="C36" s="9"/>
      <c r="D36" s="10">
        <v>1.17405933865946</v>
      </c>
      <c r="E36" s="10">
        <v>1.16813438895189</v>
      </c>
      <c r="F36" s="6"/>
      <c r="G36" s="6"/>
      <c r="H36" s="6"/>
      <c r="I36" s="6"/>
      <c r="J36" s="6"/>
      <c r="K36" s="10">
        <v>0.688820524091614</v>
      </c>
      <c r="L36" s="6"/>
      <c r="M36" s="10">
        <v>0.9208221407423119</v>
      </c>
      <c r="N36" s="10">
        <v>1.176713347435</v>
      </c>
      <c r="O36" s="10">
        <v>0.478495561457863</v>
      </c>
      <c r="P36" s="10">
        <v>0.566753653424536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6" customHeight="1">
      <c r="A37" s="7">
        <v>42339</v>
      </c>
      <c r="B37" s="8">
        <v>0.8</v>
      </c>
      <c r="C37" s="9"/>
      <c r="D37" s="10">
        <v>1.4537797970803</v>
      </c>
      <c r="E37" s="10">
        <v>1.32686048367763</v>
      </c>
      <c r="F37" s="6"/>
      <c r="G37" s="6"/>
      <c r="H37" s="6"/>
      <c r="I37" s="6"/>
      <c r="J37" s="6"/>
      <c r="K37" s="10">
        <v>0.805235481438132</v>
      </c>
      <c r="L37" s="6"/>
      <c r="M37" s="10">
        <v>1.53722044630799</v>
      </c>
      <c r="N37" s="10">
        <v>0.753825187683105</v>
      </c>
      <c r="O37" s="10">
        <v>0.551633376456522</v>
      </c>
      <c r="P37" s="10">
        <v>0.748937334907202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6" customHeight="1">
      <c r="A38" s="7" cm="1">
        <f t="array" ref="A38">DATE(YEAR(A39),MONTH(A39)-3,1)</f>
        <v>42430</v>
      </c>
      <c r="B38" s="8">
        <v>0.3</v>
      </c>
      <c r="C38" s="11">
        <v>0.09676550532790799</v>
      </c>
      <c r="D38" s="12">
        <v>0.199137</v>
      </c>
      <c r="E38" s="12">
        <v>0.09311999999999999</v>
      </c>
      <c r="F38" s="12">
        <v>0.225933</v>
      </c>
      <c r="G38" s="12">
        <v>0.747097</v>
      </c>
      <c r="H38" s="12">
        <v>0.47644454369062</v>
      </c>
      <c r="I38" s="12">
        <v>0.819794793818172</v>
      </c>
      <c r="J38" s="12">
        <v>0.798164</v>
      </c>
      <c r="K38" s="12">
        <v>0.350113994728527</v>
      </c>
      <c r="L38" s="12">
        <v>-0.28277946</v>
      </c>
      <c r="M38" s="12">
        <v>0.536180701789956</v>
      </c>
      <c r="N38" s="12">
        <v>0.571596324443817</v>
      </c>
      <c r="O38" s="12">
        <v>0.303693</v>
      </c>
      <c r="P38" s="12">
        <v>0.040466</v>
      </c>
      <c r="Q38" s="12"/>
      <c r="R38" s="6"/>
      <c r="S38" s="6"/>
      <c r="T38" s="6"/>
      <c r="U38" s="6"/>
      <c r="V38" s="6"/>
      <c r="W38" s="6"/>
      <c r="X38" s="6"/>
      <c r="Y38" s="12"/>
      <c r="Z38" s="12"/>
    </row>
    <row r="39" ht="15.6" customHeight="1">
      <c r="A39" s="7" cm="1">
        <f t="array" ref="A39">DATE(YEAR(A40),MONTH(A40)-3,1)</f>
        <v>42522</v>
      </c>
      <c r="B39" s="8">
        <v>1.2</v>
      </c>
      <c r="C39" s="11">
        <v>0.909680648130417</v>
      </c>
      <c r="D39" s="12">
        <v>0.892079</v>
      </c>
      <c r="E39" s="12">
        <v>0.84811</v>
      </c>
      <c r="F39" s="12">
        <v>0.891963</v>
      </c>
      <c r="G39" s="12">
        <v>0.351429</v>
      </c>
      <c r="H39" s="12">
        <v>1.0633697542365</v>
      </c>
      <c r="I39" s="12">
        <v>1.06864198341244</v>
      </c>
      <c r="J39" s="12">
        <v>1.132944</v>
      </c>
      <c r="K39" s="12">
        <v>1.05120452068879</v>
      </c>
      <c r="L39" s="12">
        <v>0.5818728</v>
      </c>
      <c r="M39" s="12">
        <v>0.772699483598483</v>
      </c>
      <c r="N39" s="12">
        <v>1.75421905517578</v>
      </c>
      <c r="O39" s="12">
        <v>0.563998</v>
      </c>
      <c r="P39" s="12">
        <v>1.266576</v>
      </c>
      <c r="Q39" s="12"/>
      <c r="R39" s="6"/>
      <c r="S39" s="6"/>
      <c r="T39" s="6"/>
      <c r="U39" s="6"/>
      <c r="V39" s="6"/>
      <c r="W39" s="6"/>
      <c r="X39" s="6"/>
      <c r="Y39" s="12"/>
      <c r="Z39" s="12"/>
    </row>
    <row r="40" ht="15.6" customHeight="1">
      <c r="A40" s="7" cm="1">
        <f t="array" ref="A40">DATE(YEAR(A41),MONTH(A41)-3,1)</f>
        <v>42614</v>
      </c>
      <c r="B40" s="8">
        <v>0.4</v>
      </c>
      <c r="C40" s="11">
        <v>0.550105746535696</v>
      </c>
      <c r="D40" s="12">
        <v>0.641954</v>
      </c>
      <c r="E40" s="12">
        <v>0.563895</v>
      </c>
      <c r="F40" s="12">
        <v>0.684774</v>
      </c>
      <c r="G40" s="12">
        <v>0.936626</v>
      </c>
      <c r="H40" s="12">
        <v>0.953511157785522</v>
      </c>
      <c r="I40" s="12">
        <v>0.726452072833043</v>
      </c>
      <c r="J40" s="12">
        <v>0.950103</v>
      </c>
      <c r="K40" s="12">
        <v>0.4540184642204</v>
      </c>
      <c r="L40" s="12">
        <v>0.6968780999999999</v>
      </c>
      <c r="M40" s="12">
        <v>0.863918359146062</v>
      </c>
      <c r="N40" s="12">
        <v>0.92820131778717</v>
      </c>
      <c r="O40" s="12">
        <v>0.592652</v>
      </c>
      <c r="P40" s="12">
        <v>0.442873</v>
      </c>
      <c r="Q40" s="12"/>
      <c r="R40" s="6"/>
      <c r="S40" s="6"/>
      <c r="T40" s="6"/>
      <c r="U40" s="6"/>
      <c r="V40" s="6"/>
      <c r="W40" s="6"/>
      <c r="X40" s="6"/>
      <c r="Y40" s="12"/>
      <c r="Z40" s="12"/>
    </row>
    <row r="41" ht="15.6" customHeight="1">
      <c r="A41" s="7" cm="1">
        <f t="array" ref="A41">DATE(YEAR(A42),MONTH(A42)-3,1)</f>
        <v>42705</v>
      </c>
      <c r="B41" s="8">
        <v>0.6</v>
      </c>
      <c r="C41" s="11">
        <v>1.13103257066387</v>
      </c>
      <c r="D41" s="12">
        <v>0.695008</v>
      </c>
      <c r="E41" s="12">
        <v>0.642045</v>
      </c>
      <c r="F41" s="12">
        <v>0.712063</v>
      </c>
      <c r="G41" s="12">
        <v>0.575754</v>
      </c>
      <c r="H41" s="12">
        <v>1.0674276446148</v>
      </c>
      <c r="I41" s="12">
        <v>0.8729148464194399</v>
      </c>
      <c r="J41" s="12">
        <v>1.045621</v>
      </c>
      <c r="K41" s="12">
        <v>1.28447570267855</v>
      </c>
      <c r="L41" s="12">
        <v>0.96055126</v>
      </c>
      <c r="M41" s="12">
        <v>0.734646639771693</v>
      </c>
      <c r="N41" s="12">
        <v>1.09948682785034</v>
      </c>
      <c r="O41" s="12">
        <v>0.7698159999999999</v>
      </c>
      <c r="P41" s="12">
        <v>1.336816</v>
      </c>
      <c r="Q41" s="12"/>
      <c r="R41" s="6"/>
      <c r="S41" s="6"/>
      <c r="T41" s="6"/>
      <c r="U41" s="6"/>
      <c r="V41" s="6"/>
      <c r="W41" s="6"/>
      <c r="X41" s="6"/>
      <c r="Y41" s="12"/>
      <c r="Z41" s="12"/>
    </row>
    <row r="42" ht="15.6" customHeight="1">
      <c r="A42" s="7" cm="1">
        <f t="array" ref="A42">DATE(YEAR(A43),MONTH(A43)-3,1)</f>
        <v>42795</v>
      </c>
      <c r="B42" s="8">
        <v>1</v>
      </c>
      <c r="C42" s="11">
        <v>1.07711623584131</v>
      </c>
      <c r="D42" s="12">
        <v>1.119916</v>
      </c>
      <c r="E42" s="12">
        <v>1.097867</v>
      </c>
      <c r="F42" s="12">
        <v>1.054444</v>
      </c>
      <c r="G42" s="12">
        <v>0.647591</v>
      </c>
      <c r="H42" s="12">
        <v>1.06702324930744</v>
      </c>
      <c r="I42" s="12">
        <v>1.04790937798586</v>
      </c>
      <c r="J42" s="12">
        <v>1.113357</v>
      </c>
      <c r="K42" s="12">
        <v>1.1047904706023</v>
      </c>
      <c r="L42" s="12">
        <v>1.2134948</v>
      </c>
      <c r="M42" s="12">
        <v>0.818433154032589</v>
      </c>
      <c r="N42" s="12">
        <v>0.89296567440033</v>
      </c>
      <c r="O42" s="12">
        <v>1.074216</v>
      </c>
      <c r="P42" s="12">
        <v>1.447208</v>
      </c>
      <c r="Q42" s="12"/>
      <c r="R42" s="6"/>
      <c r="S42" s="6"/>
      <c r="T42" s="6"/>
      <c r="U42" s="6"/>
      <c r="V42" s="6"/>
      <c r="W42" s="6"/>
      <c r="X42" s="6"/>
      <c r="Y42" s="12"/>
      <c r="Z42" s="12"/>
    </row>
    <row r="43" ht="15.6" customHeight="1">
      <c r="A43" s="7" cm="1">
        <f t="array" ref="A43">DATE(YEAR(A44),MONTH(A44)-3,1)</f>
        <v>42887</v>
      </c>
      <c r="B43" s="8">
        <v>0.8</v>
      </c>
      <c r="C43" s="11">
        <v>0.508360779597247</v>
      </c>
      <c r="D43" s="12">
        <v>1.108525</v>
      </c>
      <c r="E43" s="12">
        <v>1.126052</v>
      </c>
      <c r="F43" s="12">
        <v>1.015314</v>
      </c>
      <c r="G43" s="12">
        <v>0.689279</v>
      </c>
      <c r="H43" s="12">
        <v>0.932465718951488</v>
      </c>
      <c r="I43" s="12">
        <v>0.944883916227629</v>
      </c>
      <c r="J43" s="12">
        <v>0.786986</v>
      </c>
      <c r="K43" s="12">
        <v>1.02963283849532</v>
      </c>
      <c r="L43" s="12">
        <v>0.7923372400000001</v>
      </c>
      <c r="M43" s="12">
        <v>0.7949831378101</v>
      </c>
      <c r="N43" s="12">
        <v>1.19161152839661</v>
      </c>
      <c r="O43" s="12">
        <v>0.945407</v>
      </c>
      <c r="P43" s="12">
        <v>1.284572</v>
      </c>
      <c r="Q43" s="12"/>
      <c r="R43" s="6"/>
      <c r="S43" s="6"/>
      <c r="T43" s="6"/>
      <c r="U43" s="6"/>
      <c r="V43" s="6"/>
      <c r="W43" s="6"/>
      <c r="X43" s="6"/>
      <c r="Y43" s="12"/>
      <c r="Z43" s="12"/>
    </row>
    <row r="44" ht="15.6" customHeight="1">
      <c r="A44" s="7" cm="1">
        <f t="array" ref="A44">DATE(YEAR(A45),MONTH(A45)-3,1)</f>
        <v>42979</v>
      </c>
      <c r="B44" s="8">
        <v>1.4</v>
      </c>
      <c r="C44" s="11">
        <v>0.737805320187607</v>
      </c>
      <c r="D44" s="12">
        <v>0.287701</v>
      </c>
      <c r="E44" s="12">
        <v>0.275753</v>
      </c>
      <c r="F44" s="12">
        <v>0.399241</v>
      </c>
      <c r="G44" s="12">
        <v>0.969641</v>
      </c>
      <c r="H44" s="12">
        <v>0.743458949658657</v>
      </c>
      <c r="I44" s="12">
        <v>0.834732301196039</v>
      </c>
      <c r="J44" s="12">
        <v>0.960132</v>
      </c>
      <c r="K44" s="12">
        <v>0.9213298877257829</v>
      </c>
      <c r="L44" s="12">
        <v>0.6759019000000001</v>
      </c>
      <c r="M44" s="12">
        <v>0.80045130359995</v>
      </c>
      <c r="N44" s="12">
        <v>0.879962086677551</v>
      </c>
      <c r="O44" s="12">
        <v>0.712376</v>
      </c>
      <c r="P44" s="12">
        <v>0.9738019999999999</v>
      </c>
      <c r="Q44" s="12"/>
      <c r="R44" s="6"/>
      <c r="S44" s="6"/>
      <c r="T44" s="6"/>
      <c r="U44" s="6"/>
      <c r="V44" s="6"/>
      <c r="W44" s="6"/>
      <c r="X44" s="6"/>
      <c r="Y44" s="12"/>
      <c r="Z44" s="12"/>
    </row>
    <row r="45" ht="15.6" customHeight="1">
      <c r="A45" s="7" cm="1">
        <f t="array" ref="A45">DATE(YEAR(A46),MONTH(A46)-3,1)</f>
        <v>43070</v>
      </c>
      <c r="B45" s="8">
        <v>-0.3</v>
      </c>
      <c r="C45" s="11">
        <v>0.7100968862729991</v>
      </c>
      <c r="D45" s="12">
        <v>0.952379</v>
      </c>
      <c r="E45" s="12">
        <v>0.673771</v>
      </c>
      <c r="F45" s="12">
        <v>0.895778</v>
      </c>
      <c r="G45" s="12">
        <v>1.387553</v>
      </c>
      <c r="H45" s="12">
        <v>0.872119604761599</v>
      </c>
      <c r="I45" s="12">
        <v>0.894160425082557</v>
      </c>
      <c r="J45" s="12">
        <v>0.694095</v>
      </c>
      <c r="K45" s="12">
        <v>0.512125292734122</v>
      </c>
      <c r="L45" s="12">
        <v>0.71935225</v>
      </c>
      <c r="M45" s="12">
        <v>0.743252139180265</v>
      </c>
      <c r="N45" s="12">
        <v>0.798802018165588</v>
      </c>
      <c r="O45" s="12">
        <v>0.354928</v>
      </c>
      <c r="P45" s="12">
        <v>0.478414</v>
      </c>
      <c r="Q45" s="12"/>
      <c r="R45" s="6"/>
      <c r="S45" s="6"/>
      <c r="T45" s="6"/>
      <c r="U45" s="6"/>
      <c r="V45" s="6"/>
      <c r="W45" s="6"/>
      <c r="X45" s="6"/>
      <c r="Y45" s="12"/>
      <c r="Z45" s="12"/>
    </row>
    <row r="46" ht="15.6" customHeight="1">
      <c r="A46" s="7" cm="1">
        <f t="array" ref="A46">DATE(YEAR(A47),MONTH(A47)-3,1)</f>
        <v>43160</v>
      </c>
      <c r="B46" s="8">
        <v>1.3</v>
      </c>
      <c r="C46" s="11">
        <v>1.10799783855798</v>
      </c>
      <c r="D46" s="12">
        <v>0.678722</v>
      </c>
      <c r="E46" s="12">
        <v>0.808093</v>
      </c>
      <c r="F46" s="12">
        <v>0.709687</v>
      </c>
      <c r="G46" s="12">
        <v>0.753485</v>
      </c>
      <c r="H46" s="12">
        <v>0.977526401030947</v>
      </c>
      <c r="I46" s="12">
        <v>1.0054379576792</v>
      </c>
      <c r="J46" s="12">
        <v>0.937068</v>
      </c>
      <c r="K46" s="12">
        <v>1.21409016451621</v>
      </c>
      <c r="L46" s="12">
        <v>0.80441034</v>
      </c>
      <c r="M46" s="12">
        <v>1.11177728341795</v>
      </c>
      <c r="N46" s="12">
        <v>0.712198257446289</v>
      </c>
      <c r="O46" s="12">
        <v>0.744322</v>
      </c>
      <c r="P46" s="12">
        <v>1.71661</v>
      </c>
      <c r="Q46" s="12"/>
      <c r="R46" s="6"/>
      <c r="S46" s="6"/>
      <c r="T46" s="6"/>
      <c r="U46" s="6"/>
      <c r="V46" s="6"/>
      <c r="W46" s="6"/>
      <c r="X46" s="6"/>
      <c r="Y46" s="12"/>
      <c r="Z46" s="12"/>
    </row>
    <row r="47" ht="15.6" customHeight="1">
      <c r="A47" s="7" cm="1">
        <f t="array" ref="A47">DATE(YEAR(A48),MONTH(A48)-3,1)</f>
        <v>43252</v>
      </c>
      <c r="B47" s="8">
        <v>0.7</v>
      </c>
      <c r="C47" s="11">
        <v>0.959595843543944</v>
      </c>
      <c r="D47" s="12">
        <v>0.7113429999999999</v>
      </c>
      <c r="E47" s="12">
        <v>0.552336</v>
      </c>
      <c r="F47" s="12">
        <v>0.701288</v>
      </c>
      <c r="G47" s="12">
        <v>0.31626</v>
      </c>
      <c r="H47" s="12">
        <v>0.566791469184864</v>
      </c>
      <c r="I47" s="12">
        <v>0.54893017203459</v>
      </c>
      <c r="J47" s="12">
        <v>0.837201</v>
      </c>
      <c r="K47" s="12">
        <v>0.577262267244009</v>
      </c>
      <c r="L47" s="12">
        <v>0.6337409000000001</v>
      </c>
      <c r="M47" s="12">
        <v>0.499958400277451</v>
      </c>
      <c r="N47" s="12">
        <v>1.31321680545807</v>
      </c>
      <c r="O47" s="12">
        <v>0.687899</v>
      </c>
      <c r="P47" s="12">
        <v>0.596387</v>
      </c>
      <c r="Q47" s="12"/>
      <c r="R47" s="6"/>
      <c r="S47" s="6"/>
      <c r="T47" s="6"/>
      <c r="U47" s="6"/>
      <c r="V47" s="6"/>
      <c r="W47" s="6"/>
      <c r="X47" s="6"/>
      <c r="Y47" s="12"/>
      <c r="Z47" s="12"/>
    </row>
    <row r="48" ht="15.6" customHeight="1">
      <c r="A48" s="7" cm="1">
        <f t="array" ref="A48">DATE(YEAR(A49),MONTH(A49)-3,1)</f>
        <v>43344</v>
      </c>
      <c r="B48" s="8">
        <v>0.6</v>
      </c>
      <c r="C48" s="11">
        <v>0.971097392627802</v>
      </c>
      <c r="D48" s="12">
        <v>0.523688</v>
      </c>
      <c r="E48" s="12">
        <v>0.475666</v>
      </c>
      <c r="F48" s="12">
        <v>0.571424</v>
      </c>
      <c r="G48" s="12">
        <v>0.361778</v>
      </c>
      <c r="H48" s="12">
        <v>1.0800162974086</v>
      </c>
      <c r="I48" s="12">
        <v>1.04576878418998</v>
      </c>
      <c r="J48" s="12">
        <v>0.701816</v>
      </c>
      <c r="K48" s="12">
        <v>0.6042563609702259</v>
      </c>
      <c r="L48" s="12">
        <v>0.34749293</v>
      </c>
      <c r="M48" s="12">
        <v>0.580756299070495</v>
      </c>
      <c r="N48" s="12">
        <v>0.685457348823547</v>
      </c>
      <c r="O48" s="12">
        <v>0.679213</v>
      </c>
      <c r="P48" s="12">
        <v>0.320519</v>
      </c>
      <c r="Q48" s="12"/>
      <c r="R48" s="6"/>
      <c r="S48" s="6"/>
      <c r="T48" s="6"/>
      <c r="U48" s="6"/>
      <c r="V48" s="6"/>
      <c r="W48" s="6"/>
      <c r="X48" s="6"/>
      <c r="Y48" s="12"/>
      <c r="Z48" s="12"/>
    </row>
    <row r="49" ht="15.6" customHeight="1">
      <c r="A49" s="7" cm="1">
        <f t="array" ref="A49">DATE(YEAR(A50),MONTH(A50)-3,1)</f>
        <v>43435</v>
      </c>
      <c r="B49" s="8">
        <v>0.6</v>
      </c>
      <c r="C49" s="11">
        <v>0.265891526319186</v>
      </c>
      <c r="D49" s="12">
        <v>0.09694</v>
      </c>
      <c r="E49" s="12">
        <v>-0.02169</v>
      </c>
      <c r="F49" s="12">
        <v>0.245889</v>
      </c>
      <c r="G49" s="12">
        <v>0.749574</v>
      </c>
      <c r="H49" s="12">
        <v>0.3510327405799</v>
      </c>
      <c r="I49" s="12">
        <v>0.661246054498108</v>
      </c>
      <c r="J49" s="12">
        <v>0.703083</v>
      </c>
      <c r="K49" s="12">
        <v>0.453118278413854</v>
      </c>
      <c r="L49" s="12">
        <v>0.056084156</v>
      </c>
      <c r="M49" s="12">
        <v>1.13997128534655</v>
      </c>
      <c r="N49" s="12">
        <v>0.725483596324921</v>
      </c>
      <c r="O49" s="12">
        <v>0.117679</v>
      </c>
      <c r="P49" s="12">
        <v>0.410747</v>
      </c>
      <c r="Q49" s="12"/>
      <c r="R49" s="6"/>
      <c r="S49" s="6"/>
      <c r="T49" s="6"/>
      <c r="U49" s="6"/>
      <c r="V49" s="6"/>
      <c r="W49" s="6"/>
      <c r="X49" s="6"/>
      <c r="Y49" s="12"/>
      <c r="Z49" s="12"/>
    </row>
    <row r="50" ht="15.6" customHeight="1">
      <c r="A50" s="7" cm="1">
        <f t="array" ref="A50">DATE(YEAR(A51),MONTH(A51)-3,1)</f>
        <v>43525</v>
      </c>
      <c r="B50" s="8">
        <v>-0.1</v>
      </c>
      <c r="C50" s="11">
        <v>0.118252665541146</v>
      </c>
      <c r="D50" s="12">
        <v>-0.07226</v>
      </c>
      <c r="E50" s="12">
        <v>-0.32045</v>
      </c>
      <c r="F50" s="12">
        <v>0.156505</v>
      </c>
      <c r="G50" s="12">
        <v>0.7563800000000001</v>
      </c>
      <c r="H50" s="12">
        <v>0.512555347182457</v>
      </c>
      <c r="I50" s="12">
        <v>0.6062022175652</v>
      </c>
      <c r="J50" s="12">
        <v>0.361543</v>
      </c>
      <c r="K50" s="12">
        <v>-0.08619005098454829</v>
      </c>
      <c r="L50" s="12">
        <v>0.710923</v>
      </c>
      <c r="M50" s="12">
        <v>0.613335921450046</v>
      </c>
      <c r="N50" s="12">
        <v>0.685736417770386</v>
      </c>
      <c r="O50" s="12">
        <v>-0.567977</v>
      </c>
      <c r="P50" s="12">
        <v>-0.21914</v>
      </c>
      <c r="Q50" s="12"/>
      <c r="R50" s="6"/>
      <c r="S50" s="6"/>
      <c r="T50" s="6"/>
      <c r="U50" s="6"/>
      <c r="V50" s="6"/>
      <c r="W50" s="6"/>
      <c r="X50" s="6"/>
      <c r="Y50" s="12"/>
      <c r="Z50" s="12"/>
    </row>
    <row r="51" ht="15.6" customHeight="1">
      <c r="A51" s="7" cm="1">
        <f t="array" ref="A51">DATE(YEAR(A52),MONTH(A52)-3,1)</f>
        <v>43617</v>
      </c>
      <c r="B51" s="8">
        <v>1.1</v>
      </c>
      <c r="C51" s="11">
        <v>1.11156835276165</v>
      </c>
      <c r="D51" s="12">
        <v>0.854085</v>
      </c>
      <c r="E51" s="12">
        <v>0.837542</v>
      </c>
      <c r="F51" s="12">
        <v>0.803238</v>
      </c>
      <c r="G51" s="12">
        <v>1.254876</v>
      </c>
      <c r="H51" s="12">
        <v>1.04001660074356</v>
      </c>
      <c r="I51" s="12">
        <v>0.99618244694705</v>
      </c>
      <c r="J51" s="12">
        <v>0.880991</v>
      </c>
      <c r="K51" s="12">
        <v>0.872979457369762</v>
      </c>
      <c r="L51" s="12">
        <v>0.5128888</v>
      </c>
      <c r="M51" s="12">
        <v>0.86478390848617</v>
      </c>
      <c r="N51" s="12">
        <v>1.30905508995056</v>
      </c>
      <c r="O51" s="12">
        <v>0.97299</v>
      </c>
      <c r="P51" s="12">
        <v>1.066703</v>
      </c>
      <c r="Q51" s="12"/>
      <c r="R51" s="6"/>
      <c r="S51" s="6"/>
      <c r="T51" s="6"/>
      <c r="U51" s="6"/>
      <c r="V51" s="6"/>
      <c r="W51" s="6"/>
      <c r="X51" s="6"/>
      <c r="Y51" s="12"/>
      <c r="Z51" s="12"/>
    </row>
    <row r="52" ht="15.6" customHeight="1">
      <c r="A52" s="7" cm="1">
        <f t="array" ref="A52">DATE(YEAR(A53),MONTH(A53)-3,1)</f>
        <v>43709</v>
      </c>
      <c r="B52" s="8">
        <v>0.4</v>
      </c>
      <c r="C52" s="11">
        <v>0.6998789423915091</v>
      </c>
      <c r="D52" s="12">
        <v>0.44981</v>
      </c>
      <c r="E52" s="12">
        <v>0.351543</v>
      </c>
      <c r="F52" s="12">
        <v>0.511463</v>
      </c>
      <c r="G52" s="12">
        <v>1.000116</v>
      </c>
      <c r="H52" s="12">
        <v>0.478874448953351</v>
      </c>
      <c r="I52" s="12">
        <v>0.664295964973509</v>
      </c>
      <c r="J52" s="12">
        <v>0.680312</v>
      </c>
      <c r="K52" s="12">
        <v>0.470158257943808</v>
      </c>
      <c r="L52" s="12">
        <v>1.1893855</v>
      </c>
      <c r="M52" s="12">
        <v>0.704465344718221</v>
      </c>
      <c r="N52" s="12">
        <v>1.01489472389221</v>
      </c>
      <c r="O52" s="12">
        <v>0.807791</v>
      </c>
      <c r="P52" s="12">
        <v>0.785794</v>
      </c>
      <c r="Q52" s="12"/>
      <c r="R52" s="6"/>
      <c r="S52" s="6"/>
      <c r="T52" s="6"/>
      <c r="U52" s="6"/>
      <c r="V52" s="6"/>
      <c r="W52" s="6"/>
      <c r="X52" s="6"/>
      <c r="Y52" s="12"/>
      <c r="Z52" s="12"/>
    </row>
    <row r="53" ht="15.6" customHeight="1">
      <c r="A53" s="7" cm="1">
        <f t="array" ref="A53">DATE(YEAR(A54),MONTH(A54)-3,1)</f>
        <v>43800</v>
      </c>
      <c r="B53" s="8">
        <v>1.2</v>
      </c>
      <c r="C53" s="11">
        <v>0.57590452552404</v>
      </c>
      <c r="D53" s="12">
        <v>0.620985</v>
      </c>
      <c r="E53" s="12">
        <v>0.554677</v>
      </c>
      <c r="F53" s="12">
        <v>0.623506</v>
      </c>
      <c r="G53" s="12">
        <v>0.288789</v>
      </c>
      <c r="H53" s="12">
        <v>0.9755282862489451</v>
      </c>
      <c r="I53" s="12">
        <v>1.12461740811634</v>
      </c>
      <c r="J53" s="12">
        <v>0.852092</v>
      </c>
      <c r="K53" s="12">
        <v>0.897801595474839</v>
      </c>
      <c r="L53" s="12">
        <v>0.87367225</v>
      </c>
      <c r="M53" s="12">
        <v>0.702232498298235</v>
      </c>
      <c r="N53" s="12">
        <v>0.0770208314061165</v>
      </c>
      <c r="O53" s="12">
        <v>0.365954</v>
      </c>
      <c r="P53" s="12">
        <v>0.8675119999999999</v>
      </c>
      <c r="Q53" s="12"/>
      <c r="R53" s="6"/>
      <c r="S53" s="6"/>
      <c r="T53" s="6"/>
      <c r="U53" s="6"/>
      <c r="V53" s="6"/>
      <c r="W53" s="6"/>
      <c r="X53" s="6"/>
      <c r="Y53" s="12"/>
      <c r="Z53" s="12"/>
    </row>
    <row r="54" ht="15.6" customHeight="1">
      <c r="A54" s="7" cm="1">
        <f t="array" ref="A54">DATE(YEAR(A55),MONTH(A55)-3,1)</f>
        <v>43891</v>
      </c>
      <c r="B54" s="8">
        <v>-1.3</v>
      </c>
      <c r="C54" s="11">
        <v>-0.0393887480756359</v>
      </c>
      <c r="D54" s="12">
        <v>-0.00475</v>
      </c>
      <c r="E54" s="12">
        <v>-0.14661</v>
      </c>
      <c r="F54" s="12">
        <v>0.180169</v>
      </c>
      <c r="G54" s="12">
        <v>0.279367</v>
      </c>
      <c r="H54" s="12">
        <v>-0.0360161500268297</v>
      </c>
      <c r="I54" s="12">
        <v>0.624116126451483</v>
      </c>
      <c r="J54" s="12">
        <v>0.839619</v>
      </c>
      <c r="K54" s="12">
        <v>0.231873809035729</v>
      </c>
      <c r="L54" s="12">
        <v>-0.72131866</v>
      </c>
      <c r="M54" s="12">
        <v>0.0574058477895755</v>
      </c>
      <c r="N54" s="12">
        <v>0.300211101770401</v>
      </c>
      <c r="O54" s="12">
        <v>-0.027807</v>
      </c>
      <c r="P54" s="12">
        <v>0.032603</v>
      </c>
      <c r="Q54" s="12"/>
      <c r="R54" s="6"/>
      <c r="S54" s="6"/>
      <c r="T54" s="6"/>
      <c r="U54" s="6"/>
      <c r="V54" s="6"/>
      <c r="W54" s="6"/>
      <c r="X54" s="6"/>
      <c r="Y54" s="12"/>
      <c r="Z54" s="12"/>
    </row>
    <row r="55" ht="15.6" customHeight="1">
      <c r="A55" s="7" cm="1">
        <f t="array" ref="A55">DATE(YEAR(A56),MONTH(A56)-3,1)</f>
        <v>43983</v>
      </c>
      <c r="B55" s="8">
        <v>-3</v>
      </c>
      <c r="C55" s="11">
        <v>-0.544982437906434</v>
      </c>
      <c r="D55" s="12">
        <v>-1.25403</v>
      </c>
      <c r="E55" s="12">
        <v>-1.16121</v>
      </c>
      <c r="F55" s="12">
        <v>-0.49189</v>
      </c>
      <c r="G55" s="12">
        <v>-7.82413</v>
      </c>
      <c r="H55" s="12">
        <v>-0.880848439090303</v>
      </c>
      <c r="I55" s="12">
        <v>0.253357557036858</v>
      </c>
      <c r="J55" s="12">
        <v>-1.4533</v>
      </c>
      <c r="K55" s="12">
        <v>-0.716909586534083</v>
      </c>
      <c r="L55" s="12">
        <v>0.39227682</v>
      </c>
      <c r="M55" s="12">
        <v>-0.98489901297098</v>
      </c>
      <c r="N55" s="12">
        <v>-3.16442632675171</v>
      </c>
      <c r="O55" s="12">
        <v>-2.598587</v>
      </c>
      <c r="P55" s="12">
        <v>-1.444183</v>
      </c>
      <c r="Q55" s="12"/>
      <c r="R55" s="6"/>
      <c r="S55" s="6"/>
      <c r="T55" s="6"/>
      <c r="U55" s="6"/>
      <c r="V55" s="6"/>
      <c r="W55" s="6"/>
      <c r="X55" s="6"/>
      <c r="Y55" s="12"/>
      <c r="Z55" s="12"/>
    </row>
    <row r="56" ht="15.6" customHeight="1">
      <c r="A56" s="7" cm="1">
        <f t="array" ref="A56">DATE(YEAR(A57),MONTH(A57)-3,1)</f>
        <v>44075</v>
      </c>
      <c r="B56" s="8">
        <v>2.3</v>
      </c>
      <c r="C56" s="11">
        <v>1.60246672756077</v>
      </c>
      <c r="D56" s="12">
        <v>1.853738</v>
      </c>
      <c r="E56" s="12">
        <v>2.347293</v>
      </c>
      <c r="F56" s="12">
        <v>1.072647</v>
      </c>
      <c r="G56" s="12">
        <v>4.346511</v>
      </c>
      <c r="H56" s="12">
        <v>2.42209649954335</v>
      </c>
      <c r="I56" s="12">
        <v>1.65097270109683</v>
      </c>
      <c r="J56" s="12">
        <v>1.214082</v>
      </c>
      <c r="K56" s="12">
        <v>2.22332623681675</v>
      </c>
      <c r="L56" s="12">
        <v>1.4095113</v>
      </c>
      <c r="M56" s="12">
        <v>0.939491630606378</v>
      </c>
      <c r="N56" s="12">
        <v>1.49724900722504</v>
      </c>
      <c r="O56" s="12">
        <v>0.822904</v>
      </c>
      <c r="P56" s="12">
        <v>2.864797</v>
      </c>
      <c r="Q56" s="12"/>
      <c r="R56" s="6"/>
      <c r="S56" s="6"/>
      <c r="T56" s="6"/>
      <c r="U56" s="6"/>
      <c r="V56" s="6"/>
      <c r="W56" s="6"/>
      <c r="X56" s="6"/>
      <c r="Y56" s="12"/>
      <c r="Z56" s="12"/>
    </row>
    <row r="57" ht="15.6" customHeight="1">
      <c r="A57" s="7" cm="1">
        <f t="array" ref="A57">DATE(YEAR(A58),MONTH(A58)-3,1)</f>
        <v>44166</v>
      </c>
      <c r="B57" s="8">
        <v>1.3</v>
      </c>
      <c r="C57" s="11">
        <v>0.837722193812514</v>
      </c>
      <c r="D57" s="12">
        <v>1.517258</v>
      </c>
      <c r="E57" s="12">
        <v>1.55885</v>
      </c>
      <c r="F57" s="12">
        <v>1.489426</v>
      </c>
      <c r="G57" s="12">
        <v>3.395491</v>
      </c>
      <c r="H57" s="12">
        <v>1.86171729420527</v>
      </c>
      <c r="I57" s="12">
        <v>1.27764809867339</v>
      </c>
      <c r="J57" s="12">
        <v>0.658268</v>
      </c>
      <c r="K57" s="12">
        <v>1.46602995250184</v>
      </c>
      <c r="L57" s="12">
        <v>0.26395336</v>
      </c>
      <c r="M57" s="12">
        <v>0.908889066822858</v>
      </c>
      <c r="N57" s="12">
        <v>1.25528967380524</v>
      </c>
      <c r="O57" s="12">
        <v>1.946373</v>
      </c>
      <c r="P57" s="12">
        <v>1.520173</v>
      </c>
      <c r="Q57" s="12"/>
      <c r="R57" s="6"/>
      <c r="S57" s="6"/>
      <c r="T57" s="6"/>
      <c r="U57" s="6"/>
      <c r="V57" s="6"/>
      <c r="W57" s="6"/>
      <c r="X57" s="6"/>
      <c r="Y57" s="12"/>
      <c r="Z57" s="12"/>
    </row>
    <row r="58" ht="15.6" customHeight="1">
      <c r="A58" s="7" cm="1">
        <f t="array" ref="A58">DATE(YEAR(A59),MONTH(A59)-3,1)</f>
        <v>44256</v>
      </c>
      <c r="B58" s="8">
        <v>1.8</v>
      </c>
      <c r="C58" s="11">
        <v>0.708796485088936</v>
      </c>
      <c r="D58" s="12">
        <v>1.135054</v>
      </c>
      <c r="E58" s="12">
        <v>1.12586</v>
      </c>
      <c r="F58" s="12">
        <v>1.057184</v>
      </c>
      <c r="G58" s="12">
        <v>3.354077</v>
      </c>
      <c r="H58" s="12">
        <v>1.7043653697562</v>
      </c>
      <c r="I58" s="12">
        <v>0.976373749912098</v>
      </c>
      <c r="J58" s="12">
        <v>1.226291</v>
      </c>
      <c r="K58" s="12">
        <v>1.84410188922405</v>
      </c>
      <c r="L58" s="12">
        <v>1.3949053</v>
      </c>
      <c r="M58" s="12">
        <v>0.783784796073719</v>
      </c>
      <c r="N58" s="12">
        <v>1.41016113758087</v>
      </c>
      <c r="O58" s="12">
        <v>1.820096</v>
      </c>
      <c r="P58" s="12">
        <v>1.897805</v>
      </c>
      <c r="Q58" s="12"/>
      <c r="R58" s="6"/>
      <c r="S58" s="6"/>
      <c r="T58" s="6"/>
      <c r="U58" s="6"/>
      <c r="V58" s="6"/>
      <c r="W58" s="6"/>
      <c r="X58" s="6"/>
      <c r="Y58" s="12"/>
      <c r="Z58" s="12"/>
    </row>
    <row r="59" ht="15.6" customHeight="1">
      <c r="A59" s="7" cm="1">
        <f t="array" ref="A59">DATE(YEAR(A60),MONTH(A60)-3,1)</f>
        <v>44348</v>
      </c>
      <c r="B59" s="8">
        <v>0.9</v>
      </c>
      <c r="C59" s="11">
        <v>0.796607136181979</v>
      </c>
      <c r="D59" s="12">
        <v>1.053214</v>
      </c>
      <c r="E59" s="12">
        <v>0.916154</v>
      </c>
      <c r="F59" s="12">
        <v>0.939468</v>
      </c>
      <c r="G59" s="12">
        <v>1.657253</v>
      </c>
      <c r="H59" s="12">
        <v>1.97153965322016</v>
      </c>
      <c r="I59" s="12">
        <v>1.17892843737267</v>
      </c>
      <c r="J59" s="12">
        <v>1.311106</v>
      </c>
      <c r="K59" s="12">
        <v>1.06898343034574</v>
      </c>
      <c r="L59" s="12">
        <v>1.5954639</v>
      </c>
      <c r="M59" s="12">
        <v>0.820490071125751</v>
      </c>
      <c r="N59" s="12">
        <v>1.31070899963379</v>
      </c>
      <c r="O59" s="12">
        <v>0.772235</v>
      </c>
      <c r="P59" s="12">
        <v>1.253916</v>
      </c>
      <c r="Q59" s="12"/>
      <c r="R59" s="6"/>
      <c r="S59" s="6"/>
      <c r="T59" s="6"/>
      <c r="U59" s="6"/>
      <c r="V59" s="6"/>
      <c r="W59" s="6"/>
      <c r="X59" s="6"/>
      <c r="Y59" s="12"/>
      <c r="Z59" s="12"/>
    </row>
    <row r="60" ht="15.6" customHeight="1">
      <c r="A60" s="7" cm="1">
        <f t="array" ref="A60">DATE(YEAR(A61),MONTH(A61)-3,1)</f>
        <v>44440</v>
      </c>
      <c r="B60" s="8">
        <v>0.1</v>
      </c>
      <c r="C60" s="11">
        <v>1.58321751816522</v>
      </c>
      <c r="D60" s="12">
        <v>0.572086</v>
      </c>
      <c r="E60" s="12">
        <v>0.509077</v>
      </c>
      <c r="F60" s="12">
        <v>0.591745</v>
      </c>
      <c r="G60" s="12">
        <v>-0.08534</v>
      </c>
      <c r="H60" s="12">
        <v>1.13610755989835</v>
      </c>
      <c r="I60" s="12">
        <v>0.832167663612693</v>
      </c>
      <c r="J60" s="12">
        <v>0.947987</v>
      </c>
      <c r="K60" s="12">
        <v>1.0444527374421</v>
      </c>
      <c r="L60" s="12">
        <v>0.3389696</v>
      </c>
      <c r="M60" s="12">
        <v>0.8600688985906</v>
      </c>
      <c r="N60" s="12">
        <v>0.906019508838654</v>
      </c>
      <c r="O60" s="12">
        <v>0.581938</v>
      </c>
      <c r="P60" s="12">
        <v>1.3136</v>
      </c>
      <c r="Q60" s="12"/>
      <c r="R60" s="6"/>
      <c r="S60" s="6"/>
      <c r="T60" s="6"/>
      <c r="U60" s="6"/>
      <c r="V60" s="6"/>
      <c r="W60" s="6"/>
      <c r="X60" s="6"/>
      <c r="Y60" s="12"/>
      <c r="Z60" s="12"/>
    </row>
    <row r="61" ht="15.6" customHeight="1">
      <c r="A61" s="7" cm="1">
        <f t="array" ref="A61">DATE(YEAR(A62),MONTH(A62)-3,1)</f>
        <v>44531</v>
      </c>
      <c r="B61" s="8">
        <v>1.4</v>
      </c>
      <c r="C61" s="11">
        <v>0.670523473673872</v>
      </c>
      <c r="D61" s="12">
        <v>1.296681</v>
      </c>
      <c r="E61" s="12">
        <v>1.352924</v>
      </c>
      <c r="F61" s="12">
        <v>1.212161</v>
      </c>
      <c r="G61" s="12">
        <v>1.260339</v>
      </c>
      <c r="H61" s="12">
        <v>0.573513773976256</v>
      </c>
      <c r="I61" s="12">
        <v>0.720868015515752</v>
      </c>
      <c r="J61" s="12">
        <v>1.695731</v>
      </c>
      <c r="K61" s="12">
        <v>1.31739961187176</v>
      </c>
      <c r="L61" s="12">
        <v>0.67769426</v>
      </c>
      <c r="M61" s="12">
        <v>0.746158122762167</v>
      </c>
      <c r="N61" s="12">
        <v>0.95430064201355</v>
      </c>
      <c r="O61" s="12">
        <v>1.735769</v>
      </c>
      <c r="P61" s="12">
        <v>1.745013</v>
      </c>
      <c r="Q61" s="12"/>
      <c r="R61" s="6"/>
      <c r="S61" s="6"/>
      <c r="T61" s="6"/>
      <c r="U61" s="6"/>
      <c r="V61" s="6"/>
      <c r="W61" s="6"/>
      <c r="X61" s="6"/>
      <c r="Y61" s="12"/>
      <c r="Z61" s="12"/>
    </row>
    <row r="62" ht="15.6" customHeight="1">
      <c r="A62" s="7" cm="1">
        <f t="array" ref="A62">DATE(YEAR(A63),MONTH(A63)-3,1)</f>
        <v>44621</v>
      </c>
      <c r="B62" s="8">
        <v>0.7</v>
      </c>
      <c r="C62" s="11">
        <v>1.23484862610723</v>
      </c>
      <c r="D62" s="12">
        <v>0.844207</v>
      </c>
      <c r="E62" s="12">
        <v>0.836529</v>
      </c>
      <c r="F62" s="12">
        <v>0.8766699999999999</v>
      </c>
      <c r="G62" s="12">
        <v>0.97516</v>
      </c>
      <c r="H62" s="12">
        <v>0.869855594816955</v>
      </c>
      <c r="I62" s="12">
        <v>0.865386756680136</v>
      </c>
      <c r="J62" s="12">
        <v>1.517371</v>
      </c>
      <c r="K62" s="12">
        <v>0.707758482027202</v>
      </c>
      <c r="L62" s="12">
        <v>0.31368905</v>
      </c>
      <c r="M62" s="12">
        <v>0.719861657381175</v>
      </c>
      <c r="N62" s="12">
        <v>0.9226475954055789</v>
      </c>
      <c r="O62" s="12">
        <v>0.893021</v>
      </c>
      <c r="P62" s="12">
        <v>0.958533</v>
      </c>
      <c r="Q62" s="12"/>
      <c r="R62" s="6"/>
      <c r="S62" s="6"/>
      <c r="T62" s="6"/>
      <c r="U62" s="6"/>
      <c r="V62" s="6"/>
      <c r="W62" s="6"/>
      <c r="X62" s="6"/>
      <c r="Y62" s="12"/>
      <c r="Z62" s="12"/>
    </row>
    <row r="63" ht="15.6" customHeight="1">
      <c r="A63" s="7" cm="1">
        <f t="array" ref="A63">DATE(YEAR(A64),MONTH(A64)-3,1)</f>
        <v>44713</v>
      </c>
      <c r="B63" s="8">
        <v>0.8</v>
      </c>
      <c r="C63" s="11">
        <v>0.383136012791175</v>
      </c>
      <c r="D63" s="12">
        <v>0.373763</v>
      </c>
      <c r="E63" s="12">
        <v>0.39195</v>
      </c>
      <c r="F63" s="12">
        <v>0.449743</v>
      </c>
      <c r="G63" s="12">
        <v>1.116168</v>
      </c>
      <c r="H63" s="12">
        <v>0.759941990429723</v>
      </c>
      <c r="I63" s="12">
        <v>0.882830359263547</v>
      </c>
      <c r="J63" s="12">
        <v>1.272369</v>
      </c>
      <c r="K63" s="12">
        <v>0.483481059705838</v>
      </c>
      <c r="L63" s="12">
        <v>0.71954453</v>
      </c>
      <c r="M63" s="12">
        <v>0.185676910546495</v>
      </c>
      <c r="N63" s="12">
        <v>0.634784042835236</v>
      </c>
      <c r="O63" s="12">
        <v>0.268611</v>
      </c>
      <c r="P63" s="12">
        <v>0.569141</v>
      </c>
      <c r="Q63" s="12"/>
      <c r="R63" s="6"/>
      <c r="S63" s="6"/>
      <c r="T63" s="6"/>
      <c r="U63" s="6"/>
      <c r="V63" s="6"/>
      <c r="W63" s="6"/>
      <c r="X63" s="6"/>
      <c r="Y63" s="12"/>
      <c r="Z63" s="12"/>
    </row>
    <row r="64" ht="15.6" customHeight="1">
      <c r="A64" s="7" cm="1">
        <f t="array" ref="A64">DATE(YEAR(A65),MONTH(A65)-3,1)</f>
        <v>44805</v>
      </c>
      <c r="B64" s="8">
        <v>0.2</v>
      </c>
      <c r="C64" s="11">
        <v>-0.0351820861485255</v>
      </c>
      <c r="D64" s="12">
        <v>0.199928</v>
      </c>
      <c r="E64" s="12">
        <v>0.09525400000000001</v>
      </c>
      <c r="F64" s="12">
        <v>0.340619</v>
      </c>
      <c r="G64" s="12">
        <v>1.04117</v>
      </c>
      <c r="H64" s="12">
        <v>0.289937769275357</v>
      </c>
      <c r="I64" s="12">
        <v>0.422397806308413</v>
      </c>
      <c r="J64" s="12">
        <v>0.873112</v>
      </c>
      <c r="K64" s="12">
        <v>0.6200469423216149</v>
      </c>
      <c r="L64" s="12">
        <v>0.6846134699999999</v>
      </c>
      <c r="M64" s="12">
        <v>0.102861034699738</v>
      </c>
      <c r="N64" s="12">
        <v>0.640976250171661</v>
      </c>
      <c r="O64" s="12">
        <v>0.588907</v>
      </c>
      <c r="P64" s="12">
        <v>0.596038</v>
      </c>
      <c r="Q64" s="12"/>
      <c r="R64" s="6"/>
      <c r="S64" s="6"/>
      <c r="T64" s="6"/>
      <c r="U64" s="6"/>
      <c r="V64" s="6"/>
      <c r="W64" s="6"/>
      <c r="X64" s="6"/>
      <c r="Y64" s="12"/>
      <c r="Z64" s="12"/>
    </row>
    <row r="65" ht="15.6" customHeight="1">
      <c r="A65" s="7" cm="1">
        <f t="array" ref="A65">DATE(YEAR(A66),MONTH(A66)-3,1)</f>
        <v>44896</v>
      </c>
      <c r="B65" s="8">
        <v>-0.3</v>
      </c>
      <c r="C65" s="11">
        <v>-0.809326583177729</v>
      </c>
      <c r="D65" s="12">
        <v>-0.78486</v>
      </c>
      <c r="E65" s="12">
        <v>-0.93253</v>
      </c>
      <c r="F65" s="12">
        <v>-0.55036</v>
      </c>
      <c r="G65" s="12">
        <v>-0.03764</v>
      </c>
      <c r="H65" s="12">
        <v>0.00430738701820665</v>
      </c>
      <c r="I65" s="12">
        <v>0.458855650769433</v>
      </c>
      <c r="J65" s="12">
        <v>-0.43845</v>
      </c>
      <c r="K65" s="12">
        <v>0.045649433528709</v>
      </c>
      <c r="L65" s="12">
        <v>-0.58131605</v>
      </c>
      <c r="M65" s="12">
        <v>0.154930060308236</v>
      </c>
      <c r="N65" s="12">
        <v>0.281753331422806</v>
      </c>
      <c r="O65" s="12">
        <v>-0.714974</v>
      </c>
      <c r="P65" s="12">
        <v>-0.435121</v>
      </c>
      <c r="Q65" s="12"/>
      <c r="R65" s="6"/>
      <c r="S65" s="6"/>
      <c r="T65" s="6"/>
      <c r="U65" s="6"/>
      <c r="V65" s="6"/>
      <c r="W65" s="6"/>
      <c r="X65" s="6"/>
      <c r="Y65" s="12"/>
      <c r="Z65" s="12"/>
    </row>
    <row r="66" ht="15.6" customHeight="1">
      <c r="A66" s="7" cm="1">
        <f t="array" ref="A66">DATE(YEAR(A67),MONTH(A67)-3,1)</f>
        <v>44986</v>
      </c>
      <c r="B66" s="8">
        <v>0.3</v>
      </c>
      <c r="C66" s="11">
        <v>0.360300487819128</v>
      </c>
      <c r="D66" s="12">
        <v>0.32618</v>
      </c>
      <c r="E66" s="12">
        <v>0.190789</v>
      </c>
      <c r="F66" s="12">
        <v>0.426876</v>
      </c>
      <c r="G66" s="12"/>
      <c r="H66" s="6"/>
      <c r="I66" s="12">
        <v>0.4536</v>
      </c>
      <c r="J66" s="12">
        <v>0.606136</v>
      </c>
      <c r="K66" s="12">
        <v>0.454766638774611</v>
      </c>
      <c r="L66" s="12"/>
      <c r="M66" s="12">
        <v>0.515214470029114</v>
      </c>
      <c r="N66" s="12">
        <v>0.0563243664801121</v>
      </c>
      <c r="O66" s="12"/>
      <c r="P66" s="12"/>
      <c r="Q66" s="12"/>
      <c r="R66" s="6"/>
      <c r="S66" s="6"/>
      <c r="T66" s="6"/>
      <c r="U66" s="6"/>
      <c r="V66" s="6"/>
      <c r="W66" s="6"/>
      <c r="X66" s="6"/>
      <c r="Y66" s="6"/>
      <c r="Z66" s="12"/>
    </row>
    <row r="67" ht="15.6" customHeight="1">
      <c r="A67" s="7" cm="1">
        <f t="array" ref="A67">DATE(YEAR(A68),MONTH(A68)-3,1)</f>
        <v>45078</v>
      </c>
      <c r="B67" s="13">
        <v>0.6</v>
      </c>
      <c r="C67" s="10">
        <v>1.6</v>
      </c>
      <c r="D67" s="12">
        <v>0.79</v>
      </c>
      <c r="E67" s="12">
        <v>0.79</v>
      </c>
      <c r="F67" s="12">
        <v>0.7</v>
      </c>
      <c r="G67" s="6"/>
      <c r="H67" s="6"/>
      <c r="I67" s="6"/>
      <c r="J67" s="10">
        <v>0.88</v>
      </c>
      <c r="K67" s="12">
        <v>0.53</v>
      </c>
      <c r="L67" s="6"/>
      <c r="M67" s="12">
        <v>0.62</v>
      </c>
      <c r="N67" s="12">
        <v>1.12</v>
      </c>
      <c r="O67" s="10">
        <v>0.23</v>
      </c>
      <c r="P67" s="10">
        <v>0.7</v>
      </c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6" customHeight="1">
      <c r="A68" s="7" cm="1">
        <f t="array" ref="A68">DATE(YEAR(A69),MONTH(A69)-3,1)</f>
        <v>45170</v>
      </c>
      <c r="B68" s="14">
        <v>0.6</v>
      </c>
      <c r="C68" s="10">
        <v>0.29</v>
      </c>
      <c r="D68" s="10">
        <v>0.29</v>
      </c>
      <c r="E68" s="10">
        <v>0.27</v>
      </c>
      <c r="F68" s="10">
        <v>0.39</v>
      </c>
      <c r="G68" s="6"/>
      <c r="H68" s="6"/>
      <c r="I68" s="6"/>
      <c r="J68" s="10">
        <v>0.45</v>
      </c>
      <c r="K68" s="10">
        <v>0.45</v>
      </c>
      <c r="L68" s="6"/>
      <c r="M68" s="10">
        <v>0.63</v>
      </c>
      <c r="N68" s="10">
        <v>0.5</v>
      </c>
      <c r="O68" s="10">
        <v>-0.66</v>
      </c>
      <c r="P68" s="10">
        <v>0.08</v>
      </c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6" customHeight="1">
      <c r="A69" s="7" cm="1">
        <f t="array" ref="A69">DATE(YEAR(A70),MONTH(A70)-3,1)</f>
        <v>45261</v>
      </c>
      <c r="B69" s="14">
        <v>0.6</v>
      </c>
      <c r="C69" s="10">
        <v>0.23</v>
      </c>
      <c r="D69" s="10">
        <v>0.84</v>
      </c>
      <c r="E69" s="10">
        <v>0.8</v>
      </c>
      <c r="F69" s="10">
        <v>0.75</v>
      </c>
      <c r="G69" s="6"/>
      <c r="H69" s="6"/>
      <c r="I69" s="6"/>
      <c r="J69" s="10">
        <v>0.8</v>
      </c>
      <c r="K69" s="10">
        <v>0.97</v>
      </c>
      <c r="L69" s="6"/>
      <c r="M69" s="10">
        <v>0.66</v>
      </c>
      <c r="N69" s="10">
        <v>1.32</v>
      </c>
      <c r="O69" s="10">
        <v>0.43</v>
      </c>
      <c r="P69" s="10">
        <v>0.74</v>
      </c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6" customHeight="1">
      <c r="A70" s="7">
        <v>45352</v>
      </c>
      <c r="B70" s="14">
        <v>1.3</v>
      </c>
      <c r="C70" s="10">
        <v>0.6899999999999999</v>
      </c>
      <c r="D70" s="10">
        <v>0.7</v>
      </c>
      <c r="E70" s="10">
        <v>0.7</v>
      </c>
      <c r="F70" s="10">
        <v>0.66</v>
      </c>
      <c r="G70" s="6"/>
      <c r="H70" s="6"/>
      <c r="I70" s="6"/>
      <c r="J70" s="10">
        <v>0.62</v>
      </c>
      <c r="K70" s="10">
        <v>0.82</v>
      </c>
      <c r="L70" s="6"/>
      <c r="M70" s="10">
        <v>0.71</v>
      </c>
      <c r="N70" s="10">
        <v>0.9399999999999999</v>
      </c>
      <c r="O70" s="10">
        <v>0.83</v>
      </c>
      <c r="P70" s="10">
        <v>0.95</v>
      </c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6" customHeight="1">
      <c r="A71" s="15"/>
      <c r="B71" s="6"/>
      <c r="C71" t="s" s="5">
        <v>15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" defaultRowHeight="15.6" customHeight="1" outlineLevelRow="0" outlineLevelCol="0"/>
  <cols>
    <col min="1" max="5" width="9" style="16" customWidth="1"/>
    <col min="6" max="16384" width="9" style="16" customWidth="1"/>
  </cols>
  <sheetData>
    <row r="1" ht="15" customHeight="1">
      <c r="A1" s="17"/>
      <c r="B1" s="17"/>
      <c r="C1" s="17"/>
      <c r="D1" s="17"/>
      <c r="E1" s="17"/>
    </row>
    <row r="2" ht="15" customHeight="1">
      <c r="A2" s="17"/>
      <c r="B2" s="17"/>
      <c r="C2" s="17"/>
      <c r="D2" s="17"/>
      <c r="E2" s="17"/>
    </row>
    <row r="3" ht="15" customHeight="1">
      <c r="A3" s="17"/>
      <c r="B3" s="17"/>
      <c r="C3" s="17"/>
      <c r="D3" s="17"/>
      <c r="E3" s="17"/>
    </row>
    <row r="4" ht="15" customHeight="1">
      <c r="A4" s="17"/>
      <c r="B4" s="17"/>
      <c r="C4" s="17"/>
      <c r="D4" s="17"/>
      <c r="E4" s="17"/>
    </row>
    <row r="5" ht="15" customHeight="1">
      <c r="A5" s="17"/>
      <c r="B5" s="17"/>
      <c r="C5" s="17"/>
      <c r="D5" s="17"/>
      <c r="E5" s="17"/>
    </row>
    <row r="6" ht="15" customHeight="1">
      <c r="A6" s="17"/>
      <c r="B6" s="17"/>
      <c r="C6" s="17"/>
      <c r="D6" s="17"/>
      <c r="E6" s="17"/>
    </row>
    <row r="7" ht="15" customHeight="1">
      <c r="A7" s="17"/>
      <c r="B7" s="17"/>
      <c r="C7" s="17"/>
      <c r="D7" s="17"/>
      <c r="E7" s="17"/>
    </row>
    <row r="8" ht="15" customHeight="1">
      <c r="A8" s="17"/>
      <c r="B8" s="17"/>
      <c r="C8" s="17"/>
      <c r="D8" s="17"/>
      <c r="E8" s="17"/>
    </row>
    <row r="9" ht="15" customHeight="1">
      <c r="A9" s="17"/>
      <c r="B9" s="17"/>
      <c r="C9" s="17"/>
      <c r="D9" s="17"/>
      <c r="E9" s="17"/>
    </row>
    <row r="10" ht="15" customHeight="1">
      <c r="A10" s="17"/>
      <c r="B10" s="17"/>
      <c r="C10" s="17"/>
      <c r="D10" s="17"/>
      <c r="E10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