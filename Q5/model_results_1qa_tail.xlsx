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esktop\papers\prism\R&amp;R\code\Q5\"/>
    </mc:Choice>
  </mc:AlternateContent>
  <xr:revisionPtr revIDLastSave="0" documentId="13_ncr:1_{3F96F31B-3E37-4ECB-8906-E6A4FDB20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_GDP_1q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" l="1" a="1"/>
  <c r="A28" i="1" s="1"/>
  <c r="A27" i="1" s="1" a="1"/>
  <c r="A27" i="1" s="1"/>
  <c r="A26" i="1" s="1" a="1"/>
  <c r="A26" i="1" s="1"/>
  <c r="A25" i="1" s="1" a="1"/>
  <c r="A25" i="1" s="1"/>
  <c r="A24" i="1" s="1" a="1"/>
  <c r="A24" i="1" s="1"/>
  <c r="A23" i="1" s="1" a="1"/>
  <c r="A23" i="1" s="1"/>
  <c r="A22" i="1" s="1" a="1"/>
  <c r="A22" i="1" s="1"/>
  <c r="A21" i="1" s="1" a="1"/>
  <c r="A21" i="1" s="1"/>
  <c r="A20" i="1" s="1" a="1"/>
  <c r="A20" i="1" s="1"/>
  <c r="A19" i="1" s="1" a="1"/>
  <c r="A19" i="1" s="1"/>
  <c r="A18" i="1" s="1" a="1"/>
  <c r="A18" i="1" s="1"/>
  <c r="A17" i="1" s="1" a="1"/>
  <c r="A17" i="1" s="1"/>
  <c r="A16" i="1" s="1" a="1"/>
  <c r="A16" i="1" s="1"/>
  <c r="A15" i="1" s="1" a="1"/>
  <c r="A15" i="1" s="1"/>
  <c r="A14" i="1" s="1" a="1"/>
  <c r="A14" i="1" s="1"/>
  <c r="A13" i="1" s="1" a="1"/>
  <c r="A13" i="1" s="1"/>
  <c r="A12" i="1" s="1" a="1"/>
  <c r="A12" i="1" s="1"/>
  <c r="A11" i="1" s="1" a="1"/>
  <c r="A11" i="1" s="1"/>
  <c r="A10" i="1" s="1" a="1"/>
  <c r="A10" i="1" s="1"/>
  <c r="A9" i="1" s="1" a="1"/>
  <c r="A9" i="1" s="1"/>
  <c r="A8" i="1" s="1" a="1"/>
  <c r="A8" i="1" s="1"/>
  <c r="A7" i="1" s="1" a="1"/>
  <c r="A7" i="1" s="1"/>
  <c r="A6" i="1" s="1" a="1"/>
  <c r="A6" i="1" s="1"/>
  <c r="A5" i="1" s="1" a="1"/>
  <c r="A5" i="1" s="1"/>
  <c r="A4" i="1" s="1" a="1"/>
  <c r="A4" i="1" s="1"/>
  <c r="A3" i="1" s="1" a="1"/>
  <c r="A3" i="1" s="1"/>
  <c r="A2" i="1" s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<sst xmlns="http://schemas.openxmlformats.org/spreadsheetml/2006/main" count="15" uniqueCount="15">
  <si>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GDP(SA) True</t>
  </si>
  <si>
    <t>DFM</t>
  </si>
  <si>
    <t>BEM1</t>
  </si>
  <si>
    <t>BEM2</t>
  </si>
  <si>
    <t>BEM3</t>
  </si>
  <si>
    <t>LBVAR</t>
  </si>
  <si>
    <t>TFM</t>
  </si>
  <si>
    <t>T-M</t>
  </si>
  <si>
    <t>VAR</t>
  </si>
  <si>
    <t>SVR-KNN</t>
  </si>
  <si>
    <t>CRNN</t>
  </si>
  <si>
    <t>RF-DVS</t>
  </si>
  <si>
    <t>S-XGB</t>
  </si>
  <si>
    <t>LQR</t>
  </si>
  <si>
    <t>OptimARIMA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</si>
</sst>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>
    <font>
      <sz val="10"/>
      <color indexed="8"/>
      <name val="맑은 고딕"/>
    </font>
    <font>
      <sz val="10"/>
      <color rgb="FF000000"/>
      <name val="Helvetica Neue"/>
      <family val="2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</borders>
  <cellStyleXfs count="2">
    <xf numFmtId="0" fontId="0" fillId="0" borderId="0" applyNumberFormat="0" applyFill="0" applyBorder="0" applyProtection="0"/>
    <xf numFmtId="0" fontId="1" fillId="0" borderId="6"/>
  </cellStyleXfs>
  <cellXfs count="11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49" fontId="0" fillId="3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0" fontId="0" fillId="4" borderId="4" xfId="0" applyFont="1" applyFill="1" applyBorder="1" applyAlignment="1"/>
    <xf numFmtId="14" fontId="0" fillId="2" borderId="5" xfId="0" applyNumberFormat="1" applyFont="1" applyFill="1" applyBorder="1" applyAlignment="1"/>
    <xf numFmtId="0" fontId="0" fillId="3" borderId="6" xfId="0" applyNumberFormat="1" applyFont="1" applyFill="1" applyBorder="1" applyAlignment="1"/>
    <xf numFmtId="176" fontId="0" fillId="4" borderId="3" xfId="0" applyNumberFormat="1" applyFont="1" applyFill="1" applyBorder="1" applyAlignment="1"/>
    <xf numFmtId="176" fontId="0" fillId="4" borderId="4" xfId="0" applyNumberFormat="1" applyFont="1" applyFill="1" applyBorder="1" applyAlignment="1"/>
  </cellXfs>
  <cellStyles count="2">
    <cellStyle name="표준" xfId="0" builtinId="0"/>
    <cellStyle name="표준 2" xfId="1" xr:uid="{C1E09D71-56E1-455A-B254-421886112F4A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AAAAAA"/>
      <rgbColor rgb="FFEFEFEF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showGridLines="0" tabSelected="1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28" sqref="B28"/>
    </sheetView>
  </sheetViews>
  <sheetFormatPr defaultColWidth="12.5546875" defaultRowHeight="15.75" customHeight="1"/>
  <cols>
    <col min="1" max="27" width="12.5546875" style="1" customWidth="1"/>
    <col min="28" max="16384" width="12.5546875" style="1"/>
  </cols>
  <sheetData>
    <row r="1" spans="1:26" ht="15.6" customHeight="1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6" customHeight="1">
      <c r="A2" s="7" cm="1">
        <f t="array" ref="A2">DATE(YEAR(A3),MONTH(A3)-3,1)</f>
        <v>42522</v>
      </c>
      <c r="B2" s="8">
        <v>1.2</v>
      </c>
      <c r="C2" s="9">
        <v>0.52186999999999995</v>
      </c>
      <c r="D2" s="10">
        <v>0.68174000000000001</v>
      </c>
      <c r="E2" s="10">
        <v>0.60907999999999995</v>
      </c>
      <c r="F2" s="10">
        <v>0.40931000000000001</v>
      </c>
      <c r="G2" s="10"/>
      <c r="H2" s="10">
        <v>1.07836</v>
      </c>
      <c r="I2" s="10">
        <v>0.98704000000000003</v>
      </c>
      <c r="J2" s="10">
        <v>-3.4840000000000003E-2</v>
      </c>
      <c r="K2" s="10">
        <v>0.85592000000000001</v>
      </c>
      <c r="L2" s="10">
        <v>0.8</v>
      </c>
      <c r="M2" s="10">
        <v>0.79073000000000004</v>
      </c>
      <c r="N2" s="10">
        <v>1.1046899999999999</v>
      </c>
      <c r="O2" s="10">
        <v>0.64990999999999999</v>
      </c>
      <c r="P2" s="10">
        <v>0.98633999999999999</v>
      </c>
      <c r="Q2" s="10"/>
      <c r="R2" s="6"/>
      <c r="S2" s="6"/>
      <c r="T2" s="6"/>
      <c r="U2" s="6"/>
      <c r="V2" s="6"/>
      <c r="W2" s="6"/>
      <c r="X2" s="6"/>
      <c r="Y2" s="10"/>
      <c r="Z2" s="10"/>
    </row>
    <row r="3" spans="1:26" ht="15.6" customHeight="1">
      <c r="A3" s="7" cm="1">
        <f t="array" ref="A3">DATE(YEAR(A4),MONTH(A4)-3,1)</f>
        <v>42614</v>
      </c>
      <c r="B3" s="8">
        <v>0.4</v>
      </c>
      <c r="C3" s="9">
        <v>0.78732000000000002</v>
      </c>
      <c r="D3" s="10">
        <v>0.45251000000000002</v>
      </c>
      <c r="E3" s="10">
        <v>0.44079000000000002</v>
      </c>
      <c r="F3" s="10">
        <v>0.64712000000000003</v>
      </c>
      <c r="G3" s="10"/>
      <c r="H3" s="10">
        <v>1.0460100000000001</v>
      </c>
      <c r="I3" s="10">
        <v>0.88749</v>
      </c>
      <c r="J3" s="10">
        <v>0.41443999999999998</v>
      </c>
      <c r="K3" s="10">
        <v>0.50363999999999998</v>
      </c>
      <c r="L3" s="10">
        <v>0.8</v>
      </c>
      <c r="M3" s="10">
        <v>0.40578999999999998</v>
      </c>
      <c r="N3" s="10">
        <v>1.1350499999999999</v>
      </c>
      <c r="O3" s="10">
        <v>0.68818999999999997</v>
      </c>
      <c r="P3" s="10">
        <v>1.01989</v>
      </c>
      <c r="Q3" s="10"/>
      <c r="R3" s="6"/>
      <c r="S3" s="6"/>
      <c r="T3" s="6"/>
      <c r="U3" s="6"/>
      <c r="V3" s="6"/>
      <c r="W3" s="6"/>
      <c r="X3" s="6"/>
      <c r="Y3" s="10"/>
      <c r="Z3" s="10"/>
    </row>
    <row r="4" spans="1:26" ht="15.6" customHeight="1">
      <c r="A4" s="7" cm="1">
        <f t="array" ref="A4">DATE(YEAR(A5),MONTH(A5)-3,1)</f>
        <v>42705</v>
      </c>
      <c r="B4" s="8">
        <v>0.6</v>
      </c>
      <c r="C4" s="9">
        <v>0.61675999999999997</v>
      </c>
      <c r="D4" s="10">
        <v>0.46306999999999998</v>
      </c>
      <c r="E4" s="10">
        <v>0.39906000000000003</v>
      </c>
      <c r="F4" s="10">
        <v>0.68147999999999997</v>
      </c>
      <c r="G4" s="10"/>
      <c r="H4" s="10">
        <v>0.55462</v>
      </c>
      <c r="I4" s="10">
        <v>0.66954999999999998</v>
      </c>
      <c r="J4" s="10">
        <v>0.2402</v>
      </c>
      <c r="K4" s="10">
        <v>0.69037999999999999</v>
      </c>
      <c r="L4" s="10">
        <v>0.7</v>
      </c>
      <c r="M4" s="10">
        <v>0.52939000000000003</v>
      </c>
      <c r="N4" s="10">
        <v>1.2468600000000001</v>
      </c>
      <c r="O4" s="10">
        <v>0.63080000000000003</v>
      </c>
      <c r="P4" s="10">
        <v>0.85448000000000002</v>
      </c>
      <c r="Q4" s="10"/>
      <c r="R4" s="6"/>
      <c r="S4" s="6"/>
      <c r="T4" s="6"/>
      <c r="U4" s="6"/>
      <c r="V4" s="6"/>
      <c r="W4" s="6"/>
      <c r="X4" s="6"/>
      <c r="Y4" s="10"/>
      <c r="Z4" s="10"/>
    </row>
    <row r="5" spans="1:26" ht="15.6" customHeight="1">
      <c r="A5" s="7" cm="1">
        <f t="array" ref="A5">DATE(YEAR(A6),MONTH(A6)-3,1)</f>
        <v>42795</v>
      </c>
      <c r="B5" s="8">
        <v>1</v>
      </c>
      <c r="C5" s="9">
        <v>1.08965</v>
      </c>
      <c r="D5" s="10">
        <v>0.91608999999999996</v>
      </c>
      <c r="E5" s="10">
        <v>0.87748999999999999</v>
      </c>
      <c r="F5" s="10">
        <v>0.78580000000000005</v>
      </c>
      <c r="G5" s="10"/>
      <c r="H5" s="10">
        <v>1.34307</v>
      </c>
      <c r="I5" s="10">
        <v>1.0983499999999999</v>
      </c>
      <c r="J5" s="10">
        <v>0.10692</v>
      </c>
      <c r="K5" s="10">
        <v>0.18384</v>
      </c>
      <c r="L5" s="10">
        <v>0.8</v>
      </c>
      <c r="M5" s="10">
        <v>0.67762999999999995</v>
      </c>
      <c r="N5" s="10">
        <v>1.2422200000000001</v>
      </c>
      <c r="O5" s="10">
        <v>0.98541999999999996</v>
      </c>
      <c r="P5" s="10">
        <v>1.1592800000000001</v>
      </c>
      <c r="Q5" s="10"/>
      <c r="R5" s="6"/>
      <c r="S5" s="6"/>
      <c r="T5" s="6"/>
      <c r="U5" s="6"/>
      <c r="V5" s="6"/>
      <c r="W5" s="6"/>
      <c r="X5" s="6"/>
      <c r="Y5" s="10"/>
      <c r="Z5" s="10"/>
    </row>
    <row r="6" spans="1:26" ht="15.6" customHeight="1">
      <c r="A6" s="7" cm="1">
        <f t="array" ref="A6">DATE(YEAR(A7),MONTH(A7)-3,1)</f>
        <v>42887</v>
      </c>
      <c r="B6" s="8">
        <v>0.8</v>
      </c>
      <c r="C6" s="9">
        <v>0.70762000000000003</v>
      </c>
      <c r="D6" s="10">
        <v>0.46972999999999998</v>
      </c>
      <c r="E6" s="10">
        <v>0.45019999999999999</v>
      </c>
      <c r="F6" s="10">
        <v>0.85792000000000002</v>
      </c>
      <c r="G6" s="10"/>
      <c r="H6" s="10">
        <v>1.0483499999999999</v>
      </c>
      <c r="I6" s="10">
        <v>1.08067</v>
      </c>
      <c r="J6" s="10">
        <v>0.40665000000000001</v>
      </c>
      <c r="K6" s="10">
        <v>-0.35810999999999998</v>
      </c>
      <c r="L6" s="10">
        <v>0.6</v>
      </c>
      <c r="M6" s="10">
        <v>0.40988999999999998</v>
      </c>
      <c r="N6" s="10">
        <v>1.0012099999999999</v>
      </c>
      <c r="O6" s="10">
        <v>0.77854999999999996</v>
      </c>
      <c r="P6" s="10">
        <v>1.2376499999999999</v>
      </c>
      <c r="Q6" s="10"/>
      <c r="R6" s="6"/>
      <c r="S6" s="6"/>
      <c r="T6" s="6"/>
      <c r="U6" s="6"/>
      <c r="V6" s="6"/>
      <c r="W6" s="6"/>
      <c r="X6" s="6"/>
      <c r="Y6" s="10"/>
      <c r="Z6" s="10"/>
    </row>
    <row r="7" spans="1:26" ht="15.6" customHeight="1">
      <c r="A7" s="7" cm="1">
        <f t="array" ref="A7">DATE(YEAR(A8),MONTH(A8)-3,1)</f>
        <v>42979</v>
      </c>
      <c r="B7" s="8">
        <v>1.4</v>
      </c>
      <c r="C7" s="9">
        <v>0.92213000000000001</v>
      </c>
      <c r="D7" s="10">
        <v>0.50070999999999999</v>
      </c>
      <c r="E7" s="10">
        <v>0.44907999999999998</v>
      </c>
      <c r="F7" s="10">
        <v>0.91335999999999995</v>
      </c>
      <c r="G7" s="10"/>
      <c r="H7" s="10">
        <v>0.58606000000000003</v>
      </c>
      <c r="I7" s="10">
        <v>0.71640000000000004</v>
      </c>
      <c r="J7" s="10">
        <v>0.12469</v>
      </c>
      <c r="K7" s="10">
        <v>0.24671999999999999</v>
      </c>
      <c r="L7" s="10">
        <v>1.1000000000000001</v>
      </c>
      <c r="M7" s="10">
        <v>0.45234000000000002</v>
      </c>
      <c r="N7" s="10">
        <v>0.91078999999999999</v>
      </c>
      <c r="O7" s="10">
        <v>0.84538999999999997</v>
      </c>
      <c r="P7" s="10">
        <v>1.2185699999999999</v>
      </c>
      <c r="Q7" s="10"/>
      <c r="R7" s="6"/>
      <c r="S7" s="6"/>
      <c r="T7" s="6"/>
      <c r="U7" s="6"/>
      <c r="V7" s="6"/>
      <c r="W7" s="6"/>
      <c r="X7" s="6"/>
      <c r="Y7" s="10"/>
      <c r="Z7" s="10"/>
    </row>
    <row r="8" spans="1:26" ht="15.6" customHeight="1">
      <c r="A8" s="7" cm="1">
        <f t="array" ref="A8">DATE(YEAR(A9),MONTH(A9)-3,1)</f>
        <v>43070</v>
      </c>
      <c r="B8" s="8">
        <v>-0.3</v>
      </c>
      <c r="C8" s="9">
        <v>0.97253999999999996</v>
      </c>
      <c r="D8" s="10">
        <v>0.54774999999999996</v>
      </c>
      <c r="E8" s="10">
        <v>0.46282000000000001</v>
      </c>
      <c r="F8" s="10">
        <v>0.43925999999999998</v>
      </c>
      <c r="G8" s="10"/>
      <c r="H8" s="10">
        <v>0.98616999999999999</v>
      </c>
      <c r="I8" s="10">
        <v>1.05751</v>
      </c>
      <c r="J8" s="10">
        <v>8.4089999999999998E-2</v>
      </c>
      <c r="K8" s="10">
        <v>0.42293999999999998</v>
      </c>
      <c r="L8" s="10">
        <v>0.9</v>
      </c>
      <c r="M8" s="10">
        <v>0.50966999999999996</v>
      </c>
      <c r="N8" s="10">
        <v>1.2478</v>
      </c>
      <c r="O8" s="10">
        <v>0.84938000000000002</v>
      </c>
      <c r="P8" s="10">
        <v>1.12079</v>
      </c>
      <c r="Q8" s="10"/>
      <c r="R8" s="6"/>
      <c r="S8" s="6"/>
      <c r="T8" s="6"/>
      <c r="U8" s="6"/>
      <c r="V8" s="6"/>
      <c r="W8" s="6"/>
      <c r="X8" s="6"/>
      <c r="Y8" s="10"/>
      <c r="Z8" s="10"/>
    </row>
    <row r="9" spans="1:26" ht="15.6" customHeight="1">
      <c r="A9" s="7" cm="1">
        <f t="array" ref="A9">DATE(YEAR(A10),MONTH(A10)-3,1)</f>
        <v>43160</v>
      </c>
      <c r="B9" s="8">
        <v>1.3</v>
      </c>
      <c r="C9" s="9">
        <v>0.92491000000000001</v>
      </c>
      <c r="D9" s="10">
        <v>0.66942000000000002</v>
      </c>
      <c r="E9" s="10">
        <v>0.61394000000000004</v>
      </c>
      <c r="F9" s="10">
        <v>0.97133000000000003</v>
      </c>
      <c r="G9" s="10"/>
      <c r="H9" s="10">
        <v>0.83767000000000003</v>
      </c>
      <c r="I9" s="10">
        <v>0.79708000000000001</v>
      </c>
      <c r="J9" s="10">
        <v>0.20646</v>
      </c>
      <c r="K9" s="10">
        <v>0.63151999999999997</v>
      </c>
      <c r="L9" s="10">
        <v>1.1000000000000001</v>
      </c>
      <c r="M9" s="10">
        <v>0.66630999999999996</v>
      </c>
      <c r="N9" s="10">
        <v>0.87300999999999995</v>
      </c>
      <c r="O9" s="10">
        <v>0.54878000000000005</v>
      </c>
      <c r="P9" s="10">
        <v>0.77248000000000006</v>
      </c>
      <c r="Q9" s="10"/>
      <c r="R9" s="6"/>
      <c r="S9" s="6"/>
      <c r="T9" s="6"/>
      <c r="U9" s="6"/>
      <c r="V9" s="6"/>
      <c r="W9" s="6"/>
      <c r="X9" s="6"/>
      <c r="Y9" s="10"/>
      <c r="Z9" s="10"/>
    </row>
    <row r="10" spans="1:26" ht="15.6" customHeight="1">
      <c r="A10" s="7" cm="1">
        <f t="array" ref="A10">DATE(YEAR(A11),MONTH(A11)-3,1)</f>
        <v>43252</v>
      </c>
      <c r="B10" s="8">
        <v>0.7</v>
      </c>
      <c r="C10" s="9">
        <v>0.61097000000000001</v>
      </c>
      <c r="D10" s="10">
        <v>0.68940000000000001</v>
      </c>
      <c r="E10" s="10">
        <v>0.65110999999999997</v>
      </c>
      <c r="F10" s="10">
        <v>0.51504000000000005</v>
      </c>
      <c r="G10" s="10"/>
      <c r="H10" s="10">
        <v>0.33401999999999998</v>
      </c>
      <c r="I10" s="10">
        <v>0.49375000000000002</v>
      </c>
      <c r="J10" s="10">
        <v>0.27146999999999999</v>
      </c>
      <c r="K10" s="10">
        <v>0.48024</v>
      </c>
      <c r="L10" s="10">
        <v>0.6</v>
      </c>
      <c r="M10" s="10">
        <v>0.57425000000000004</v>
      </c>
      <c r="N10" s="10">
        <v>0.78232000000000002</v>
      </c>
      <c r="O10" s="10">
        <v>0.66344999999999998</v>
      </c>
      <c r="P10" s="10">
        <v>1.0026600000000001</v>
      </c>
      <c r="Q10" s="10"/>
      <c r="R10" s="6"/>
      <c r="S10" s="6"/>
      <c r="T10" s="6"/>
      <c r="U10" s="6"/>
      <c r="V10" s="6"/>
      <c r="W10" s="6"/>
      <c r="X10" s="6"/>
      <c r="Y10" s="10"/>
      <c r="Z10" s="10"/>
    </row>
    <row r="11" spans="1:26" ht="15.6" customHeight="1">
      <c r="A11" s="7" cm="1">
        <f t="array" ref="A11">DATE(YEAR(A12),MONTH(A12)-3,1)</f>
        <v>43344</v>
      </c>
      <c r="B11" s="8">
        <v>0.6</v>
      </c>
      <c r="C11" s="9">
        <v>1.0481799999999999</v>
      </c>
      <c r="D11" s="10">
        <v>0.60772999999999999</v>
      </c>
      <c r="E11" s="10">
        <v>0.56542999999999999</v>
      </c>
      <c r="F11" s="10">
        <v>0.79571000000000003</v>
      </c>
      <c r="G11" s="10"/>
      <c r="H11" s="10">
        <v>1.2752399999999999</v>
      </c>
      <c r="I11" s="10">
        <v>0.92318999999999996</v>
      </c>
      <c r="J11" s="10">
        <v>0.19797000000000001</v>
      </c>
      <c r="K11" s="10">
        <v>0.64220999999999995</v>
      </c>
      <c r="L11" s="10">
        <v>0.8</v>
      </c>
      <c r="M11" s="10">
        <v>0.57913000000000003</v>
      </c>
      <c r="N11" s="10">
        <v>1.4617599999999999</v>
      </c>
      <c r="O11" s="10">
        <v>0.6069</v>
      </c>
      <c r="P11" s="10">
        <v>0.84057000000000004</v>
      </c>
      <c r="Q11" s="10"/>
      <c r="R11" s="6"/>
      <c r="S11" s="6"/>
      <c r="T11" s="6"/>
      <c r="U11" s="6"/>
      <c r="V11" s="6"/>
      <c r="W11" s="6"/>
      <c r="X11" s="6"/>
      <c r="Y11" s="10"/>
      <c r="Z11" s="10"/>
    </row>
    <row r="12" spans="1:26" ht="15.6" customHeight="1">
      <c r="A12" s="7" cm="1">
        <f t="array" ref="A12">DATE(YEAR(A13),MONTH(A13)-3,1)</f>
        <v>43435</v>
      </c>
      <c r="B12" s="8">
        <v>0.6</v>
      </c>
      <c r="C12" s="9">
        <v>0.54190000000000005</v>
      </c>
      <c r="D12" s="10">
        <v>0.50534000000000001</v>
      </c>
      <c r="E12" s="10">
        <v>0.44679999999999997</v>
      </c>
      <c r="F12" s="10">
        <v>0.53213999999999995</v>
      </c>
      <c r="G12" s="10"/>
      <c r="H12" s="10">
        <v>0.33282</v>
      </c>
      <c r="I12" s="10">
        <v>0.51763000000000003</v>
      </c>
      <c r="J12" s="10">
        <v>9.5200000000000007E-2</v>
      </c>
      <c r="K12" s="10">
        <v>0.73619000000000001</v>
      </c>
      <c r="L12" s="10">
        <v>0.7</v>
      </c>
      <c r="M12" s="10">
        <v>0.51361000000000001</v>
      </c>
      <c r="N12" s="10">
        <v>0.95077</v>
      </c>
      <c r="O12" s="10">
        <v>0.97004999999999997</v>
      </c>
      <c r="P12" s="10">
        <v>0.71428999999999998</v>
      </c>
      <c r="Q12" s="10"/>
      <c r="R12" s="6"/>
      <c r="S12" s="6"/>
      <c r="T12" s="6"/>
      <c r="U12" s="6"/>
      <c r="V12" s="6"/>
      <c r="W12" s="6"/>
      <c r="X12" s="6"/>
      <c r="Y12" s="10"/>
      <c r="Z12" s="10"/>
    </row>
    <row r="13" spans="1:26" ht="15.6" customHeight="1">
      <c r="A13" s="7" cm="1">
        <f t="array" ref="A13">DATE(YEAR(A14),MONTH(A14)-3,1)</f>
        <v>43525</v>
      </c>
      <c r="B13" s="8">
        <v>-0.1</v>
      </c>
      <c r="C13" s="9">
        <v>0.57776000000000005</v>
      </c>
      <c r="D13" s="10">
        <v>0.39509</v>
      </c>
      <c r="E13" s="10">
        <v>0.33361000000000002</v>
      </c>
      <c r="F13" s="10">
        <v>0.24953</v>
      </c>
      <c r="G13" s="10"/>
      <c r="H13" s="10">
        <v>0.56220000000000003</v>
      </c>
      <c r="I13" s="10">
        <v>0.61187999999999998</v>
      </c>
      <c r="J13" s="10">
        <v>-0.18970000000000001</v>
      </c>
      <c r="K13" s="10">
        <v>-0.52493999999999996</v>
      </c>
      <c r="L13" s="10">
        <v>0.7</v>
      </c>
      <c r="M13" s="10">
        <v>0.68928999999999996</v>
      </c>
      <c r="N13" s="10">
        <v>0.61863000000000001</v>
      </c>
      <c r="O13" s="10">
        <v>0.66242999999999996</v>
      </c>
      <c r="P13" s="10">
        <v>0.53444999999999998</v>
      </c>
      <c r="Q13" s="10"/>
      <c r="R13" s="6"/>
      <c r="S13" s="6"/>
      <c r="T13" s="6"/>
      <c r="U13" s="6"/>
      <c r="V13" s="6"/>
      <c r="W13" s="6"/>
      <c r="X13" s="6"/>
      <c r="Y13" s="10"/>
      <c r="Z13" s="10"/>
    </row>
    <row r="14" spans="1:26" ht="15.6" customHeight="1">
      <c r="A14" s="7" cm="1">
        <f t="array" ref="A14">DATE(YEAR(A15),MONTH(A15)-3,1)</f>
        <v>43617</v>
      </c>
      <c r="B14" s="8">
        <v>1.1000000000000001</v>
      </c>
      <c r="C14" s="9">
        <v>0.55266999999999999</v>
      </c>
      <c r="D14" s="10">
        <v>0.67249000000000003</v>
      </c>
      <c r="E14" s="10">
        <v>0.63421000000000005</v>
      </c>
      <c r="F14" s="10">
        <v>0.40883999999999998</v>
      </c>
      <c r="G14" s="10"/>
      <c r="H14" s="10">
        <v>0.97067000000000003</v>
      </c>
      <c r="I14" s="10">
        <v>0.99000999999999995</v>
      </c>
      <c r="J14" s="10">
        <v>-0.29078999999999999</v>
      </c>
      <c r="K14" s="10">
        <v>0.61821000000000004</v>
      </c>
      <c r="L14" s="10">
        <v>0.7</v>
      </c>
      <c r="M14" s="10">
        <v>0.72438000000000002</v>
      </c>
      <c r="N14" s="10">
        <v>0.90242</v>
      </c>
      <c r="O14" s="10">
        <v>0.12572</v>
      </c>
      <c r="P14" s="10">
        <v>0.42321999999999999</v>
      </c>
      <c r="Q14" s="10"/>
      <c r="R14" s="6"/>
      <c r="S14" s="6"/>
      <c r="T14" s="6"/>
      <c r="U14" s="6"/>
      <c r="V14" s="6"/>
      <c r="W14" s="6"/>
      <c r="X14" s="6"/>
      <c r="Y14" s="10"/>
      <c r="Z14" s="10"/>
    </row>
    <row r="15" spans="1:26" ht="15.6" customHeight="1">
      <c r="A15" s="7" cm="1">
        <f t="array" ref="A15">DATE(YEAR(A16),MONTH(A16)-3,1)</f>
        <v>43709</v>
      </c>
      <c r="B15" s="8">
        <v>0.4</v>
      </c>
      <c r="C15" s="9">
        <v>0.47245999999999999</v>
      </c>
      <c r="D15" s="10">
        <v>0.60326000000000002</v>
      </c>
      <c r="E15" s="10">
        <v>0.59833999999999998</v>
      </c>
      <c r="F15" s="10">
        <v>0.57947000000000004</v>
      </c>
      <c r="G15" s="10"/>
      <c r="H15" s="10">
        <v>0.33248</v>
      </c>
      <c r="I15" s="10">
        <v>0.59058999999999995</v>
      </c>
      <c r="J15" s="10">
        <v>0.43809999999999999</v>
      </c>
      <c r="K15" s="10">
        <v>0.58421999999999996</v>
      </c>
      <c r="L15" s="10">
        <v>0.2</v>
      </c>
      <c r="M15" s="10">
        <v>0.63819999999999999</v>
      </c>
      <c r="N15" s="10">
        <v>1.05884</v>
      </c>
      <c r="O15" s="10">
        <v>0.66603000000000001</v>
      </c>
      <c r="P15" s="10">
        <v>0.78225</v>
      </c>
      <c r="Q15" s="10"/>
      <c r="R15" s="6"/>
      <c r="S15" s="6"/>
      <c r="T15" s="6"/>
      <c r="U15" s="6"/>
      <c r="V15" s="6"/>
      <c r="W15" s="6"/>
      <c r="X15" s="6"/>
      <c r="Y15" s="10"/>
      <c r="Z15" s="10"/>
    </row>
    <row r="16" spans="1:26" ht="15.6" customHeight="1">
      <c r="A16" s="7" cm="1">
        <f t="array" ref="A16">DATE(YEAR(A17),MONTH(A17)-3,1)</f>
        <v>43800</v>
      </c>
      <c r="B16" s="8">
        <v>1.2</v>
      </c>
      <c r="C16" s="9">
        <v>0.57254000000000005</v>
      </c>
      <c r="D16" s="10">
        <v>0.67750999999999995</v>
      </c>
      <c r="E16" s="10">
        <v>0.63605</v>
      </c>
      <c r="F16" s="10">
        <v>0.67586999999999997</v>
      </c>
      <c r="G16" s="10"/>
      <c r="H16" s="10">
        <v>1.78959</v>
      </c>
      <c r="I16" s="10">
        <v>1.28793</v>
      </c>
      <c r="J16" s="10">
        <v>0.17449999999999999</v>
      </c>
      <c r="K16" s="10">
        <v>0.74182000000000003</v>
      </c>
      <c r="L16" s="10">
        <v>0.7</v>
      </c>
      <c r="M16" s="10">
        <v>0.66054000000000002</v>
      </c>
      <c r="N16" s="10">
        <v>0.70628000000000002</v>
      </c>
      <c r="O16" s="10">
        <v>0.69230999999999998</v>
      </c>
      <c r="P16" s="10">
        <v>0.94589000000000001</v>
      </c>
      <c r="Q16" s="10"/>
      <c r="R16" s="6"/>
      <c r="S16" s="6"/>
      <c r="T16" s="6"/>
      <c r="U16" s="6"/>
      <c r="V16" s="6"/>
      <c r="W16" s="6"/>
      <c r="X16" s="6"/>
      <c r="Y16" s="10"/>
      <c r="Z16" s="10"/>
    </row>
    <row r="17" spans="1:26" ht="15.6" customHeight="1">
      <c r="A17" s="7" cm="1">
        <f t="array" ref="A17">DATE(YEAR(A18),MONTH(A18)-3,1)</f>
        <v>43891</v>
      </c>
      <c r="B17" s="8">
        <v>-1.3</v>
      </c>
      <c r="C17" s="9">
        <v>0.46986</v>
      </c>
      <c r="D17" s="10">
        <v>0.54905999999999999</v>
      </c>
      <c r="E17" s="10">
        <v>0.52049999999999996</v>
      </c>
      <c r="F17" s="10">
        <v>0.58665999999999996</v>
      </c>
      <c r="G17" s="10"/>
      <c r="H17" s="10">
        <v>0.73697000000000001</v>
      </c>
      <c r="I17" s="10">
        <v>0.96314999999999995</v>
      </c>
      <c r="J17" s="10">
        <v>2.9680000000000002E-2</v>
      </c>
      <c r="K17" s="10">
        <v>0.27659</v>
      </c>
      <c r="L17" s="10">
        <v>0.5</v>
      </c>
      <c r="M17" s="10">
        <v>0.62607999999999997</v>
      </c>
      <c r="N17" s="10">
        <v>0.92267999999999994</v>
      </c>
      <c r="O17" s="10">
        <v>0.40925</v>
      </c>
      <c r="P17" s="10">
        <v>0.73684000000000005</v>
      </c>
      <c r="Q17" s="10"/>
      <c r="R17" s="6"/>
      <c r="S17" s="6"/>
      <c r="T17" s="6"/>
      <c r="U17" s="6"/>
      <c r="V17" s="6"/>
      <c r="W17" s="6"/>
      <c r="X17" s="6"/>
      <c r="Y17" s="10"/>
      <c r="Z17" s="10"/>
    </row>
    <row r="18" spans="1:26" ht="15.6" customHeight="1">
      <c r="A18" s="7" cm="1">
        <f t="array" ref="A18">DATE(YEAR(A19),MONTH(A19)-3,1)</f>
        <v>43983</v>
      </c>
      <c r="B18" s="8">
        <v>-3</v>
      </c>
      <c r="C18" s="9">
        <v>7.4020000000000002E-2</v>
      </c>
      <c r="D18" s="10">
        <v>-0.23854</v>
      </c>
      <c r="E18" s="10">
        <v>-0.28699000000000002</v>
      </c>
      <c r="F18" s="10">
        <v>5.6090000000000001E-2</v>
      </c>
      <c r="G18" s="10"/>
      <c r="H18" s="10">
        <v>-1.3125199999999999</v>
      </c>
      <c r="I18" s="10">
        <v>-0.31545000000000001</v>
      </c>
      <c r="J18" s="10">
        <v>2.5080000000000002E-2</v>
      </c>
      <c r="K18" s="10">
        <v>-1.1532100000000001</v>
      </c>
      <c r="L18" s="10">
        <v>0.7</v>
      </c>
      <c r="M18" s="10">
        <v>0.84438999999999997</v>
      </c>
      <c r="N18" s="10">
        <v>-3.1941299999999999</v>
      </c>
      <c r="O18" s="10">
        <v>0.84111999999999998</v>
      </c>
      <c r="P18" s="10">
        <v>0.66984999999999995</v>
      </c>
      <c r="Q18" s="10"/>
      <c r="R18" s="6"/>
      <c r="S18" s="6"/>
      <c r="T18" s="6"/>
      <c r="U18" s="6"/>
      <c r="V18" s="6"/>
      <c r="W18" s="6"/>
      <c r="X18" s="6"/>
      <c r="Y18" s="10"/>
      <c r="Z18" s="10"/>
    </row>
    <row r="19" spans="1:26" ht="15.6" customHeight="1">
      <c r="A19" s="7" cm="1">
        <f t="array" ref="A19">DATE(YEAR(A20),MONTH(A20)-3,1)</f>
        <v>44075</v>
      </c>
      <c r="B19" s="8">
        <v>2.2999999999999998</v>
      </c>
      <c r="C19" s="9">
        <v>-0.51548000000000005</v>
      </c>
      <c r="D19" s="10">
        <v>1.14968</v>
      </c>
      <c r="E19" s="10">
        <v>1.05263</v>
      </c>
      <c r="F19" s="10">
        <v>-0.56072</v>
      </c>
      <c r="G19" s="10"/>
      <c r="H19" s="10">
        <v>1.26816</v>
      </c>
      <c r="I19" s="10">
        <v>1.9798199999999999</v>
      </c>
      <c r="J19" s="10">
        <v>-1.43354</v>
      </c>
      <c r="K19" s="10">
        <v>1.4559500000000001</v>
      </c>
      <c r="L19" s="10">
        <v>0.2</v>
      </c>
      <c r="M19" s="10">
        <v>1.61467</v>
      </c>
      <c r="N19" s="10">
        <v>1.3039799999999999</v>
      </c>
      <c r="O19" s="10">
        <v>0.16819999999999999</v>
      </c>
      <c r="P19" s="10">
        <v>0.86868000000000001</v>
      </c>
      <c r="Q19" s="10"/>
      <c r="R19" s="6"/>
      <c r="S19" s="6"/>
      <c r="T19" s="6"/>
      <c r="U19" s="6"/>
      <c r="V19" s="6"/>
      <c r="W19" s="6"/>
      <c r="X19" s="6"/>
      <c r="Y19" s="10"/>
      <c r="Z19" s="10"/>
    </row>
    <row r="20" spans="1:26" ht="15.6" customHeight="1">
      <c r="A20" s="7" cm="1">
        <f t="array" ref="A20">DATE(YEAR(A21),MONTH(A21)-3,1)</f>
        <v>44166</v>
      </c>
      <c r="B20" s="8">
        <v>1.3</v>
      </c>
      <c r="C20" s="9">
        <v>-0.24281</v>
      </c>
      <c r="D20" s="10">
        <v>0.78010000000000002</v>
      </c>
      <c r="E20" s="10">
        <v>1.00065</v>
      </c>
      <c r="F20" s="10">
        <v>0.19048000000000001</v>
      </c>
      <c r="G20" s="10"/>
      <c r="H20" s="10">
        <v>1.46357</v>
      </c>
      <c r="I20" s="10">
        <v>1.97011</v>
      </c>
      <c r="J20" s="10">
        <v>0.9758</v>
      </c>
      <c r="K20" s="10">
        <v>1.13158</v>
      </c>
      <c r="L20" s="10">
        <v>-0.3</v>
      </c>
      <c r="M20" s="10">
        <v>0.26716000000000001</v>
      </c>
      <c r="N20" s="10">
        <v>1.0762499999999999</v>
      </c>
      <c r="O20" s="10">
        <v>0.67822000000000005</v>
      </c>
      <c r="P20" s="10">
        <v>1.3811899999999999</v>
      </c>
      <c r="Q20" s="10"/>
      <c r="R20" s="6"/>
      <c r="S20" s="6"/>
      <c r="T20" s="6"/>
      <c r="U20" s="6"/>
      <c r="V20" s="6"/>
      <c r="W20" s="6"/>
      <c r="X20" s="6"/>
      <c r="Y20" s="10"/>
      <c r="Z20" s="10"/>
    </row>
    <row r="21" spans="1:26" ht="15.6" customHeight="1">
      <c r="A21" s="7" cm="1">
        <f t="array" ref="A21">DATE(YEAR(A22),MONTH(A22)-3,1)</f>
        <v>44256</v>
      </c>
      <c r="B21" s="8">
        <v>1.8</v>
      </c>
      <c r="C21" s="9">
        <v>0.72216000000000002</v>
      </c>
      <c r="D21" s="10">
        <v>0.22653000000000001</v>
      </c>
      <c r="E21" s="10">
        <v>0.16178000000000001</v>
      </c>
      <c r="F21" s="10">
        <v>1.2031700000000001</v>
      </c>
      <c r="G21" s="10"/>
      <c r="H21" s="10">
        <v>1.4809000000000001</v>
      </c>
      <c r="I21" s="10">
        <v>0.84802</v>
      </c>
      <c r="J21" s="10">
        <v>0.99280999999999997</v>
      </c>
      <c r="K21" s="10">
        <v>0.60953999999999997</v>
      </c>
      <c r="L21" s="10">
        <v>1.2</v>
      </c>
      <c r="M21" s="10">
        <v>1.0307200000000001</v>
      </c>
      <c r="N21" s="10">
        <v>0.88427</v>
      </c>
      <c r="O21" s="10">
        <v>0.74107999999999996</v>
      </c>
      <c r="P21" s="10">
        <v>1.1340699999999999</v>
      </c>
      <c r="Q21" s="10"/>
      <c r="R21" s="6"/>
      <c r="S21" s="6"/>
      <c r="T21" s="6"/>
      <c r="U21" s="6"/>
      <c r="V21" s="6"/>
      <c r="W21" s="6"/>
      <c r="X21" s="6"/>
      <c r="Y21" s="10"/>
      <c r="Z21" s="10"/>
    </row>
    <row r="22" spans="1:26" ht="15.6" customHeight="1">
      <c r="A22" s="7" cm="1">
        <f t="array" ref="A22">DATE(YEAR(A23),MONTH(A23)-3,1)</f>
        <v>44348</v>
      </c>
      <c r="B22" s="8">
        <v>0.9</v>
      </c>
      <c r="C22" s="9">
        <v>0.89573999999999998</v>
      </c>
      <c r="D22" s="10">
        <v>0.43609999999999999</v>
      </c>
      <c r="E22" s="10">
        <v>0.39893000000000001</v>
      </c>
      <c r="F22" s="10">
        <v>0.90524000000000004</v>
      </c>
      <c r="G22" s="10"/>
      <c r="H22" s="10">
        <v>1.5395000000000001</v>
      </c>
      <c r="I22" s="10">
        <v>1.0838699999999999</v>
      </c>
      <c r="J22" s="10">
        <v>0.38811000000000001</v>
      </c>
      <c r="K22" s="10">
        <v>-0.30590000000000001</v>
      </c>
      <c r="L22" s="10">
        <v>0.9</v>
      </c>
      <c r="M22" s="10">
        <v>0.22500000000000001</v>
      </c>
      <c r="N22" s="10">
        <v>1.27918</v>
      </c>
      <c r="O22" s="10">
        <v>0.81106</v>
      </c>
      <c r="P22" s="10">
        <v>1.0443800000000001</v>
      </c>
      <c r="Q22" s="10"/>
      <c r="R22" s="6"/>
      <c r="S22" s="6"/>
      <c r="T22" s="6"/>
      <c r="U22" s="6"/>
      <c r="V22" s="6"/>
      <c r="W22" s="6"/>
      <c r="X22" s="6"/>
      <c r="Y22" s="10"/>
      <c r="Z22" s="10"/>
    </row>
    <row r="23" spans="1:26" ht="15.6" customHeight="1">
      <c r="A23" s="7" cm="1">
        <f t="array" ref="A23">DATE(YEAR(A24),MONTH(A24)-3,1)</f>
        <v>44440</v>
      </c>
      <c r="B23" s="8">
        <v>0.1</v>
      </c>
      <c r="C23" s="9">
        <v>1.5102800000000001</v>
      </c>
      <c r="D23" s="10">
        <v>0.42770000000000002</v>
      </c>
      <c r="E23" s="10">
        <v>0.37312000000000001</v>
      </c>
      <c r="F23" s="10">
        <v>0.94664999999999999</v>
      </c>
      <c r="G23" s="10"/>
      <c r="H23" s="10">
        <v>1.33152</v>
      </c>
      <c r="I23" s="10">
        <v>0.70228999999999997</v>
      </c>
      <c r="J23" s="10">
        <v>0.34915000000000002</v>
      </c>
      <c r="K23" s="10">
        <v>0.14953</v>
      </c>
      <c r="L23" s="10">
        <v>0.9</v>
      </c>
      <c r="M23" s="10">
        <v>-0.30312</v>
      </c>
      <c r="N23" s="10">
        <v>0.82401000000000002</v>
      </c>
      <c r="O23" s="10">
        <v>0.60250000000000004</v>
      </c>
      <c r="P23" s="10">
        <v>0.81455999999999995</v>
      </c>
      <c r="Q23" s="10"/>
      <c r="R23" s="6"/>
      <c r="S23" s="6"/>
      <c r="T23" s="6"/>
      <c r="U23" s="6"/>
      <c r="V23" s="6"/>
      <c r="W23" s="6"/>
      <c r="X23" s="6"/>
      <c r="Y23" s="10"/>
      <c r="Z23" s="10"/>
    </row>
    <row r="24" spans="1:26" ht="15.6" customHeight="1">
      <c r="A24" s="7" cm="1">
        <f t="array" ref="A24">DATE(YEAR(A25),MONTH(A25)-3,1)</f>
        <v>44531</v>
      </c>
      <c r="B24" s="8">
        <v>1.4</v>
      </c>
      <c r="C24" s="9">
        <v>1.2692300000000001</v>
      </c>
      <c r="D24" s="10">
        <v>0.27965000000000001</v>
      </c>
      <c r="E24" s="10">
        <v>0.2273</v>
      </c>
      <c r="F24" s="10">
        <v>0.47120000000000001</v>
      </c>
      <c r="G24" s="10"/>
      <c r="H24" s="10">
        <v>0.31892999999999999</v>
      </c>
      <c r="I24" s="10">
        <v>0.59831999999999996</v>
      </c>
      <c r="J24" s="10">
        <v>0.10639999999999999</v>
      </c>
      <c r="K24" s="10">
        <v>0.30993999999999999</v>
      </c>
      <c r="L24" s="10">
        <v>0.5</v>
      </c>
      <c r="M24" s="10">
        <v>0.69738</v>
      </c>
      <c r="N24" s="10">
        <v>0.69589999999999996</v>
      </c>
      <c r="O24" s="10">
        <v>0.74575999999999998</v>
      </c>
      <c r="P24" s="10">
        <v>0.98553999999999997</v>
      </c>
      <c r="Q24" s="10"/>
      <c r="R24" s="6"/>
      <c r="S24" s="6"/>
      <c r="T24" s="6"/>
      <c r="U24" s="6"/>
      <c r="V24" s="6"/>
      <c r="W24" s="6"/>
      <c r="X24" s="6"/>
      <c r="Y24" s="10"/>
      <c r="Z24" s="10"/>
    </row>
    <row r="25" spans="1:26" ht="15.6" customHeight="1">
      <c r="A25" s="7" cm="1">
        <f t="array" ref="A25">DATE(YEAR(A26),MONTH(A26)-3,1)</f>
        <v>44621</v>
      </c>
      <c r="B25" s="8">
        <v>0.7</v>
      </c>
      <c r="C25" s="9">
        <v>1.56853</v>
      </c>
      <c r="D25" s="10">
        <v>0.65827000000000002</v>
      </c>
      <c r="E25" s="10">
        <v>0.63139999999999996</v>
      </c>
      <c r="F25" s="10">
        <v>0.93278000000000005</v>
      </c>
      <c r="G25" s="10"/>
      <c r="H25" s="10">
        <v>0.90117999999999998</v>
      </c>
      <c r="I25" s="10">
        <v>0.68184</v>
      </c>
      <c r="J25" s="10">
        <v>0.57293000000000005</v>
      </c>
      <c r="K25" s="10">
        <v>0.22891</v>
      </c>
      <c r="L25" s="10">
        <v>0.5</v>
      </c>
      <c r="M25" s="10">
        <v>0.27344000000000002</v>
      </c>
      <c r="N25" s="10">
        <v>0.93966000000000005</v>
      </c>
      <c r="O25" s="10">
        <v>0.83555000000000001</v>
      </c>
      <c r="P25" s="10">
        <v>0.88065000000000004</v>
      </c>
      <c r="Q25" s="10"/>
      <c r="R25" s="6"/>
      <c r="S25" s="6"/>
      <c r="T25" s="6"/>
      <c r="U25" s="6"/>
      <c r="V25" s="6"/>
      <c r="W25" s="6"/>
      <c r="X25" s="6"/>
      <c r="Y25" s="10"/>
      <c r="Z25" s="10"/>
    </row>
    <row r="26" spans="1:26" ht="15.6" customHeight="1">
      <c r="A26" s="7" cm="1">
        <f t="array" ref="A26">DATE(YEAR(A27),MONTH(A27)-3,1)</f>
        <v>44713</v>
      </c>
      <c r="B26" s="8">
        <v>0.8</v>
      </c>
      <c r="C26" s="9">
        <v>0.93684999999999996</v>
      </c>
      <c r="D26" s="10">
        <v>9.6970000000000001E-2</v>
      </c>
      <c r="E26" s="10">
        <v>3.1350000000000003E-2</v>
      </c>
      <c r="F26" s="10">
        <v>0.61663999999999997</v>
      </c>
      <c r="G26" s="10"/>
      <c r="H26" s="10">
        <v>0.86334</v>
      </c>
      <c r="I26" s="10">
        <v>0.82345000000000002</v>
      </c>
      <c r="J26" s="10">
        <v>0.49446000000000001</v>
      </c>
      <c r="K26" s="10">
        <v>0.62844999999999995</v>
      </c>
      <c r="L26" s="10">
        <v>0.9</v>
      </c>
      <c r="M26" s="10">
        <v>0.65566000000000002</v>
      </c>
      <c r="N26" s="10">
        <v>0.77698999999999996</v>
      </c>
      <c r="O26" s="10">
        <v>0.17832999999999999</v>
      </c>
      <c r="P26" s="10">
        <v>0.68408999999999998</v>
      </c>
      <c r="Q26" s="10"/>
      <c r="R26" s="6"/>
      <c r="S26" s="6"/>
      <c r="T26" s="6"/>
      <c r="U26" s="6"/>
      <c r="V26" s="6"/>
      <c r="W26" s="6"/>
      <c r="X26" s="6"/>
      <c r="Y26" s="10"/>
      <c r="Z26" s="10"/>
    </row>
    <row r="27" spans="1:26" ht="15.6" customHeight="1">
      <c r="A27" s="7" cm="1">
        <f t="array" ref="A27">DATE(YEAR(A28),MONTH(A28)-3,1)</f>
        <v>44805</v>
      </c>
      <c r="B27" s="8">
        <v>0.2</v>
      </c>
      <c r="C27" s="9">
        <v>1.10884</v>
      </c>
      <c r="D27" s="10">
        <v>4.2479999999999997E-2</v>
      </c>
      <c r="E27" s="10">
        <v>-2.2880000000000001E-2</v>
      </c>
      <c r="F27" s="10">
        <v>0.18459999999999999</v>
      </c>
      <c r="G27" s="10"/>
      <c r="H27" s="10">
        <v>7.9070000000000001E-2</v>
      </c>
      <c r="I27" s="10">
        <v>0.40233999999999998</v>
      </c>
      <c r="J27" s="10">
        <v>0.27363999999999999</v>
      </c>
      <c r="K27" s="10">
        <v>0.79413999999999996</v>
      </c>
      <c r="L27" s="10">
        <v>0.7</v>
      </c>
      <c r="M27" s="10">
        <v>0.93072999999999995</v>
      </c>
      <c r="N27" s="10">
        <v>0.46544999999999997</v>
      </c>
      <c r="O27" s="10">
        <v>2.4279999999999999E-2</v>
      </c>
      <c r="P27" s="10">
        <v>0.34268999999999999</v>
      </c>
      <c r="Q27" s="10"/>
      <c r="R27" s="6"/>
      <c r="S27" s="6"/>
      <c r="T27" s="6"/>
      <c r="U27" s="6"/>
      <c r="V27" s="6"/>
      <c r="W27" s="6"/>
      <c r="X27" s="6"/>
      <c r="Y27" s="10"/>
      <c r="Z27" s="10"/>
    </row>
    <row r="28" spans="1:26" ht="15.6" customHeight="1">
      <c r="A28" s="7" cm="1">
        <f t="array" ref="A28">DATE(YEAR(A29),MONTH(A29)-3,1)</f>
        <v>44896</v>
      </c>
      <c r="B28" s="8">
        <v>-0.3</v>
      </c>
      <c r="C28" s="9">
        <v>0.74324000000000001</v>
      </c>
      <c r="D28" s="10">
        <v>0.32168999999999998</v>
      </c>
      <c r="E28" s="10">
        <v>0.26069999999999999</v>
      </c>
      <c r="F28" s="10">
        <v>0.29976000000000003</v>
      </c>
      <c r="G28" s="10"/>
      <c r="H28" s="10">
        <v>0.24326999999999999</v>
      </c>
      <c r="I28" s="10">
        <v>0.45573000000000002</v>
      </c>
      <c r="J28" s="10">
        <v>0.22986999999999999</v>
      </c>
      <c r="K28" s="10">
        <v>0.67637000000000003</v>
      </c>
      <c r="L28" s="10">
        <v>0.7</v>
      </c>
      <c r="M28" s="10">
        <v>0.67244000000000004</v>
      </c>
      <c r="N28" s="10">
        <v>0.52829000000000004</v>
      </c>
      <c r="O28" s="10">
        <v>0.49123</v>
      </c>
      <c r="P28" s="10">
        <v>0.66586000000000001</v>
      </c>
      <c r="Q28" s="10"/>
      <c r="R28" s="6"/>
      <c r="S28" s="6"/>
      <c r="T28" s="6"/>
      <c r="U28" s="6"/>
      <c r="V28" s="6"/>
      <c r="W28" s="6"/>
      <c r="X28" s="6"/>
      <c r="Y28" s="10"/>
      <c r="Z28" s="10"/>
    </row>
    <row r="29" spans="1:26" ht="15.6" customHeight="1">
      <c r="A29" s="7">
        <v>44986</v>
      </c>
      <c r="B29" s="8">
        <v>0.3</v>
      </c>
      <c r="C29" s="9">
        <v>0.62314999999999998</v>
      </c>
      <c r="D29" s="10">
        <v>0.39904000000000001</v>
      </c>
      <c r="E29" s="10">
        <v>0.32491999999999999</v>
      </c>
      <c r="F29" s="10">
        <v>-0.28481000000000001</v>
      </c>
      <c r="G29" s="10"/>
      <c r="H29" s="6">
        <v>7.6079999999999995E-2</v>
      </c>
      <c r="I29" s="10">
        <v>0.63270000000000004</v>
      </c>
      <c r="J29" s="10">
        <v>-0.17197000000000001</v>
      </c>
      <c r="K29" s="10">
        <v>0.89373999999999998</v>
      </c>
      <c r="L29" s="10">
        <v>0.5</v>
      </c>
      <c r="M29" s="10">
        <v>0.76027</v>
      </c>
      <c r="N29" s="10">
        <v>0.39813999999999999</v>
      </c>
      <c r="O29" s="10">
        <v>0.38769999999999999</v>
      </c>
      <c r="P29" s="10">
        <v>0.52063999999999999</v>
      </c>
      <c r="Q29" s="10"/>
      <c r="R29" s="6"/>
      <c r="S29" s="6"/>
      <c r="T29" s="6"/>
      <c r="U29" s="6"/>
      <c r="V29" s="6"/>
      <c r="W29" s="6"/>
      <c r="X29" s="6"/>
      <c r="Y29" s="6"/>
      <c r="Z29" s="10"/>
    </row>
  </sheetData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pred_GDP_1qa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조형배</cp:lastModifiedBy>
  <dcterms:modified xsi:type="dcterms:W3CDTF">2026-02-06T08:01:23Z</dcterms:modified>
</cp:coreProperties>
</file>