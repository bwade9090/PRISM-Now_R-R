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" sheetId="1" r:id="rId5"/>
    <sheet state="visible" name="Reference" sheetId="2" r:id="rId6"/>
    <sheet state="visible" name="Input vars" sheetId="3" r:id="rId7"/>
    <sheet state="visible" name="Any comments" sheetId="4" r:id="rId8"/>
    <sheet state="visible" name="pred_Ens_now" sheetId="5" r:id="rId9"/>
    <sheet state="visible" name="err_Ens_now" sheetId="6" r:id="rId10"/>
    <sheet state="visible" name="Ens_now작업" sheetId="7" r:id="rId11"/>
    <sheet state="visible" name="Ens_now작업2" sheetId="8" r:id="rId12"/>
    <sheet state="visible" name="Ens_now작업3" sheetId="9" r:id="rId13"/>
    <sheet state="visible" name="pred_Ens_1qa" sheetId="10" r:id="rId14"/>
    <sheet state="visible" name="err_Ens_1qa" sheetId="11" r:id="rId15"/>
    <sheet state="visible" name="Ens_1qa작업" sheetId="12" r:id="rId16"/>
    <sheet state="visible" name="Ens_1qa작업2" sheetId="13" r:id="rId17"/>
    <sheet state="visible" name="Ens_1qa작업3" sheetId="14" r:id="rId18"/>
    <sheet state="visible" name="pred_GDP_now" sheetId="15" r:id="rId19"/>
    <sheet state="visible" name="err_GDP_now" sheetId="16" r:id="rId20"/>
    <sheet state="visible" name="pred_GDP_1qa" sheetId="17" r:id="rId21"/>
    <sheet state="visible" name="err_GDP_1qa" sheetId="18" r:id="rId22"/>
    <sheet state="visible" name="작업용시트" sheetId="19" r:id="rId23"/>
  </sheets>
  <definedNames/>
  <calcPr/>
</workbook>
</file>

<file path=xl/sharedStrings.xml><?xml version="1.0" encoding="utf-8"?>
<sst xmlns="http://schemas.openxmlformats.org/spreadsheetml/2006/main" count="529" uniqueCount="200">
  <si>
    <t>1. 모형별 GDP 예측치 취합</t>
  </si>
  <si>
    <t>core model :</t>
  </si>
  <si>
    <t>L-bridge1, L-bridge2, L-copular</t>
  </si>
  <si>
    <t>bigdata model :</t>
  </si>
  <si>
    <t>KDFM, LBVAR, TFM</t>
  </si>
  <si>
    <t xml:space="preserve">additional : </t>
  </si>
  <si>
    <t>SVR, XGBoost, CRNN, SARIMA, VAR, Quantile regression</t>
  </si>
  <si>
    <t>RF</t>
  </si>
  <si>
    <t>2. 모형별 특성 조사</t>
  </si>
  <si>
    <t>ex) mixed freq, real-time(daily) update, 경제구조 반영, CPI 예측 가능, density forecasting, embedded variable selection, etc.</t>
  </si>
  <si>
    <t>2. Ensemble 검토</t>
  </si>
  <si>
    <t>- density forecast :</t>
  </si>
  <si>
    <t>- dynamic selection based on MSE :</t>
  </si>
  <si>
    <t>- dynamic selection based on ? :</t>
  </si>
  <si>
    <t>- fixed (average) :</t>
  </si>
  <si>
    <t>3. Target 확장</t>
  </si>
  <si>
    <t>(1). CPI</t>
  </si>
  <si>
    <t>가능한 모델 :</t>
  </si>
  <si>
    <t>TFM, KDFM, LVBAR</t>
  </si>
  <si>
    <t>(2). 1q ahead GDP</t>
  </si>
  <si>
    <t>4. Visualization</t>
  </si>
  <si>
    <t>- Kernel Density Estimation for each quarter</t>
  </si>
  <si>
    <t>- Box plot time series</t>
  </si>
  <si>
    <t>- Fan chart</t>
  </si>
  <si>
    <t>5. Writing</t>
  </si>
  <si>
    <t>Overleaf:</t>
  </si>
  <si>
    <t>https://www.overleaf.com/8812339134tbdyxcynsqch</t>
  </si>
  <si>
    <t>Category</t>
  </si>
  <si>
    <t>Title</t>
  </si>
  <si>
    <t>Paper links</t>
  </si>
  <si>
    <t>Year</t>
  </si>
  <si>
    <t>Journal</t>
  </si>
  <si>
    <t>Comments</t>
  </si>
  <si>
    <t>SAM</t>
  </si>
  <si>
    <t>Short-Term Forecasting of GDP and Inflation in Real-Time : Norges Bank’s System for Averaging Models</t>
  </si>
  <si>
    <t>https://norges-bank.brage.unit.no/norges-bank-xmlui/handle/11250/2507327</t>
  </si>
  <si>
    <t>NB Working Paper</t>
  </si>
  <si>
    <t>GDP, CPI 예측</t>
  </si>
  <si>
    <t>Ensemble</t>
  </si>
  <si>
    <t>An ensemble of LSTM neural networks for high-frequency stock market classification</t>
  </si>
  <si>
    <t>https://onlinelibrary.wiley.com/doi/10.1002/for.2585</t>
  </si>
  <si>
    <t>J of forecasting</t>
  </si>
  <si>
    <t>Nowcasting monthly GDP with big data: A model averaging approach</t>
  </si>
  <si>
    <t>https://rss.onlinelibrary.wiley.com/doi/10.1111/rssa.12645</t>
  </si>
  <si>
    <t>RSSA</t>
  </si>
  <si>
    <t>Nonlinear inflation forecasting with recurrent neural networks</t>
  </si>
  <si>
    <t>https://onlinelibrary.wiley.com/doi/10.1002/for.2901</t>
  </si>
  <si>
    <t>Number of Vars</t>
  </si>
  <si>
    <t>Ntional Account</t>
  </si>
  <si>
    <t>Foreign</t>
  </si>
  <si>
    <t>Real</t>
  </si>
  <si>
    <t>Inflation</t>
  </si>
  <si>
    <t>Financial</t>
  </si>
  <si>
    <t>Survey</t>
  </si>
  <si>
    <t>quarter</t>
  </si>
  <si>
    <t>month</t>
  </si>
  <si>
    <t>TFM</t>
  </si>
  <si>
    <t>KDFM</t>
  </si>
  <si>
    <t>GDP, 민소, 건설, 설비, 수출 (SA) 5개</t>
  </si>
  <si>
    <t>-</t>
  </si>
  <si>
    <t>산업생산, 취업률, 수출입 등 14개</t>
  </si>
  <si>
    <t>코어 CPI, PPI, IPI 등 4개</t>
  </si>
  <si>
    <t>CSI, ESI, BSI 등 9개</t>
  </si>
  <si>
    <t>0ma</t>
  </si>
  <si>
    <t>1ma</t>
  </si>
  <si>
    <t>2ma</t>
  </si>
  <si>
    <t>3ma</t>
  </si>
  <si>
    <t>4ma</t>
  </si>
  <si>
    <t>5ma</t>
  </si>
  <si>
    <t>6ma</t>
  </si>
  <si>
    <t>LDFM1</t>
  </si>
  <si>
    <t>GDP 1개</t>
  </si>
  <si>
    <t>전산업생산, 일평균 수출 2개</t>
  </si>
  <si>
    <t>NSI 1개</t>
  </si>
  <si>
    <t>LDFM2</t>
  </si>
  <si>
    <t>Copular</t>
  </si>
  <si>
    <t>LBVAR</t>
  </si>
  <si>
    <t>GDP, 민소, 건설, 설비, 수출, 수입 (SA) 6개</t>
  </si>
  <si>
    <t>미국,유로,중국 GDP, OECD 선행지수, PMI, FFR 등 8개</t>
  </si>
  <si>
    <t>동행지수, 산업생산, 통관 수출입, 실업률 등 9개</t>
  </si>
  <si>
    <t>코어 CPI, 주택매매가격지수 등 3개</t>
  </si>
  <si>
    <t>KRW, EUR 환율, 회사채3년, KOSPI 등 6개</t>
  </si>
  <si>
    <t>GDP, 소비, 설비, 건설, 정부, 수출, 수입 (SA, NSA) 14개</t>
  </si>
  <si>
    <t>통계청 산업생산(소매판매지수, 설비판매지수, ...)</t>
  </si>
  <si>
    <t xml:space="preserve">CPI, PPI, IPI, EPI 등 </t>
  </si>
  <si>
    <t>콜, KRW, EUR, 유가, KOSPI 등</t>
  </si>
  <si>
    <t>CSI, ESI, BSI, NSI 등 9개</t>
  </si>
  <si>
    <t>TEXT</t>
  </si>
  <si>
    <t>GDP, 민소, 설비, 건설, 정부, 수출, 수입 (SA, NSA) 14개</t>
  </si>
  <si>
    <t>NSI, EPU, TFI 등 17개</t>
  </si>
  <si>
    <t>SVR</t>
  </si>
  <si>
    <t>전산업생산, 실업률, 수출 등 6개</t>
  </si>
  <si>
    <t>KRW 환율, 유가, KOSPI 3개</t>
  </si>
  <si>
    <t>XGBoost</t>
  </si>
  <si>
    <t>CSI, ESI, BSI, NSI 등 13개</t>
  </si>
  <si>
    <t>미국, 독일, 일본 GDP, OECD 선행지수 등 12개</t>
  </si>
  <si>
    <t>전산업생산, 실업률, 수출 등 73개</t>
  </si>
  <si>
    <t>CPI, PPI, 주택매매가격지수 등 7개</t>
  </si>
  <si>
    <t>통화량, KRW 환율, 유가, KOSPI 등 33개</t>
  </si>
  <si>
    <t>CSI, ESI, BSI, NSI 등 19개</t>
  </si>
  <si>
    <t>5.18. SBS : 그래프 참고</t>
  </si>
  <si>
    <t>5.18 SBS : Target을 고용, 금융 surveilance 등으로 확대하면 좋을듯</t>
  </si>
  <si>
    <t>GDP(SA) True</t>
  </si>
  <si>
    <t>Min</t>
  </si>
  <si>
    <t>Max</t>
  </si>
  <si>
    <t>Avg</t>
  </si>
  <si>
    <t>Median</t>
  </si>
  <si>
    <t>Med_item</t>
  </si>
  <si>
    <t>Adaptive selection</t>
  </si>
  <si>
    <t>Min1y_item</t>
  </si>
  <si>
    <t>Adaptive selection 1y</t>
  </si>
  <si>
    <t>Adaptive top5 1y</t>
  </si>
  <si>
    <t>Adaptive top3 1y</t>
  </si>
  <si>
    <t>10percentile</t>
  </si>
  <si>
    <t>25percentile</t>
  </si>
  <si>
    <t>median</t>
  </si>
  <si>
    <t>75percentile</t>
  </si>
  <si>
    <t>90percentile</t>
  </si>
  <si>
    <t>MAE</t>
  </si>
  <si>
    <t>RMSE</t>
  </si>
  <si>
    <t>MAX</t>
  </si>
  <si>
    <t>DFM</t>
  </si>
  <si>
    <t>BEM1</t>
  </si>
  <si>
    <t>BEM2</t>
  </si>
  <si>
    <t>BEM3</t>
  </si>
  <si>
    <t>T-M</t>
  </si>
  <si>
    <t>VAR</t>
  </si>
  <si>
    <t>SVR-KNN</t>
  </si>
  <si>
    <t>CRNN</t>
  </si>
  <si>
    <t>RF-DVS</t>
  </si>
  <si>
    <t>S-XGB</t>
  </si>
  <si>
    <t>LQR</t>
  </si>
  <si>
    <t>OptimARIMA</t>
  </si>
  <si>
    <t>MIN_item</t>
  </si>
  <si>
    <t>MIN</t>
  </si>
  <si>
    <t>Adaptive top2 1y</t>
  </si>
  <si>
    <t>optimARIMA</t>
  </si>
  <si>
    <t>.</t>
  </si>
  <si>
    <t>2016Q1</t>
  </si>
  <si>
    <t>oam_nowcasting</t>
  </si>
  <si>
    <t>GDP(SA)</t>
  </si>
  <si>
    <t>변환</t>
  </si>
  <si>
    <t>원자료</t>
  </si>
  <si>
    <t>2016Q2</t>
  </si>
  <si>
    <t>2016/Q1</t>
  </si>
  <si>
    <t>2016Q3</t>
  </si>
  <si>
    <t>2016/Q2</t>
  </si>
  <si>
    <t>2016Q4</t>
  </si>
  <si>
    <t>2016/Q3</t>
  </si>
  <si>
    <t>2017Q1</t>
  </si>
  <si>
    <t>2016/Q4</t>
  </si>
  <si>
    <t>2017Q2</t>
  </si>
  <si>
    <t>2017/Q1</t>
  </si>
  <si>
    <t>2017Q3</t>
  </si>
  <si>
    <t>2017/Q2</t>
  </si>
  <si>
    <t>2017Q4</t>
  </si>
  <si>
    <t>2017/Q3</t>
  </si>
  <si>
    <t>2018Q1</t>
  </si>
  <si>
    <t>2017/Q4</t>
  </si>
  <si>
    <t>2018Q2</t>
  </si>
  <si>
    <t>2018/Q1</t>
  </si>
  <si>
    <t>2018Q3</t>
  </si>
  <si>
    <t>2018/Q2</t>
  </si>
  <si>
    <t>2018Q4</t>
  </si>
  <si>
    <t>2018/Q3</t>
  </si>
  <si>
    <t>2019Q1</t>
  </si>
  <si>
    <t>2018/Q4</t>
  </si>
  <si>
    <t>2019Q2</t>
  </si>
  <si>
    <t>2019/Q1</t>
  </si>
  <si>
    <t>2019Q3</t>
  </si>
  <si>
    <t>2019/Q2</t>
  </si>
  <si>
    <t>2019Q4</t>
  </si>
  <si>
    <t>2019/Q3</t>
  </si>
  <si>
    <t>2020Q1</t>
  </si>
  <si>
    <t>2019/Q4</t>
  </si>
  <si>
    <t>2020Q2</t>
  </si>
  <si>
    <t>2020/Q1</t>
  </si>
  <si>
    <t>2020Q3</t>
  </si>
  <si>
    <t>2020/Q2</t>
  </si>
  <si>
    <t>2020Q4</t>
  </si>
  <si>
    <t>2020/Q3</t>
  </si>
  <si>
    <t>2021Q1</t>
  </si>
  <si>
    <t>2020/Q4</t>
  </si>
  <si>
    <t>2021Q2</t>
  </si>
  <si>
    <t>2021/Q1</t>
  </si>
  <si>
    <t>2021Q3</t>
  </si>
  <si>
    <t>2021/Q2</t>
  </si>
  <si>
    <t>2021Q4</t>
  </si>
  <si>
    <t>2021/Q3</t>
  </si>
  <si>
    <t>2022Q1</t>
  </si>
  <si>
    <t>2021/Q4</t>
  </si>
  <si>
    <t>2022Q2</t>
  </si>
  <si>
    <t>2022/Q1</t>
  </si>
  <si>
    <t>2022Q3</t>
  </si>
  <si>
    <t>2022/Q2</t>
  </si>
  <si>
    <t>2022Q4</t>
  </si>
  <si>
    <t>2022/Q3</t>
  </si>
  <si>
    <t>2023Q1</t>
  </si>
  <si>
    <t>2022/Q4</t>
  </si>
  <si>
    <t>2023/Q1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</si>
</sst>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000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FFFFFF"/>
      <name val="Arial"/>
      <scheme val="minor"/>
    </font>
    <font>
      <u/>
      <color rgb="FF0000FF"/>
    </font>
    <font>
      <color theme="1"/>
      <name val="Arial"/>
    </font>
    <font>
      <b/>
      <sz val="9.0"/>
      <color rgb="FF000000"/>
      <name val="&quot;Helvetica Neue&quot;"/>
    </font>
    <font>
      <sz val="9.0"/>
      <color rgb="FF000000"/>
      <name val="&quot;Helvetica Neue&quot;"/>
    </font>
    <font>
      <sz val="11.0"/>
      <color rgb="FF000000"/>
      <name val="&quot;맑은 고딕&quot;"/>
    </font>
    <font>
      <sz val="11.0"/>
      <color rgb="FF000000"/>
      <name val="Monospace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3" fontId="2" numFmtId="0" xfId="0" applyFill="1" applyFont="1"/>
    <xf borderId="0" fillId="4" fontId="2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165" xfId="0" applyAlignment="1" applyFont="1" applyNumberFormat="1">
      <alignment horizontal="center" readingOrder="0"/>
    </xf>
    <xf borderId="0" fillId="0" fontId="2" numFmtId="0" xfId="0" applyFont="1"/>
    <xf borderId="0" fillId="0" fontId="2" numFmtId="1" xfId="0" applyAlignment="1" applyFont="1" applyNumberFormat="1">
      <alignment readingOrder="0"/>
    </xf>
    <xf borderId="0" fillId="0" fontId="2" numFmtId="1" xfId="0" applyFont="1" applyNumberFormat="1"/>
    <xf borderId="0" fillId="0" fontId="6" numFmtId="165" xfId="0" applyAlignment="1" applyFont="1" applyNumberFormat="1">
      <alignment horizontal="right" vertical="bottom"/>
    </xf>
    <xf borderId="0" fillId="5" fontId="7" numFmtId="0" xfId="0" applyAlignment="1" applyFill="1" applyFont="1">
      <alignment horizontal="right" readingOrder="0"/>
    </xf>
    <xf borderId="0" fillId="5" fontId="8" numFmtId="0" xfId="0" applyAlignment="1" applyFont="1">
      <alignment horizontal="right" readingOrder="0"/>
    </xf>
    <xf borderId="0" fillId="0" fontId="9" numFmtId="0" xfId="0" applyAlignment="1" applyFont="1">
      <alignment shrinkToFit="0" wrapText="0"/>
    </xf>
    <xf borderId="0" fillId="6" fontId="10" numFmtId="0" xfId="0" applyAlignment="1" applyFill="1" applyFont="1">
      <alignment horizontal="left" readingOrder="0" shrinkToFit="0" wrapText="1"/>
    </xf>
    <xf borderId="1" fillId="6" fontId="7" numFmtId="0" xfId="0" applyAlignment="1" applyBorder="1" applyFont="1">
      <alignment horizontal="right" readingOrder="0"/>
    </xf>
    <xf borderId="1" fillId="6" fontId="7" numFmtId="165" xfId="0" applyAlignment="1" applyBorder="1" applyFont="1" applyNumberFormat="1">
      <alignment horizontal="right" readingOrder="0"/>
    </xf>
    <xf borderId="0" fillId="6" fontId="7" numFmtId="0" xfId="0" applyAlignment="1" applyFont="1">
      <alignment horizontal="right" readingOrder="0"/>
    </xf>
    <xf borderId="0" fillId="6" fontId="8" numFmtId="0" xfId="0" applyAlignment="1" applyFont="1">
      <alignment horizontal="right" readingOrder="0"/>
    </xf>
    <xf borderId="0" fillId="0" fontId="9" numFmtId="0" xfId="0" applyAlignment="1" applyFont="1">
      <alignment readingOrder="0" shrinkToFit="0" wrapText="0"/>
    </xf>
    <xf borderId="0" fillId="5" fontId="8" numFmtId="165" xfId="0" applyAlignment="1" applyFont="1" applyNumberFormat="1">
      <alignment horizontal="right" readingOrder="0"/>
    </xf>
    <xf borderId="0" fillId="0" fontId="9" numFmtId="0" xfId="0" applyAlignment="1" applyFont="1">
      <alignment horizontal="right" readingOrder="0" shrinkToFit="0" wrapText="0"/>
    </xf>
    <xf borderId="0" fillId="6" fontId="8" numFmtId="165" xfId="0" applyAlignment="1" applyFont="1" applyNumberFormat="1">
      <alignment horizontal="right" readingOrder="0"/>
    </xf>
    <xf borderId="0" fillId="0" fontId="9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pred_Ens_now!$B$1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pred_Ens_now!$B$2:$B$1000</c:f>
              <c:numCache/>
            </c:numRef>
          </c:val>
          <c:smooth val="0"/>
        </c:ser>
        <c:ser>
          <c:idx val="1"/>
          <c:order val="1"/>
          <c:tx>
            <c:strRef>
              <c:f>pred_Ens_now!$C$1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pred_Ens_now!$C$2:$C$1000</c:f>
              <c:numCache/>
            </c:numRef>
          </c:val>
          <c:smooth val="0"/>
        </c:ser>
        <c:ser>
          <c:idx val="2"/>
          <c:order val="2"/>
          <c:tx>
            <c:strRef>
              <c:f>pred_Ens_now!$D$1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pred_Ens_now!$D$2:$D$1000</c:f>
              <c:numCache/>
            </c:numRef>
          </c:val>
          <c:smooth val="0"/>
        </c:ser>
        <c:ser>
          <c:idx val="3"/>
          <c:order val="3"/>
          <c:tx>
            <c:strRef>
              <c:f>pred_Ens_now!$E$1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pred_Ens_now!$E$2:$E$1000</c:f>
              <c:numCache/>
            </c:numRef>
          </c:val>
          <c:smooth val="0"/>
        </c:ser>
        <c:ser>
          <c:idx val="4"/>
          <c:order val="4"/>
          <c:tx>
            <c:strRef>
              <c:f>pred_Ens_now!$F$1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pred_Ens_now!$F$2:$F$1000</c:f>
              <c:numCache/>
            </c:numRef>
          </c:val>
          <c:smooth val="0"/>
        </c:ser>
        <c:ser>
          <c:idx val="5"/>
          <c:order val="5"/>
          <c:tx>
            <c:strRef>
              <c:f>pred_Ens_now!$G$1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pred_Ens_now!$G$2:$G$1000</c:f>
              <c:numCache/>
            </c:numRef>
          </c:val>
          <c:smooth val="0"/>
        </c:ser>
        <c:ser>
          <c:idx val="6"/>
          <c:order val="6"/>
          <c:tx>
            <c:strRef>
              <c:f>pred_Ens_now!$H$1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pred_Ens_now!$H$2:$H$1000</c:f>
              <c:numCache/>
            </c:numRef>
          </c:val>
          <c:smooth val="0"/>
        </c:ser>
        <c:ser>
          <c:idx val="7"/>
          <c:order val="7"/>
          <c:tx>
            <c:strRef>
              <c:f>pred_Ens_now!$I$1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pred_Ens_now!$I$2:$I$1000</c:f>
              <c:numCache/>
            </c:numRef>
          </c:val>
          <c:smooth val="0"/>
        </c:ser>
        <c:ser>
          <c:idx val="8"/>
          <c:order val="8"/>
          <c:tx>
            <c:strRef>
              <c:f>pred_Ens_now!$J$1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pred_Ens_now!$J$2:$J$1000</c:f>
              <c:numCache/>
            </c:numRef>
          </c:val>
          <c:smooth val="0"/>
        </c:ser>
        <c:ser>
          <c:idx val="9"/>
          <c:order val="9"/>
          <c:tx>
            <c:strRef>
              <c:f>pred_Ens_now!$K$1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pred_Ens_now!$K$2:$K$1000</c:f>
              <c:numCache/>
            </c:numRef>
          </c:val>
          <c:smooth val="0"/>
        </c:ser>
        <c:ser>
          <c:idx val="10"/>
          <c:order val="10"/>
          <c:tx>
            <c:strRef>
              <c:f>pred_Ens_now!$L$1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dPt>
            <c:idx val="17"/>
            <c:marker>
              <c:symbol val="none"/>
            </c:marker>
          </c:dPt>
          <c:cat>
            <c:strRef>
              <c:f>pred_Ens_now!$A$2:$A$1000</c:f>
            </c:strRef>
          </c:cat>
          <c:val>
            <c:numRef>
              <c:f>pred_Ens_now!$L$2:$L$1000</c:f>
              <c:numCache/>
            </c:numRef>
          </c:val>
          <c:smooth val="0"/>
        </c:ser>
        <c:ser>
          <c:idx val="11"/>
          <c:order val="11"/>
          <c:tx>
            <c:strRef>
              <c:f>pred_Ens_now!$M$1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pred_Ens_now!$M$2:$M$1000</c:f>
              <c:numCache/>
            </c:numRef>
          </c:val>
          <c:smooth val="0"/>
        </c:ser>
        <c:ser>
          <c:idx val="12"/>
          <c:order val="12"/>
          <c:tx>
            <c:strRef>
              <c:f>pred_Ens_now!$N$1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pred_Ens_now!$N$2:$N$1000</c:f>
              <c:numCache/>
            </c:numRef>
          </c:val>
          <c:smooth val="0"/>
        </c:ser>
        <c:ser>
          <c:idx val="13"/>
          <c:order val="13"/>
          <c:tx>
            <c:strRef>
              <c:f>pred_Ens_now!$O$1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pred_Ens_now!$O$2:$O$1000</c:f>
              <c:numCache/>
            </c:numRef>
          </c:val>
          <c:smooth val="0"/>
        </c:ser>
        <c:ser>
          <c:idx val="14"/>
          <c:order val="14"/>
          <c:tx>
            <c:strRef>
              <c:f>pred_Ens_now!$P$1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pred_Ens_now!$P$2:$P$1000</c:f>
              <c:numCache/>
            </c:numRef>
          </c:val>
          <c:smooth val="0"/>
        </c:ser>
        <c:ser>
          <c:idx val="15"/>
          <c:order val="15"/>
          <c:tx>
            <c:strRef>
              <c:f>pred_Ens_now!$Q$1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pred_Ens_now!$Q$2:$Q$1000</c:f>
              <c:numCache/>
            </c:numRef>
          </c:val>
          <c:smooth val="0"/>
        </c:ser>
        <c:axId val="1669649698"/>
        <c:axId val="156850041"/>
      </c:lineChart>
      <c:catAx>
        <c:axId val="1669649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50041"/>
      </c:catAx>
      <c:valAx>
        <c:axId val="1568500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96496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pred_Ens_now!$B$1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pred_Ens_now!$B$2:$B$1000</c:f>
              <c:numCache/>
            </c:numRef>
          </c:val>
          <c:smooth val="0"/>
        </c:ser>
        <c:ser>
          <c:idx val="1"/>
          <c:order val="1"/>
          <c:tx>
            <c:strRef>
              <c:f>pred_Ens_now!$E$1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pred_Ens_now!$E$2:$E$1000</c:f>
              <c:numCache/>
            </c:numRef>
          </c:val>
          <c:smooth val="0"/>
        </c:ser>
        <c:ser>
          <c:idx val="2"/>
          <c:order val="2"/>
          <c:tx>
            <c:strRef>
              <c:f>pred_Ens_now!$F$1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pred_Ens_now!$F$2:$F$1000</c:f>
              <c:numCache/>
            </c:numRef>
          </c:val>
          <c:smooth val="0"/>
        </c:ser>
        <c:ser>
          <c:idx val="3"/>
          <c:order val="3"/>
          <c:tx>
            <c:strRef>
              <c:f>pred_Ens_now!$G$1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pred_Ens_now!$G$2:$G$1000</c:f>
              <c:numCache/>
            </c:numRef>
          </c:val>
          <c:smooth val="0"/>
        </c:ser>
        <c:ser>
          <c:idx val="4"/>
          <c:order val="4"/>
          <c:tx>
            <c:strRef>
              <c:f>pred_Ens_now!$H$1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pred_Ens_now!$H$2:$H$1000</c:f>
              <c:numCache/>
            </c:numRef>
          </c:val>
          <c:smooth val="0"/>
        </c:ser>
        <c:ser>
          <c:idx val="5"/>
          <c:order val="5"/>
          <c:tx>
            <c:strRef>
              <c:f>pred_Ens_now!$I$1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pred_Ens_now!$I$2:$I$1000</c:f>
              <c:numCache/>
            </c:numRef>
          </c:val>
          <c:smooth val="0"/>
        </c:ser>
        <c:ser>
          <c:idx val="6"/>
          <c:order val="6"/>
          <c:tx>
            <c:strRef>
              <c:f>pred_Ens_now!$K$1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pred_Ens_now!$A$2:$A$1000</c:f>
            </c:strRef>
          </c:cat>
          <c:val>
            <c:numRef>
              <c:f>pred_Ens_now!$K$2:$K$1000</c:f>
              <c:numCache/>
            </c:numRef>
          </c:val>
          <c:smooth val="0"/>
        </c:ser>
        <c:axId val="2140490383"/>
        <c:axId val="332920587"/>
      </c:lineChart>
      <c:catAx>
        <c:axId val="2140490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920587"/>
      </c:catAx>
      <c:valAx>
        <c:axId val="332920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0490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err_Ens_now!$B$1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err_Ens_now!$A$2:$A$30</c:f>
            </c:strRef>
          </c:cat>
          <c:val>
            <c:numRef>
              <c:f>err_Ens_now!$B$2:$B$30</c:f>
              <c:numCache/>
            </c:numRef>
          </c:val>
          <c:smooth val="0"/>
        </c:ser>
        <c:ser>
          <c:idx val="1"/>
          <c:order val="1"/>
          <c:tx>
            <c:strRef>
              <c:f>err_Ens_now!$C$1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err_Ens_now!$A$2:$A$30</c:f>
            </c:strRef>
          </c:cat>
          <c:val>
            <c:numRef>
              <c:f>err_Ens_now!$C$2:$C$30</c:f>
              <c:numCache/>
            </c:numRef>
          </c:val>
          <c:smooth val="0"/>
        </c:ser>
        <c:ser>
          <c:idx val="2"/>
          <c:order val="2"/>
          <c:tx>
            <c:strRef>
              <c:f>err_Ens_now!$D$1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err_Ens_now!$A$2:$A$30</c:f>
            </c:strRef>
          </c:cat>
          <c:val>
            <c:numRef>
              <c:f>err_Ens_now!$D$2:$D$30</c:f>
              <c:numCache/>
            </c:numRef>
          </c:val>
          <c:smooth val="0"/>
        </c:ser>
        <c:ser>
          <c:idx val="3"/>
          <c:order val="3"/>
          <c:tx>
            <c:strRef>
              <c:f>err_Ens_now!$E$1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err_Ens_now!$A$2:$A$30</c:f>
            </c:strRef>
          </c:cat>
          <c:val>
            <c:numRef>
              <c:f>err_Ens_now!$E$2:$E$30</c:f>
              <c:numCache/>
            </c:numRef>
          </c:val>
          <c:smooth val="0"/>
        </c:ser>
        <c:ser>
          <c:idx val="4"/>
          <c:order val="4"/>
          <c:tx>
            <c:strRef>
              <c:f>err_Ens_now!$F$1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err_Ens_now!$A$2:$A$30</c:f>
            </c:strRef>
          </c:cat>
          <c:val>
            <c:numRef>
              <c:f>err_Ens_now!$F$2:$F$30</c:f>
              <c:numCache/>
            </c:numRef>
          </c:val>
          <c:smooth val="0"/>
        </c:ser>
        <c:ser>
          <c:idx val="5"/>
          <c:order val="5"/>
          <c:tx>
            <c:strRef>
              <c:f>err_Ens_now!$G$1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err_Ens_now!$A$2:$A$30</c:f>
            </c:strRef>
          </c:cat>
          <c:val>
            <c:numRef>
              <c:f>err_Ens_now!$G$2:$G$30</c:f>
              <c:numCache/>
            </c:numRef>
          </c:val>
          <c:smooth val="0"/>
        </c:ser>
        <c:ser>
          <c:idx val="6"/>
          <c:order val="6"/>
          <c:tx>
            <c:strRef>
              <c:f>err_Ens_now!$H$1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err_Ens_now!$A$2:$A$30</c:f>
            </c:strRef>
          </c:cat>
          <c:val>
            <c:numRef>
              <c:f>err_Ens_now!$H$2:$H$30</c:f>
              <c:numCache/>
            </c:numRef>
          </c:val>
          <c:smooth val="0"/>
        </c:ser>
        <c:ser>
          <c:idx val="7"/>
          <c:order val="7"/>
          <c:tx>
            <c:strRef>
              <c:f>err_Ens_now!$I$1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err_Ens_now!$A$2:$A$30</c:f>
            </c:strRef>
          </c:cat>
          <c:val>
            <c:numRef>
              <c:f>err_Ens_now!$I$2:$I$30</c:f>
              <c:numCache/>
            </c:numRef>
          </c:val>
          <c:smooth val="0"/>
        </c:ser>
        <c:ser>
          <c:idx val="8"/>
          <c:order val="8"/>
          <c:tx>
            <c:strRef>
              <c:f>err_Ens_now!$J$1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err_Ens_now!$A$2:$A$30</c:f>
            </c:strRef>
          </c:cat>
          <c:val>
            <c:numRef>
              <c:f>err_Ens_now!$J$2:$J$30</c:f>
              <c:numCache/>
            </c:numRef>
          </c:val>
          <c:smooth val="0"/>
        </c:ser>
        <c:axId val="1415863783"/>
        <c:axId val="1193698539"/>
      </c:lineChart>
      <c:catAx>
        <c:axId val="1415863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698539"/>
      </c:catAx>
      <c:valAx>
        <c:axId val="11936985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58637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'Ens_now작업'!$B$1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'Ens_now작업'!$A$2:$A$30</c:f>
            </c:strRef>
          </c:cat>
          <c:val>
            <c:numRef>
              <c:f>'Ens_now작업'!$B$2:$B$30</c:f>
              <c:numCache/>
            </c:numRef>
          </c:val>
          <c:smooth val="0"/>
        </c:ser>
        <c:ser>
          <c:idx val="1"/>
          <c:order val="1"/>
          <c:tx>
            <c:strRef>
              <c:f>'Ens_now작업'!$C$1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'Ens_now작업'!$A$2:$A$30</c:f>
            </c:strRef>
          </c:cat>
          <c:val>
            <c:numRef>
              <c:f>'Ens_now작업'!$C$2:$C$30</c:f>
              <c:numCache/>
            </c:numRef>
          </c:val>
          <c:smooth val="0"/>
        </c:ser>
        <c:ser>
          <c:idx val="2"/>
          <c:order val="2"/>
          <c:tx>
            <c:strRef>
              <c:f>'Ens_now작업'!$D$1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'Ens_now작업'!$A$2:$A$30</c:f>
            </c:strRef>
          </c:cat>
          <c:val>
            <c:numRef>
              <c:f>'Ens_now작업'!$D$2:$D$30</c:f>
              <c:numCache/>
            </c:numRef>
          </c:val>
          <c:smooth val="0"/>
        </c:ser>
        <c:ser>
          <c:idx val="3"/>
          <c:order val="3"/>
          <c:tx>
            <c:strRef>
              <c:f>'Ens_now작업'!$E$1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'Ens_now작업'!$A$2:$A$30</c:f>
            </c:strRef>
          </c:cat>
          <c:val>
            <c:numRef>
              <c:f>'Ens_now작업'!$E$2:$E$30</c:f>
              <c:numCache/>
            </c:numRef>
          </c:val>
          <c:smooth val="0"/>
        </c:ser>
        <c:ser>
          <c:idx val="4"/>
          <c:order val="4"/>
          <c:tx>
            <c:strRef>
              <c:f>'Ens_now작업'!$F$1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'Ens_now작업'!$A$2:$A$30</c:f>
            </c:strRef>
          </c:cat>
          <c:val>
            <c:numRef>
              <c:f>'Ens_now작업'!$F$2:$F$30</c:f>
              <c:numCache/>
            </c:numRef>
          </c:val>
          <c:smooth val="0"/>
        </c:ser>
        <c:ser>
          <c:idx val="5"/>
          <c:order val="5"/>
          <c:tx>
            <c:strRef>
              <c:f>'Ens_now작업'!$G$1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'Ens_now작업'!$A$2:$A$30</c:f>
            </c:strRef>
          </c:cat>
          <c:val>
            <c:numRef>
              <c:f>'Ens_now작업'!$G$2:$G$30</c:f>
              <c:numCache/>
            </c:numRef>
          </c:val>
          <c:smooth val="0"/>
        </c:ser>
        <c:ser>
          <c:idx val="6"/>
          <c:order val="6"/>
          <c:tx>
            <c:strRef>
              <c:f>'Ens_now작업'!$H$1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'Ens_now작업'!$A$2:$A$30</c:f>
            </c:strRef>
          </c:cat>
          <c:val>
            <c:numRef>
              <c:f>'Ens_now작업'!$H$2:$H$30</c:f>
              <c:numCache/>
            </c:numRef>
          </c:val>
          <c:smooth val="0"/>
        </c:ser>
        <c:ser>
          <c:idx val="7"/>
          <c:order val="7"/>
          <c:tx>
            <c:strRef>
              <c:f>'Ens_now작업'!$I$1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'Ens_now작업'!$A$2:$A$30</c:f>
            </c:strRef>
          </c:cat>
          <c:val>
            <c:numRef>
              <c:f>'Ens_now작업'!$I$2:$I$30</c:f>
              <c:numCache/>
            </c:numRef>
          </c:val>
          <c:smooth val="0"/>
        </c:ser>
        <c:ser>
          <c:idx val="8"/>
          <c:order val="8"/>
          <c:tx>
            <c:strRef>
              <c:f>'Ens_now작업'!$J$1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'Ens_now작업'!$A$2:$A$30</c:f>
            </c:strRef>
          </c:cat>
          <c:val>
            <c:numRef>
              <c:f>'Ens_now작업'!$J$2:$J$30</c:f>
              <c:numCache/>
            </c:numRef>
          </c:val>
          <c:smooth val="0"/>
        </c:ser>
        <c:ser>
          <c:idx val="9"/>
          <c:order val="9"/>
          <c:tx>
            <c:strRef>
              <c:f>'Ens_now작업'!$K$1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'Ens_now작업'!$A$2:$A$30</c:f>
            </c:strRef>
          </c:cat>
          <c:val>
            <c:numRef>
              <c:f>'Ens_now작업'!$K$2:$K$30</c:f>
              <c:numCache/>
            </c:numRef>
          </c:val>
          <c:smooth val="0"/>
        </c:ser>
        <c:ser>
          <c:idx val="10"/>
          <c:order val="10"/>
          <c:tx>
            <c:strRef>
              <c:f>'Ens_now작업'!$L$1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dPt>
            <c:idx val="17"/>
            <c:marker>
              <c:symbol val="none"/>
            </c:marker>
          </c:dPt>
          <c:cat>
            <c:strRef>
              <c:f>'Ens_now작업'!$A$2:$A$30</c:f>
            </c:strRef>
          </c:cat>
          <c:val>
            <c:numRef>
              <c:f>'Ens_now작업'!$L$2:$L$30</c:f>
              <c:numCache/>
            </c:numRef>
          </c:val>
          <c:smooth val="0"/>
        </c:ser>
        <c:ser>
          <c:idx val="11"/>
          <c:order val="11"/>
          <c:tx>
            <c:strRef>
              <c:f>'Ens_now작업'!$M$1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'Ens_now작업'!$A$2:$A$30</c:f>
            </c:strRef>
          </c:cat>
          <c:val>
            <c:numRef>
              <c:f>'Ens_now작업'!$M$2:$M$30</c:f>
              <c:numCache/>
            </c:numRef>
          </c:val>
          <c:smooth val="0"/>
        </c:ser>
        <c:ser>
          <c:idx val="12"/>
          <c:order val="12"/>
          <c:tx>
            <c:strRef>
              <c:f>'Ens_now작업'!$N$1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'Ens_now작업'!$A$2:$A$30</c:f>
            </c:strRef>
          </c:cat>
          <c:val>
            <c:numRef>
              <c:f>'Ens_now작업'!$N$2:$N$30</c:f>
              <c:numCache/>
            </c:numRef>
          </c:val>
          <c:smooth val="0"/>
        </c:ser>
        <c:ser>
          <c:idx val="13"/>
          <c:order val="13"/>
          <c:tx>
            <c:strRef>
              <c:f>'Ens_now작업'!$O$1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'Ens_now작업'!$A$2:$A$30</c:f>
            </c:strRef>
          </c:cat>
          <c:val>
            <c:numRef>
              <c:f>'Ens_now작업'!$O$2:$O$30</c:f>
              <c:numCache/>
            </c:numRef>
          </c:val>
          <c:smooth val="0"/>
        </c:ser>
        <c:axId val="1848490750"/>
        <c:axId val="860320991"/>
      </c:lineChart>
      <c:catAx>
        <c:axId val="18484907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0320991"/>
      </c:catAx>
      <c:valAx>
        <c:axId val="8603209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4907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'Ens_now작업2'!$B$1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'Ens_now작업2'!$A$2:$A$30</c:f>
            </c:strRef>
          </c:cat>
          <c:val>
            <c:numRef>
              <c:f>'Ens_now작업2'!$B$2:$B$30</c:f>
              <c:numCache/>
            </c:numRef>
          </c:val>
          <c:smooth val="0"/>
        </c:ser>
        <c:ser>
          <c:idx val="1"/>
          <c:order val="1"/>
          <c:tx>
            <c:strRef>
              <c:f>'Ens_now작업2'!$C$1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'Ens_now작업2'!$A$2:$A$30</c:f>
            </c:strRef>
          </c:cat>
          <c:val>
            <c:numRef>
              <c:f>'Ens_now작업2'!$C$2:$C$30</c:f>
              <c:numCache/>
            </c:numRef>
          </c:val>
          <c:smooth val="0"/>
        </c:ser>
        <c:ser>
          <c:idx val="2"/>
          <c:order val="2"/>
          <c:tx>
            <c:strRef>
              <c:f>'Ens_now작업2'!$D$1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'Ens_now작업2'!$A$2:$A$30</c:f>
            </c:strRef>
          </c:cat>
          <c:val>
            <c:numRef>
              <c:f>'Ens_now작업2'!$D$2:$D$30</c:f>
              <c:numCache/>
            </c:numRef>
          </c:val>
          <c:smooth val="0"/>
        </c:ser>
        <c:ser>
          <c:idx val="3"/>
          <c:order val="3"/>
          <c:tx>
            <c:strRef>
              <c:f>'Ens_now작업2'!$E$1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'Ens_now작업2'!$A$2:$A$30</c:f>
            </c:strRef>
          </c:cat>
          <c:val>
            <c:numRef>
              <c:f>'Ens_now작업2'!$E$2:$E$30</c:f>
              <c:numCache/>
            </c:numRef>
          </c:val>
          <c:smooth val="0"/>
        </c:ser>
        <c:ser>
          <c:idx val="4"/>
          <c:order val="4"/>
          <c:tx>
            <c:strRef>
              <c:f>'Ens_now작업2'!$F$1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'Ens_now작업2'!$A$2:$A$30</c:f>
            </c:strRef>
          </c:cat>
          <c:val>
            <c:numRef>
              <c:f>'Ens_now작업2'!$F$2:$F$30</c:f>
              <c:numCache/>
            </c:numRef>
          </c:val>
          <c:smooth val="0"/>
        </c:ser>
        <c:ser>
          <c:idx val="5"/>
          <c:order val="5"/>
          <c:tx>
            <c:strRef>
              <c:f>'Ens_now작업2'!$G$1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'Ens_now작업2'!$A$2:$A$30</c:f>
            </c:strRef>
          </c:cat>
          <c:val>
            <c:numRef>
              <c:f>'Ens_now작업2'!$G$2:$G$30</c:f>
              <c:numCache/>
            </c:numRef>
          </c:val>
          <c:smooth val="0"/>
        </c:ser>
        <c:ser>
          <c:idx val="6"/>
          <c:order val="6"/>
          <c:tx>
            <c:strRef>
              <c:f>'Ens_now작업2'!$H$1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'Ens_now작업2'!$A$2:$A$30</c:f>
            </c:strRef>
          </c:cat>
          <c:val>
            <c:numRef>
              <c:f>'Ens_now작업2'!$H$2:$H$30</c:f>
              <c:numCache/>
            </c:numRef>
          </c:val>
          <c:smooth val="0"/>
        </c:ser>
        <c:ser>
          <c:idx val="7"/>
          <c:order val="7"/>
          <c:tx>
            <c:strRef>
              <c:f>'Ens_now작업2'!$I$1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'Ens_now작업2'!$A$2:$A$30</c:f>
            </c:strRef>
          </c:cat>
          <c:val>
            <c:numRef>
              <c:f>'Ens_now작업2'!$I$2:$I$30</c:f>
              <c:numCache/>
            </c:numRef>
          </c:val>
          <c:smooth val="0"/>
        </c:ser>
        <c:ser>
          <c:idx val="8"/>
          <c:order val="8"/>
          <c:tx>
            <c:strRef>
              <c:f>'Ens_now작업2'!$J$1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'Ens_now작업2'!$A$2:$A$30</c:f>
            </c:strRef>
          </c:cat>
          <c:val>
            <c:numRef>
              <c:f>'Ens_now작업2'!$J$2:$J$30</c:f>
              <c:numCache/>
            </c:numRef>
          </c:val>
          <c:smooth val="0"/>
        </c:ser>
        <c:ser>
          <c:idx val="9"/>
          <c:order val="9"/>
          <c:tx>
            <c:strRef>
              <c:f>'Ens_now작업2'!$K$1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'Ens_now작업2'!$A$2:$A$30</c:f>
            </c:strRef>
          </c:cat>
          <c:val>
            <c:numRef>
              <c:f>'Ens_now작업2'!$K$2:$K$30</c:f>
              <c:numCache/>
            </c:numRef>
          </c:val>
          <c:smooth val="0"/>
        </c:ser>
        <c:ser>
          <c:idx val="10"/>
          <c:order val="10"/>
          <c:tx>
            <c:strRef>
              <c:f>'Ens_now작업2'!$L$1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dPt>
            <c:idx val="17"/>
            <c:marker>
              <c:symbol val="none"/>
            </c:marker>
          </c:dPt>
          <c:cat>
            <c:strRef>
              <c:f>'Ens_now작업2'!$A$2:$A$30</c:f>
            </c:strRef>
          </c:cat>
          <c:val>
            <c:numRef>
              <c:f>'Ens_now작업2'!$L$2:$L$30</c:f>
              <c:numCache/>
            </c:numRef>
          </c:val>
          <c:smooth val="0"/>
        </c:ser>
        <c:ser>
          <c:idx val="11"/>
          <c:order val="11"/>
          <c:tx>
            <c:strRef>
              <c:f>'Ens_now작업2'!$M$1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'Ens_now작업2'!$A$2:$A$30</c:f>
            </c:strRef>
          </c:cat>
          <c:val>
            <c:numRef>
              <c:f>'Ens_now작업2'!$M$2:$M$30</c:f>
              <c:numCache/>
            </c:numRef>
          </c:val>
          <c:smooth val="0"/>
        </c:ser>
        <c:ser>
          <c:idx val="12"/>
          <c:order val="12"/>
          <c:tx>
            <c:strRef>
              <c:f>'Ens_now작업2'!$N$1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'Ens_now작업2'!$A$2:$A$30</c:f>
            </c:strRef>
          </c:cat>
          <c:val>
            <c:numRef>
              <c:f>'Ens_now작업2'!$N$2:$N$30</c:f>
              <c:numCache/>
            </c:numRef>
          </c:val>
          <c:smooth val="0"/>
        </c:ser>
        <c:axId val="1279418881"/>
        <c:axId val="118027141"/>
      </c:lineChart>
      <c:catAx>
        <c:axId val="1279418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027141"/>
      </c:catAx>
      <c:valAx>
        <c:axId val="118027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4188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'Ens_now작업3'!$B$1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'Ens_now작업3'!$A$2:$A$30</c:f>
            </c:strRef>
          </c:cat>
          <c:val>
            <c:numRef>
              <c:f>'Ens_now작업3'!$B$2:$B$30</c:f>
              <c:numCache/>
            </c:numRef>
          </c:val>
          <c:smooth val="0"/>
        </c:ser>
        <c:ser>
          <c:idx val="1"/>
          <c:order val="1"/>
          <c:tx>
            <c:strRef>
              <c:f>'Ens_now작업3'!$C$1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'Ens_now작업3'!$A$2:$A$30</c:f>
            </c:strRef>
          </c:cat>
          <c:val>
            <c:numRef>
              <c:f>'Ens_now작업3'!$C$2:$C$30</c:f>
              <c:numCache/>
            </c:numRef>
          </c:val>
          <c:smooth val="0"/>
        </c:ser>
        <c:ser>
          <c:idx val="2"/>
          <c:order val="2"/>
          <c:tx>
            <c:strRef>
              <c:f>'Ens_now작업3'!$D$1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'Ens_now작업3'!$A$2:$A$30</c:f>
            </c:strRef>
          </c:cat>
          <c:val>
            <c:numRef>
              <c:f>'Ens_now작업3'!$D$2:$D$30</c:f>
              <c:numCache/>
            </c:numRef>
          </c:val>
          <c:smooth val="0"/>
        </c:ser>
        <c:ser>
          <c:idx val="3"/>
          <c:order val="3"/>
          <c:tx>
            <c:strRef>
              <c:f>'Ens_now작업3'!$E$1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'Ens_now작업3'!$A$2:$A$30</c:f>
            </c:strRef>
          </c:cat>
          <c:val>
            <c:numRef>
              <c:f>'Ens_now작업3'!$E$2:$E$30</c:f>
              <c:numCache/>
            </c:numRef>
          </c:val>
          <c:smooth val="0"/>
        </c:ser>
        <c:ser>
          <c:idx val="4"/>
          <c:order val="4"/>
          <c:tx>
            <c:strRef>
              <c:f>'Ens_now작업3'!$F$1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'Ens_now작업3'!$A$2:$A$30</c:f>
            </c:strRef>
          </c:cat>
          <c:val>
            <c:numRef>
              <c:f>'Ens_now작업3'!$F$2:$F$30</c:f>
              <c:numCache/>
            </c:numRef>
          </c:val>
          <c:smooth val="0"/>
        </c:ser>
        <c:ser>
          <c:idx val="5"/>
          <c:order val="5"/>
          <c:tx>
            <c:strRef>
              <c:f>'Ens_now작업3'!$G$1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'Ens_now작업3'!$A$2:$A$30</c:f>
            </c:strRef>
          </c:cat>
          <c:val>
            <c:numRef>
              <c:f>'Ens_now작업3'!$G$2:$G$30</c:f>
              <c:numCache/>
            </c:numRef>
          </c:val>
          <c:smooth val="0"/>
        </c:ser>
        <c:ser>
          <c:idx val="6"/>
          <c:order val="6"/>
          <c:tx>
            <c:strRef>
              <c:f>'Ens_now작업3'!$H$1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'Ens_now작업3'!$A$2:$A$30</c:f>
            </c:strRef>
          </c:cat>
          <c:val>
            <c:numRef>
              <c:f>'Ens_now작업3'!$H$2:$H$30</c:f>
              <c:numCache/>
            </c:numRef>
          </c:val>
          <c:smooth val="0"/>
        </c:ser>
        <c:ser>
          <c:idx val="7"/>
          <c:order val="7"/>
          <c:tx>
            <c:strRef>
              <c:f>'Ens_now작업3'!$I$1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'Ens_now작업3'!$A$2:$A$30</c:f>
            </c:strRef>
          </c:cat>
          <c:val>
            <c:numRef>
              <c:f>'Ens_now작업3'!$I$2:$I$30</c:f>
              <c:numCache/>
            </c:numRef>
          </c:val>
          <c:smooth val="0"/>
        </c:ser>
        <c:ser>
          <c:idx val="8"/>
          <c:order val="8"/>
          <c:tx>
            <c:strRef>
              <c:f>'Ens_now작업3'!$J$1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'Ens_now작업3'!$A$2:$A$30</c:f>
            </c:strRef>
          </c:cat>
          <c:val>
            <c:numRef>
              <c:f>'Ens_now작업3'!$J$2:$J$30</c:f>
              <c:numCache/>
            </c:numRef>
          </c:val>
          <c:smooth val="0"/>
        </c:ser>
        <c:ser>
          <c:idx val="9"/>
          <c:order val="9"/>
          <c:tx>
            <c:strRef>
              <c:f>'Ens_now작업3'!$K$1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'Ens_now작업3'!$A$2:$A$30</c:f>
            </c:strRef>
          </c:cat>
          <c:val>
            <c:numRef>
              <c:f>'Ens_now작업3'!$K$2:$K$30</c:f>
              <c:numCache/>
            </c:numRef>
          </c:val>
          <c:smooth val="0"/>
        </c:ser>
        <c:ser>
          <c:idx val="10"/>
          <c:order val="10"/>
          <c:tx>
            <c:strRef>
              <c:f>'Ens_now작업3'!$L$1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dPt>
            <c:idx val="17"/>
            <c:marker>
              <c:symbol val="none"/>
            </c:marker>
          </c:dPt>
          <c:cat>
            <c:strRef>
              <c:f>'Ens_now작업3'!$A$2:$A$30</c:f>
            </c:strRef>
          </c:cat>
          <c:val>
            <c:numRef>
              <c:f>'Ens_now작업3'!$L$2:$L$30</c:f>
              <c:numCache/>
            </c:numRef>
          </c:val>
          <c:smooth val="0"/>
        </c:ser>
        <c:ser>
          <c:idx val="11"/>
          <c:order val="11"/>
          <c:tx>
            <c:strRef>
              <c:f>'Ens_now작업3'!$M$1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'Ens_now작업3'!$A$2:$A$30</c:f>
            </c:strRef>
          </c:cat>
          <c:val>
            <c:numRef>
              <c:f>'Ens_now작업3'!$M$2:$M$30</c:f>
              <c:numCache/>
            </c:numRef>
          </c:val>
          <c:smooth val="0"/>
        </c:ser>
        <c:axId val="951269797"/>
        <c:axId val="1361236643"/>
      </c:lineChart>
      <c:catAx>
        <c:axId val="951269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1236643"/>
      </c:catAx>
      <c:valAx>
        <c:axId val="13612366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12697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err_Ens_1qa!$B$1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err_Ens_1qa!$A$2:$A$30</c:f>
            </c:strRef>
          </c:cat>
          <c:val>
            <c:numRef>
              <c:f>err_Ens_1qa!$B$2:$B$30</c:f>
              <c:numCache/>
            </c:numRef>
          </c:val>
          <c:smooth val="0"/>
        </c:ser>
        <c:ser>
          <c:idx val="1"/>
          <c:order val="1"/>
          <c:tx>
            <c:strRef>
              <c:f>err_Ens_1qa!$C$1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err_Ens_1qa!$A$2:$A$30</c:f>
            </c:strRef>
          </c:cat>
          <c:val>
            <c:numRef>
              <c:f>err_Ens_1qa!$C$2:$C$30</c:f>
              <c:numCache/>
            </c:numRef>
          </c:val>
          <c:smooth val="0"/>
        </c:ser>
        <c:ser>
          <c:idx val="2"/>
          <c:order val="2"/>
          <c:tx>
            <c:strRef>
              <c:f>err_Ens_1qa!$D$1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err_Ens_1qa!$A$2:$A$30</c:f>
            </c:strRef>
          </c:cat>
          <c:val>
            <c:numRef>
              <c:f>err_Ens_1qa!$D$2:$D$30</c:f>
              <c:numCache/>
            </c:numRef>
          </c:val>
          <c:smooth val="0"/>
        </c:ser>
        <c:ser>
          <c:idx val="3"/>
          <c:order val="3"/>
          <c:tx>
            <c:strRef>
              <c:f>err_Ens_1qa!$E$1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err_Ens_1qa!$A$2:$A$30</c:f>
            </c:strRef>
          </c:cat>
          <c:val>
            <c:numRef>
              <c:f>err_Ens_1qa!$E$2:$E$30</c:f>
              <c:numCache/>
            </c:numRef>
          </c:val>
          <c:smooth val="0"/>
        </c:ser>
        <c:ser>
          <c:idx val="4"/>
          <c:order val="4"/>
          <c:tx>
            <c:strRef>
              <c:f>err_Ens_1qa!$F$1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err_Ens_1qa!$A$2:$A$30</c:f>
            </c:strRef>
          </c:cat>
          <c:val>
            <c:numRef>
              <c:f>err_Ens_1qa!$F$2:$F$30</c:f>
              <c:numCache/>
            </c:numRef>
          </c:val>
          <c:smooth val="0"/>
        </c:ser>
        <c:ser>
          <c:idx val="5"/>
          <c:order val="5"/>
          <c:tx>
            <c:strRef>
              <c:f>err_Ens_1qa!$G$1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err_Ens_1qa!$A$2:$A$30</c:f>
            </c:strRef>
          </c:cat>
          <c:val>
            <c:numRef>
              <c:f>err_Ens_1qa!$G$2:$G$30</c:f>
              <c:numCache/>
            </c:numRef>
          </c:val>
          <c:smooth val="0"/>
        </c:ser>
        <c:ser>
          <c:idx val="6"/>
          <c:order val="6"/>
          <c:tx>
            <c:strRef>
              <c:f>err_Ens_1qa!$H$1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err_Ens_1qa!$A$2:$A$30</c:f>
            </c:strRef>
          </c:cat>
          <c:val>
            <c:numRef>
              <c:f>err_Ens_1qa!$H$2:$H$30</c:f>
              <c:numCache/>
            </c:numRef>
          </c:val>
          <c:smooth val="0"/>
        </c:ser>
        <c:ser>
          <c:idx val="7"/>
          <c:order val="7"/>
          <c:tx>
            <c:strRef>
              <c:f>err_Ens_1qa!$I$1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err_Ens_1qa!$A$2:$A$30</c:f>
            </c:strRef>
          </c:cat>
          <c:val>
            <c:numRef>
              <c:f>err_Ens_1qa!$I$2:$I$30</c:f>
              <c:numCache/>
            </c:numRef>
          </c:val>
          <c:smooth val="0"/>
        </c:ser>
        <c:ser>
          <c:idx val="8"/>
          <c:order val="8"/>
          <c:tx>
            <c:strRef>
              <c:f>err_Ens_1qa!$J$1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err_Ens_1qa!$A$2:$A$30</c:f>
            </c:strRef>
          </c:cat>
          <c:val>
            <c:numRef>
              <c:f>err_Ens_1qa!$J$2:$J$30</c:f>
              <c:numCache/>
            </c:numRef>
          </c:val>
          <c:smooth val="0"/>
        </c:ser>
        <c:axId val="1251497166"/>
        <c:axId val="254559940"/>
      </c:lineChart>
      <c:catAx>
        <c:axId val="1251497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559940"/>
      </c:catAx>
      <c:valAx>
        <c:axId val="2545599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14971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'Ens_1qa작업'!$B$1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'Ens_1qa작업'!$A$2:$A$30</c:f>
            </c:strRef>
          </c:cat>
          <c:val>
            <c:numRef>
              <c:f>'Ens_1qa작업'!$B$2:$B$30</c:f>
              <c:numCache/>
            </c:numRef>
          </c:val>
          <c:smooth val="0"/>
        </c:ser>
        <c:ser>
          <c:idx val="1"/>
          <c:order val="1"/>
          <c:tx>
            <c:strRef>
              <c:f>'Ens_1qa작업'!$C$1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'Ens_1qa작업'!$A$2:$A$30</c:f>
            </c:strRef>
          </c:cat>
          <c:val>
            <c:numRef>
              <c:f>'Ens_1qa작업'!$C$2:$C$30</c:f>
              <c:numCache/>
            </c:numRef>
          </c:val>
          <c:smooth val="0"/>
        </c:ser>
        <c:ser>
          <c:idx val="2"/>
          <c:order val="2"/>
          <c:tx>
            <c:strRef>
              <c:f>'Ens_1qa작업'!$D$1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'Ens_1qa작업'!$A$2:$A$30</c:f>
            </c:strRef>
          </c:cat>
          <c:val>
            <c:numRef>
              <c:f>'Ens_1qa작업'!$D$2:$D$30</c:f>
              <c:numCache/>
            </c:numRef>
          </c:val>
          <c:smooth val="0"/>
        </c:ser>
        <c:ser>
          <c:idx val="3"/>
          <c:order val="3"/>
          <c:tx>
            <c:strRef>
              <c:f>'Ens_1qa작업'!$E$1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'Ens_1qa작업'!$A$2:$A$30</c:f>
            </c:strRef>
          </c:cat>
          <c:val>
            <c:numRef>
              <c:f>'Ens_1qa작업'!$E$2:$E$30</c:f>
              <c:numCache/>
            </c:numRef>
          </c:val>
          <c:smooth val="0"/>
        </c:ser>
        <c:ser>
          <c:idx val="4"/>
          <c:order val="4"/>
          <c:tx>
            <c:strRef>
              <c:f>'Ens_1qa작업'!$F$1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'Ens_1qa작업'!$A$2:$A$30</c:f>
            </c:strRef>
          </c:cat>
          <c:val>
            <c:numRef>
              <c:f>'Ens_1qa작업'!$F$2:$F$30</c:f>
              <c:numCache/>
            </c:numRef>
          </c:val>
          <c:smooth val="0"/>
        </c:ser>
        <c:ser>
          <c:idx val="5"/>
          <c:order val="5"/>
          <c:tx>
            <c:strRef>
              <c:f>'Ens_1qa작업'!$G$1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'Ens_1qa작업'!$A$2:$A$30</c:f>
            </c:strRef>
          </c:cat>
          <c:val>
            <c:numRef>
              <c:f>'Ens_1qa작업'!$G$2:$G$30</c:f>
              <c:numCache/>
            </c:numRef>
          </c:val>
          <c:smooth val="0"/>
        </c:ser>
        <c:ser>
          <c:idx val="6"/>
          <c:order val="6"/>
          <c:tx>
            <c:strRef>
              <c:f>'Ens_1qa작업'!$H$1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'Ens_1qa작업'!$A$2:$A$30</c:f>
            </c:strRef>
          </c:cat>
          <c:val>
            <c:numRef>
              <c:f>'Ens_1qa작업'!$H$2:$H$30</c:f>
              <c:numCache/>
            </c:numRef>
          </c:val>
          <c:smooth val="0"/>
        </c:ser>
        <c:ser>
          <c:idx val="7"/>
          <c:order val="7"/>
          <c:tx>
            <c:strRef>
              <c:f>'Ens_1qa작업'!$I$1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'Ens_1qa작업'!$A$2:$A$30</c:f>
            </c:strRef>
          </c:cat>
          <c:val>
            <c:numRef>
              <c:f>'Ens_1qa작업'!$I$2:$I$30</c:f>
              <c:numCache/>
            </c:numRef>
          </c:val>
          <c:smooth val="0"/>
        </c:ser>
        <c:ser>
          <c:idx val="8"/>
          <c:order val="8"/>
          <c:tx>
            <c:strRef>
              <c:f>'Ens_1qa작업'!$J$1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'Ens_1qa작업'!$A$2:$A$30</c:f>
            </c:strRef>
          </c:cat>
          <c:val>
            <c:numRef>
              <c:f>'Ens_1qa작업'!$J$2:$J$30</c:f>
              <c:numCache/>
            </c:numRef>
          </c:val>
          <c:smooth val="0"/>
        </c:ser>
        <c:ser>
          <c:idx val="9"/>
          <c:order val="9"/>
          <c:tx>
            <c:strRef>
              <c:f>'Ens_1qa작업'!$K$1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'Ens_1qa작업'!$A$2:$A$30</c:f>
            </c:strRef>
          </c:cat>
          <c:val>
            <c:numRef>
              <c:f>'Ens_1qa작업'!$K$2:$K$30</c:f>
              <c:numCache/>
            </c:numRef>
          </c:val>
          <c:smooth val="0"/>
        </c:ser>
        <c:ser>
          <c:idx val="10"/>
          <c:order val="10"/>
          <c:tx>
            <c:strRef>
              <c:f>'Ens_1qa작업'!$L$1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dPt>
            <c:idx val="17"/>
            <c:marker>
              <c:symbol val="none"/>
            </c:marker>
          </c:dPt>
          <c:cat>
            <c:strRef>
              <c:f>'Ens_1qa작업'!$A$2:$A$30</c:f>
            </c:strRef>
          </c:cat>
          <c:val>
            <c:numRef>
              <c:f>'Ens_1qa작업'!$L$2:$L$30</c:f>
              <c:numCache/>
            </c:numRef>
          </c:val>
          <c:smooth val="0"/>
        </c:ser>
        <c:ser>
          <c:idx val="11"/>
          <c:order val="11"/>
          <c:tx>
            <c:strRef>
              <c:f>'Ens_1qa작업'!$M$1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'Ens_1qa작업'!$A$2:$A$30</c:f>
            </c:strRef>
          </c:cat>
          <c:val>
            <c:numRef>
              <c:f>'Ens_1qa작업'!$M$2:$M$30</c:f>
              <c:numCache/>
            </c:numRef>
          </c:val>
          <c:smooth val="0"/>
        </c:ser>
        <c:axId val="285944346"/>
        <c:axId val="55355913"/>
      </c:lineChart>
      <c:catAx>
        <c:axId val="285944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355913"/>
      </c:catAx>
      <c:valAx>
        <c:axId val="55355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59443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'Ens_1qa작업2'!$B$1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'Ens_1qa작업2'!$A$2:$A$30</c:f>
            </c:strRef>
          </c:cat>
          <c:val>
            <c:numRef>
              <c:f>'Ens_1qa작업2'!$B$2:$B$30</c:f>
              <c:numCache/>
            </c:numRef>
          </c:val>
          <c:smooth val="0"/>
        </c:ser>
        <c:ser>
          <c:idx val="1"/>
          <c:order val="1"/>
          <c:tx>
            <c:strRef>
              <c:f>'Ens_1qa작업2'!$C$1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'Ens_1qa작업2'!$A$2:$A$30</c:f>
            </c:strRef>
          </c:cat>
          <c:val>
            <c:numRef>
              <c:f>'Ens_1qa작업2'!$C$2:$C$30</c:f>
              <c:numCache/>
            </c:numRef>
          </c:val>
          <c:smooth val="0"/>
        </c:ser>
        <c:ser>
          <c:idx val="2"/>
          <c:order val="2"/>
          <c:tx>
            <c:strRef>
              <c:f>'Ens_1qa작업2'!$D$1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'Ens_1qa작업2'!$A$2:$A$30</c:f>
            </c:strRef>
          </c:cat>
          <c:val>
            <c:numRef>
              <c:f>'Ens_1qa작업2'!$D$2:$D$30</c:f>
              <c:numCache/>
            </c:numRef>
          </c:val>
          <c:smooth val="0"/>
        </c:ser>
        <c:ser>
          <c:idx val="3"/>
          <c:order val="3"/>
          <c:tx>
            <c:strRef>
              <c:f>'Ens_1qa작업2'!$E$1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'Ens_1qa작업2'!$A$2:$A$30</c:f>
            </c:strRef>
          </c:cat>
          <c:val>
            <c:numRef>
              <c:f>'Ens_1qa작업2'!$E$2:$E$30</c:f>
              <c:numCache/>
            </c:numRef>
          </c:val>
          <c:smooth val="0"/>
        </c:ser>
        <c:ser>
          <c:idx val="4"/>
          <c:order val="4"/>
          <c:tx>
            <c:strRef>
              <c:f>'Ens_1qa작업2'!$F$1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'Ens_1qa작업2'!$A$2:$A$30</c:f>
            </c:strRef>
          </c:cat>
          <c:val>
            <c:numRef>
              <c:f>'Ens_1qa작업2'!$F$2:$F$30</c:f>
              <c:numCache/>
            </c:numRef>
          </c:val>
          <c:smooth val="0"/>
        </c:ser>
        <c:ser>
          <c:idx val="5"/>
          <c:order val="5"/>
          <c:tx>
            <c:strRef>
              <c:f>'Ens_1qa작업2'!$G$1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'Ens_1qa작업2'!$A$2:$A$30</c:f>
            </c:strRef>
          </c:cat>
          <c:val>
            <c:numRef>
              <c:f>'Ens_1qa작업2'!$G$2:$G$30</c:f>
              <c:numCache/>
            </c:numRef>
          </c:val>
          <c:smooth val="0"/>
        </c:ser>
        <c:ser>
          <c:idx val="6"/>
          <c:order val="6"/>
          <c:tx>
            <c:strRef>
              <c:f>'Ens_1qa작업2'!$H$1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'Ens_1qa작업2'!$A$2:$A$30</c:f>
            </c:strRef>
          </c:cat>
          <c:val>
            <c:numRef>
              <c:f>'Ens_1qa작업2'!$H$2:$H$30</c:f>
              <c:numCache/>
            </c:numRef>
          </c:val>
          <c:smooth val="0"/>
        </c:ser>
        <c:ser>
          <c:idx val="7"/>
          <c:order val="7"/>
          <c:tx>
            <c:strRef>
              <c:f>'Ens_1qa작업2'!$I$1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'Ens_1qa작업2'!$A$2:$A$30</c:f>
            </c:strRef>
          </c:cat>
          <c:val>
            <c:numRef>
              <c:f>'Ens_1qa작업2'!$I$2:$I$30</c:f>
              <c:numCache/>
            </c:numRef>
          </c:val>
          <c:smooth val="0"/>
        </c:ser>
        <c:ser>
          <c:idx val="8"/>
          <c:order val="8"/>
          <c:tx>
            <c:strRef>
              <c:f>'Ens_1qa작업2'!$J$1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'Ens_1qa작업2'!$A$2:$A$30</c:f>
            </c:strRef>
          </c:cat>
          <c:val>
            <c:numRef>
              <c:f>'Ens_1qa작업2'!$J$2:$J$30</c:f>
              <c:numCache/>
            </c:numRef>
          </c:val>
          <c:smooth val="0"/>
        </c:ser>
        <c:ser>
          <c:idx val="9"/>
          <c:order val="9"/>
          <c:tx>
            <c:strRef>
              <c:f>'Ens_1qa작업2'!$K$1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'Ens_1qa작업2'!$A$2:$A$30</c:f>
            </c:strRef>
          </c:cat>
          <c:val>
            <c:numRef>
              <c:f>'Ens_1qa작업2'!$K$2:$K$30</c:f>
              <c:numCache/>
            </c:numRef>
          </c:val>
          <c:smooth val="0"/>
        </c:ser>
        <c:ser>
          <c:idx val="10"/>
          <c:order val="10"/>
          <c:tx>
            <c:strRef>
              <c:f>'Ens_1qa작업2'!$L$1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dPt>
            <c:idx val="17"/>
            <c:marker>
              <c:symbol val="none"/>
            </c:marker>
          </c:dPt>
          <c:cat>
            <c:strRef>
              <c:f>'Ens_1qa작업2'!$A$2:$A$30</c:f>
            </c:strRef>
          </c:cat>
          <c:val>
            <c:numRef>
              <c:f>'Ens_1qa작업2'!$L$2:$L$30</c:f>
              <c:numCache/>
            </c:numRef>
          </c:val>
          <c:smooth val="0"/>
        </c:ser>
        <c:ser>
          <c:idx val="11"/>
          <c:order val="11"/>
          <c:tx>
            <c:strRef>
              <c:f>'Ens_1qa작업2'!$M$1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'Ens_1qa작업2'!$A$2:$A$30</c:f>
            </c:strRef>
          </c:cat>
          <c:val>
            <c:numRef>
              <c:f>'Ens_1qa작업2'!$M$2:$M$30</c:f>
              <c:numCache/>
            </c:numRef>
          </c:val>
          <c:smooth val="0"/>
        </c:ser>
        <c:axId val="457937192"/>
        <c:axId val="295123002"/>
      </c:lineChart>
      <c:catAx>
        <c:axId val="457937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5123002"/>
      </c:catAx>
      <c:valAx>
        <c:axId val="295123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79371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'Ens_1qa작업3'!$B$1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'Ens_1qa작업3'!$A$2:$A$30</c:f>
            </c:strRef>
          </c:cat>
          <c:val>
            <c:numRef>
              <c:f>'Ens_1qa작업3'!$B$2:$B$30</c:f>
              <c:numCache/>
            </c:numRef>
          </c:val>
          <c:smooth val="0"/>
        </c:ser>
        <c:ser>
          <c:idx val="1"/>
          <c:order val="1"/>
          <c:tx>
            <c:strRef>
              <c:f>'Ens_1qa작업3'!$C$1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'Ens_1qa작업3'!$A$2:$A$30</c:f>
            </c:strRef>
          </c:cat>
          <c:val>
            <c:numRef>
              <c:f>'Ens_1qa작업3'!$C$2:$C$30</c:f>
              <c:numCache/>
            </c:numRef>
          </c:val>
          <c:smooth val="0"/>
        </c:ser>
        <c:ser>
          <c:idx val="2"/>
          <c:order val="2"/>
          <c:tx>
            <c:strRef>
              <c:f>'Ens_1qa작업3'!$D$1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'Ens_1qa작업3'!$A$2:$A$30</c:f>
            </c:strRef>
          </c:cat>
          <c:val>
            <c:numRef>
              <c:f>'Ens_1qa작업3'!$D$2:$D$30</c:f>
              <c:numCache/>
            </c:numRef>
          </c:val>
          <c:smooth val="0"/>
        </c:ser>
        <c:ser>
          <c:idx val="3"/>
          <c:order val="3"/>
          <c:tx>
            <c:strRef>
              <c:f>'Ens_1qa작업3'!$E$1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'Ens_1qa작업3'!$A$2:$A$30</c:f>
            </c:strRef>
          </c:cat>
          <c:val>
            <c:numRef>
              <c:f>'Ens_1qa작업3'!$E$2:$E$30</c:f>
              <c:numCache/>
            </c:numRef>
          </c:val>
          <c:smooth val="0"/>
        </c:ser>
        <c:ser>
          <c:idx val="4"/>
          <c:order val="4"/>
          <c:tx>
            <c:strRef>
              <c:f>'Ens_1qa작업3'!$F$1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'Ens_1qa작업3'!$A$2:$A$30</c:f>
            </c:strRef>
          </c:cat>
          <c:val>
            <c:numRef>
              <c:f>'Ens_1qa작업3'!$F$2:$F$30</c:f>
              <c:numCache/>
            </c:numRef>
          </c:val>
          <c:smooth val="0"/>
        </c:ser>
        <c:ser>
          <c:idx val="5"/>
          <c:order val="5"/>
          <c:tx>
            <c:strRef>
              <c:f>'Ens_1qa작업3'!$G$1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'Ens_1qa작업3'!$A$2:$A$30</c:f>
            </c:strRef>
          </c:cat>
          <c:val>
            <c:numRef>
              <c:f>'Ens_1qa작업3'!$G$2:$G$30</c:f>
              <c:numCache/>
            </c:numRef>
          </c:val>
          <c:smooth val="0"/>
        </c:ser>
        <c:ser>
          <c:idx val="6"/>
          <c:order val="6"/>
          <c:tx>
            <c:strRef>
              <c:f>'Ens_1qa작업3'!$H$1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'Ens_1qa작업3'!$A$2:$A$30</c:f>
            </c:strRef>
          </c:cat>
          <c:val>
            <c:numRef>
              <c:f>'Ens_1qa작업3'!$H$2:$H$30</c:f>
              <c:numCache/>
            </c:numRef>
          </c:val>
          <c:smooth val="0"/>
        </c:ser>
        <c:ser>
          <c:idx val="7"/>
          <c:order val="7"/>
          <c:tx>
            <c:strRef>
              <c:f>'Ens_1qa작업3'!$I$1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'Ens_1qa작업3'!$A$2:$A$30</c:f>
            </c:strRef>
          </c:cat>
          <c:val>
            <c:numRef>
              <c:f>'Ens_1qa작업3'!$I$2:$I$30</c:f>
              <c:numCache/>
            </c:numRef>
          </c:val>
          <c:smooth val="0"/>
        </c:ser>
        <c:ser>
          <c:idx val="8"/>
          <c:order val="8"/>
          <c:tx>
            <c:strRef>
              <c:f>'Ens_1qa작업3'!$J$1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'Ens_1qa작업3'!$A$2:$A$30</c:f>
            </c:strRef>
          </c:cat>
          <c:val>
            <c:numRef>
              <c:f>'Ens_1qa작업3'!$J$2:$J$30</c:f>
              <c:numCache/>
            </c:numRef>
          </c:val>
          <c:smooth val="0"/>
        </c:ser>
        <c:ser>
          <c:idx val="9"/>
          <c:order val="9"/>
          <c:tx>
            <c:strRef>
              <c:f>'Ens_1qa작업3'!$K$1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'Ens_1qa작업3'!$A$2:$A$30</c:f>
            </c:strRef>
          </c:cat>
          <c:val>
            <c:numRef>
              <c:f>'Ens_1qa작업3'!$K$2:$K$30</c:f>
              <c:numCache/>
            </c:numRef>
          </c:val>
          <c:smooth val="0"/>
        </c:ser>
        <c:ser>
          <c:idx val="10"/>
          <c:order val="10"/>
          <c:tx>
            <c:strRef>
              <c:f>'Ens_1qa작업3'!$L$1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dPt>
            <c:idx val="17"/>
            <c:marker>
              <c:symbol val="none"/>
            </c:marker>
          </c:dPt>
          <c:cat>
            <c:strRef>
              <c:f>'Ens_1qa작업3'!$A$2:$A$30</c:f>
            </c:strRef>
          </c:cat>
          <c:val>
            <c:numRef>
              <c:f>'Ens_1qa작업3'!$L$2:$L$30</c:f>
              <c:numCache/>
            </c:numRef>
          </c:val>
          <c:smooth val="0"/>
        </c:ser>
        <c:ser>
          <c:idx val="11"/>
          <c:order val="11"/>
          <c:tx>
            <c:strRef>
              <c:f>'Ens_1qa작업3'!$M$1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'Ens_1qa작업3'!$A$2:$A$30</c:f>
            </c:strRef>
          </c:cat>
          <c:val>
            <c:numRef>
              <c:f>'Ens_1qa작업3'!$M$2:$M$30</c:f>
              <c:numCache/>
            </c:numRef>
          </c:val>
          <c:smooth val="0"/>
        </c:ser>
        <c:axId val="549125285"/>
        <c:axId val="1654786021"/>
      </c:lineChart>
      <c:catAx>
        <c:axId val="549125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4786021"/>
      </c:catAx>
      <c:valAx>
        <c:axId val="16547860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91252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err_GDP_now!$B$1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err_GDP_now!$A$2:$A$29</c:f>
            </c:strRef>
          </c:cat>
          <c:val>
            <c:numRef>
              <c:f>err_GDP_now!$B$2:$B$29</c:f>
              <c:numCache/>
            </c:numRef>
          </c:val>
          <c:smooth val="0"/>
        </c:ser>
        <c:ser>
          <c:idx val="1"/>
          <c:order val="1"/>
          <c:tx>
            <c:strRef>
              <c:f>err_GDP_now!$C$1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err_GDP_now!$A$2:$A$29</c:f>
            </c:strRef>
          </c:cat>
          <c:val>
            <c:numRef>
              <c:f>err_GDP_now!$C$2:$C$29</c:f>
              <c:numCache/>
            </c:numRef>
          </c:val>
          <c:smooth val="0"/>
        </c:ser>
        <c:ser>
          <c:idx val="2"/>
          <c:order val="2"/>
          <c:tx>
            <c:strRef>
              <c:f>err_GDP_now!$D$1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err_GDP_now!$A$2:$A$29</c:f>
            </c:strRef>
          </c:cat>
          <c:val>
            <c:numRef>
              <c:f>err_GDP_now!$D$2:$D$29</c:f>
              <c:numCache/>
            </c:numRef>
          </c:val>
          <c:smooth val="0"/>
        </c:ser>
        <c:ser>
          <c:idx val="3"/>
          <c:order val="3"/>
          <c:tx>
            <c:strRef>
              <c:f>err_GDP_now!$E$1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err_GDP_now!$A$2:$A$29</c:f>
            </c:strRef>
          </c:cat>
          <c:val>
            <c:numRef>
              <c:f>err_GDP_now!$E$2:$E$29</c:f>
              <c:numCache/>
            </c:numRef>
          </c:val>
          <c:smooth val="0"/>
        </c:ser>
        <c:ser>
          <c:idx val="4"/>
          <c:order val="4"/>
          <c:tx>
            <c:strRef>
              <c:f>err_GDP_now!$F$1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err_GDP_now!$A$2:$A$29</c:f>
            </c:strRef>
          </c:cat>
          <c:val>
            <c:numRef>
              <c:f>err_GDP_now!$F$2:$F$29</c:f>
              <c:numCache/>
            </c:numRef>
          </c:val>
          <c:smooth val="0"/>
        </c:ser>
        <c:ser>
          <c:idx val="5"/>
          <c:order val="5"/>
          <c:tx>
            <c:strRef>
              <c:f>err_GDP_now!$G$1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err_GDP_now!$A$2:$A$29</c:f>
            </c:strRef>
          </c:cat>
          <c:val>
            <c:numRef>
              <c:f>err_GDP_now!$G$2:$G$29</c:f>
              <c:numCache/>
            </c:numRef>
          </c:val>
          <c:smooth val="0"/>
        </c:ser>
        <c:ser>
          <c:idx val="6"/>
          <c:order val="6"/>
          <c:tx>
            <c:strRef>
              <c:f>err_GDP_now!$H$1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err_GDP_now!$A$2:$A$29</c:f>
            </c:strRef>
          </c:cat>
          <c:val>
            <c:numRef>
              <c:f>err_GDP_now!$H$2:$H$29</c:f>
              <c:numCache/>
            </c:numRef>
          </c:val>
          <c:smooth val="0"/>
        </c:ser>
        <c:ser>
          <c:idx val="7"/>
          <c:order val="7"/>
          <c:tx>
            <c:strRef>
              <c:f>err_GDP_now!$I$1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err_GDP_now!$A$2:$A$29</c:f>
            </c:strRef>
          </c:cat>
          <c:val>
            <c:numRef>
              <c:f>err_GDP_now!$I$2:$I$29</c:f>
              <c:numCache/>
            </c:numRef>
          </c:val>
          <c:smooth val="0"/>
        </c:ser>
        <c:ser>
          <c:idx val="8"/>
          <c:order val="8"/>
          <c:tx>
            <c:strRef>
              <c:f>err_GDP_now!$J$1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err_GDP_now!$A$2:$A$29</c:f>
            </c:strRef>
          </c:cat>
          <c:val>
            <c:numRef>
              <c:f>err_GDP_now!$J$2:$J$29</c:f>
              <c:numCache/>
            </c:numRef>
          </c:val>
          <c:smooth val="0"/>
        </c:ser>
        <c:ser>
          <c:idx val="9"/>
          <c:order val="9"/>
          <c:tx>
            <c:strRef>
              <c:f>err_GDP_now!$K$1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err_GDP_now!$A$2:$A$29</c:f>
            </c:strRef>
          </c:cat>
          <c:val>
            <c:numRef>
              <c:f>err_GDP_now!$K$2:$K$29</c:f>
              <c:numCache/>
            </c:numRef>
          </c:val>
          <c:smooth val="0"/>
        </c:ser>
        <c:ser>
          <c:idx val="10"/>
          <c:order val="10"/>
          <c:tx>
            <c:strRef>
              <c:f>err_GDP_now!$L$1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err_GDP_now!$A$2:$A$29</c:f>
            </c:strRef>
          </c:cat>
          <c:val>
            <c:numRef>
              <c:f>err_GDP_now!$L$2:$L$29</c:f>
              <c:numCache/>
            </c:numRef>
          </c:val>
          <c:smooth val="0"/>
        </c:ser>
        <c:ser>
          <c:idx val="11"/>
          <c:order val="11"/>
          <c:tx>
            <c:strRef>
              <c:f>err_GDP_now!$M$1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err_GDP_now!$A$2:$A$29</c:f>
            </c:strRef>
          </c:cat>
          <c:val>
            <c:numRef>
              <c:f>err_GDP_now!$M$2:$M$29</c:f>
              <c:numCache/>
            </c:numRef>
          </c:val>
          <c:smooth val="0"/>
        </c:ser>
        <c:ser>
          <c:idx val="12"/>
          <c:order val="12"/>
          <c:tx>
            <c:strRef>
              <c:f>err_GDP_now!$N$1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err_GDP_now!$A$2:$A$29</c:f>
            </c:strRef>
          </c:cat>
          <c:val>
            <c:numRef>
              <c:f>err_GDP_now!$N$2:$N$29</c:f>
              <c:numCache/>
            </c:numRef>
          </c:val>
          <c:smooth val="0"/>
        </c:ser>
        <c:ser>
          <c:idx val="13"/>
          <c:order val="13"/>
          <c:tx>
            <c:strRef>
              <c:f>err_GDP_now!$O$1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err_GDP_now!$A$2:$A$29</c:f>
            </c:strRef>
          </c:cat>
          <c:val>
            <c:numRef>
              <c:f>err_GDP_now!$O$2:$O$29</c:f>
              <c:numCache/>
            </c:numRef>
          </c:val>
          <c:smooth val="0"/>
        </c:ser>
        <c:ser>
          <c:idx val="14"/>
          <c:order val="14"/>
          <c:tx>
            <c:strRef>
              <c:f>err_GDP_now!$P$1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err_GDP_now!$A$2:$A$29</c:f>
            </c:strRef>
          </c:cat>
          <c:val>
            <c:numRef>
              <c:f>err_GDP_now!$P$2:$P$29</c:f>
              <c:numCache/>
            </c:numRef>
          </c:val>
          <c:smooth val="0"/>
        </c:ser>
        <c:axId val="1863642676"/>
        <c:axId val="649684491"/>
      </c:lineChart>
      <c:catAx>
        <c:axId val="1863642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9684491"/>
      </c:catAx>
      <c:valAx>
        <c:axId val="649684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6426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8.png"/><Relationship Id="rId2" Type="http://schemas.openxmlformats.org/officeDocument/2006/relationships/image" Target="../media/Chart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Chart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2</xdr:row>
      <xdr:rowOff>76200</xdr:rowOff>
    </xdr:from>
    <xdr:ext cx="3533775" cy="15049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457200</xdr:colOff>
      <xdr:row>34</xdr:row>
      <xdr:rowOff>142875</xdr:rowOff>
    </xdr:from>
    <xdr:ext cx="5715000" cy="353377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47625</xdr:colOff>
      <xdr:row>34</xdr:row>
      <xdr:rowOff>142875</xdr:rowOff>
    </xdr:from>
    <xdr:ext cx="5715000" cy="3533775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600075</xdr:colOff>
      <xdr:row>38</xdr:row>
      <xdr:rowOff>85725</xdr:rowOff>
    </xdr:from>
    <xdr:ext cx="5715000" cy="3533775"/>
    <xdr:pic>
      <xdr:nvPicPr>
        <xdr:cNvPr id="16211538" name="Chart3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666750</xdr:colOff>
      <xdr:row>6</xdr:row>
      <xdr:rowOff>28575</xdr:rowOff>
    </xdr:from>
    <xdr:ext cx="5715000" cy="3533775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36</xdr:row>
      <xdr:rowOff>95250</xdr:rowOff>
    </xdr:from>
    <xdr:ext cx="5715000" cy="3533775"/>
    <xdr:graphicFrame>
      <xdr:nvGraphicFramePr>
        <xdr:cNvPr id="5" name="Chart 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36</xdr:row>
      <xdr:rowOff>95250</xdr:rowOff>
    </xdr:from>
    <xdr:ext cx="5715000" cy="3533775"/>
    <xdr:graphicFrame>
      <xdr:nvGraphicFramePr>
        <xdr:cNvPr id="6" name="Chart 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36</xdr:row>
      <xdr:rowOff>95250</xdr:rowOff>
    </xdr:from>
    <xdr:ext cx="5715000" cy="3533775"/>
    <xdr:graphicFrame>
      <xdr:nvGraphicFramePr>
        <xdr:cNvPr id="7" name="Chart 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581025</xdr:colOff>
      <xdr:row>31</xdr:row>
      <xdr:rowOff>180975</xdr:rowOff>
    </xdr:from>
    <xdr:ext cx="5715000" cy="3533775"/>
    <xdr:pic>
      <xdr:nvPicPr>
        <xdr:cNvPr id="1008075604" name="Chart8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32</xdr:row>
      <xdr:rowOff>180975</xdr:rowOff>
    </xdr:from>
    <xdr:ext cx="5715000" cy="3533775"/>
    <xdr:pic>
      <xdr:nvPicPr>
        <xdr:cNvPr id="486975649" name="Chart9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666750</xdr:colOff>
      <xdr:row>6</xdr:row>
      <xdr:rowOff>28575</xdr:rowOff>
    </xdr:from>
    <xdr:ext cx="5715000" cy="3533775"/>
    <xdr:graphicFrame>
      <xdr:nvGraphicFramePr>
        <xdr:cNvPr id="10" name="Chart 10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36</xdr:row>
      <xdr:rowOff>95250</xdr:rowOff>
    </xdr:from>
    <xdr:ext cx="5715000" cy="3533775"/>
    <xdr:graphicFrame>
      <xdr:nvGraphicFramePr>
        <xdr:cNvPr id="11" name="Chart 1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36</xdr:row>
      <xdr:rowOff>95250</xdr:rowOff>
    </xdr:from>
    <xdr:ext cx="5715000" cy="3533775"/>
    <xdr:graphicFrame>
      <xdr:nvGraphicFramePr>
        <xdr:cNvPr id="12" name="Chart 1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36</xdr:row>
      <xdr:rowOff>95250</xdr:rowOff>
    </xdr:from>
    <xdr:ext cx="5715000" cy="3533775"/>
    <xdr:graphicFrame>
      <xdr:nvGraphicFramePr>
        <xdr:cNvPr id="13" name="Chart 1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400050</xdr:colOff>
      <xdr:row>6</xdr:row>
      <xdr:rowOff>0</xdr:rowOff>
    </xdr:from>
    <xdr:ext cx="5715000" cy="3533775"/>
    <xdr:pic>
      <xdr:nvPicPr>
        <xdr:cNvPr id="739488653" name="Chart14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352425</xdr:colOff>
      <xdr:row>10</xdr:row>
      <xdr:rowOff>19050</xdr:rowOff>
    </xdr:from>
    <xdr:ext cx="5715000" cy="3533775"/>
    <xdr:graphicFrame>
      <xdr:nvGraphicFramePr>
        <xdr:cNvPr id="15" name="Chart 1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476250</xdr:colOff>
      <xdr:row>32</xdr:row>
      <xdr:rowOff>114300</xdr:rowOff>
    </xdr:from>
    <xdr:ext cx="5715000" cy="3533775"/>
    <xdr:pic>
      <xdr:nvPicPr>
        <xdr:cNvPr id="1308355419" name="Chart16" title="차트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verleaf.com/8812339134tbdyxcynsqch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orges-bank.brage.unit.no/norges-bank-xmlui/handle/11250/2507327" TargetMode="External"/><Relationship Id="rId2" Type="http://schemas.openxmlformats.org/officeDocument/2006/relationships/hyperlink" Target="https://onlinelibrary.wiley.com/doi/10.1002/for.2585" TargetMode="External"/><Relationship Id="rId3" Type="http://schemas.openxmlformats.org/officeDocument/2006/relationships/hyperlink" Target="https://rss.onlinelibrary.wiley.com/doi/10.1111/rssa.12645" TargetMode="External"/><Relationship Id="rId4" Type="http://schemas.openxmlformats.org/officeDocument/2006/relationships/hyperlink" Target="https://onlinelibrary.wiley.com/doi/10.1002/for.2901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</cols>
  <sheetData>
    <row r="1">
      <c r="A1" s="1"/>
    </row>
    <row r="2">
      <c r="A2" s="2" t="s">
        <v>0</v>
      </c>
    </row>
    <row r="3">
      <c r="B3" s="2" t="s">
        <v>1</v>
      </c>
      <c r="C3" s="2" t="s">
        <v>2</v>
      </c>
    </row>
    <row r="4">
      <c r="B4" s="2" t="s">
        <v>3</v>
      </c>
      <c r="C4" s="2" t="s">
        <v>4</v>
      </c>
    </row>
    <row r="5">
      <c r="B5" s="2" t="s">
        <v>5</v>
      </c>
      <c r="C5" s="2" t="s">
        <v>6</v>
      </c>
    </row>
    <row r="6">
      <c r="C6" s="2" t="s">
        <v>7</v>
      </c>
    </row>
    <row r="7">
      <c r="A7" s="2" t="s">
        <v>8</v>
      </c>
    </row>
    <row r="8">
      <c r="A8" s="2"/>
      <c r="B8" s="2" t="s">
        <v>9</v>
      </c>
    </row>
    <row r="9">
      <c r="A9" s="2"/>
    </row>
    <row r="10">
      <c r="A10" s="2"/>
    </row>
    <row r="11">
      <c r="A11" s="2" t="s">
        <v>10</v>
      </c>
    </row>
    <row r="12">
      <c r="B12" s="2" t="s">
        <v>11</v>
      </c>
    </row>
    <row r="13">
      <c r="B13" s="2" t="s">
        <v>12</v>
      </c>
    </row>
    <row r="14">
      <c r="B14" s="2" t="s">
        <v>13</v>
      </c>
    </row>
    <row r="15">
      <c r="B15" s="2" t="s">
        <v>14</v>
      </c>
    </row>
    <row r="17">
      <c r="A17" s="2" t="s">
        <v>15</v>
      </c>
    </row>
    <row r="18">
      <c r="B18" s="2" t="s">
        <v>16</v>
      </c>
      <c r="C18" s="2" t="s">
        <v>17</v>
      </c>
      <c r="D18" s="2" t="s">
        <v>18</v>
      </c>
    </row>
    <row r="19">
      <c r="B19" s="2" t="s">
        <v>19</v>
      </c>
    </row>
    <row r="21">
      <c r="A21" s="2" t="s">
        <v>20</v>
      </c>
    </row>
    <row r="22">
      <c r="B22" s="2" t="s">
        <v>21</v>
      </c>
    </row>
    <row r="23">
      <c r="B23" s="2" t="s">
        <v>22</v>
      </c>
    </row>
    <row r="24">
      <c r="B24" s="2" t="s">
        <v>23</v>
      </c>
    </row>
    <row r="26">
      <c r="A26" s="2" t="s">
        <v>24</v>
      </c>
    </row>
    <row r="27">
      <c r="B27" s="2" t="s">
        <v>25</v>
      </c>
      <c r="C27" s="3" t="s">
        <v>26</v>
      </c>
    </row>
  </sheetData>
  <hyperlinks>
    <hyperlink r:id="rId1" ref="C2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3" width="57.0"/>
    <col customWidth="1" min="4" max="5" width="14.75"/>
  </cols>
  <sheetData>
    <row r="1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</row>
    <row r="2">
      <c r="A2" s="2" t="s">
        <v>33</v>
      </c>
      <c r="B2" s="5" t="s">
        <v>34</v>
      </c>
      <c r="C2" s="3" t="s">
        <v>35</v>
      </c>
      <c r="D2" s="2">
        <v>2011.0</v>
      </c>
      <c r="E2" s="2" t="s">
        <v>36</v>
      </c>
      <c r="F2" s="2" t="s">
        <v>37</v>
      </c>
    </row>
    <row r="3">
      <c r="A3" s="2" t="s">
        <v>38</v>
      </c>
      <c r="B3" s="5" t="s">
        <v>39</v>
      </c>
      <c r="C3" s="3" t="s">
        <v>40</v>
      </c>
      <c r="D3" s="2">
        <v>2022.0</v>
      </c>
      <c r="E3" s="2" t="s">
        <v>41</v>
      </c>
    </row>
    <row r="4">
      <c r="A4" s="2" t="s">
        <v>38</v>
      </c>
      <c r="B4" s="2" t="s">
        <v>42</v>
      </c>
      <c r="C4" s="3" t="s">
        <v>43</v>
      </c>
      <c r="D4" s="2">
        <v>2021.0</v>
      </c>
      <c r="E4" s="2" t="s">
        <v>44</v>
      </c>
    </row>
    <row r="5">
      <c r="B5" s="2" t="s">
        <v>45</v>
      </c>
      <c r="C5" s="6" t="s">
        <v>46</v>
      </c>
      <c r="D5" s="2">
        <v>2022.0</v>
      </c>
      <c r="E5" s="2" t="s">
        <v>41</v>
      </c>
    </row>
  </sheetData>
  <hyperlinks>
    <hyperlink r:id="rId1" ref="C2"/>
    <hyperlink r:id="rId2" ref="C3"/>
    <hyperlink r:id="rId3" ref="C4"/>
    <hyperlink r:id="rId4" ref="C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25"/>
    <col customWidth="1" min="3" max="3" width="42.13"/>
    <col customWidth="1" min="4" max="4" width="41.88"/>
    <col customWidth="1" min="5" max="5" width="37.5"/>
    <col customWidth="1" min="6" max="6" width="29.63"/>
    <col customWidth="1" min="7" max="7" width="28.75"/>
    <col customWidth="1" min="8" max="8" width="33.25"/>
  </cols>
  <sheetData>
    <row r="1"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J1" s="2" t="s">
        <v>54</v>
      </c>
      <c r="K1" s="2" t="s">
        <v>55</v>
      </c>
      <c r="U1" s="2" t="s">
        <v>56</v>
      </c>
    </row>
    <row r="2">
      <c r="A2" s="2" t="s">
        <v>57</v>
      </c>
      <c r="B2" s="7">
        <v>35.0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59</v>
      </c>
      <c r="H2" s="2" t="s">
        <v>62</v>
      </c>
      <c r="J2" s="2">
        <v>5.0</v>
      </c>
      <c r="K2" s="2">
        <v>30.0</v>
      </c>
      <c r="U2" s="2" t="s">
        <v>63</v>
      </c>
      <c r="V2" s="2" t="s">
        <v>64</v>
      </c>
      <c r="W2" s="2" t="s">
        <v>65</v>
      </c>
      <c r="X2" s="2" t="s">
        <v>66</v>
      </c>
      <c r="Y2" s="2" t="s">
        <v>67</v>
      </c>
      <c r="Z2" s="2" t="s">
        <v>68</v>
      </c>
      <c r="AA2" s="2" t="s">
        <v>69</v>
      </c>
    </row>
    <row r="3">
      <c r="A3" s="2" t="s">
        <v>70</v>
      </c>
      <c r="B3" s="7">
        <v>4.0</v>
      </c>
      <c r="C3" s="2" t="s">
        <v>71</v>
      </c>
      <c r="D3" s="2" t="s">
        <v>59</v>
      </c>
      <c r="E3" s="2" t="s">
        <v>72</v>
      </c>
      <c r="F3" s="2" t="s">
        <v>59</v>
      </c>
      <c r="G3" s="2" t="s">
        <v>59</v>
      </c>
      <c r="H3" s="2" t="s">
        <v>73</v>
      </c>
      <c r="J3" s="2">
        <v>1.0</v>
      </c>
      <c r="K3" s="2">
        <v>3.0</v>
      </c>
    </row>
    <row r="4">
      <c r="A4" s="2" t="s">
        <v>74</v>
      </c>
      <c r="B4" s="7">
        <v>4.0</v>
      </c>
      <c r="C4" s="2" t="s">
        <v>71</v>
      </c>
      <c r="D4" s="2" t="s">
        <v>59</v>
      </c>
      <c r="E4" s="2" t="s">
        <v>72</v>
      </c>
      <c r="F4" s="2" t="s">
        <v>59</v>
      </c>
      <c r="G4" s="2" t="s">
        <v>59</v>
      </c>
      <c r="H4" s="2" t="s">
        <v>73</v>
      </c>
      <c r="J4" s="2">
        <v>1.0</v>
      </c>
      <c r="K4" s="2">
        <v>3.0</v>
      </c>
    </row>
    <row r="5">
      <c r="A5" s="2" t="s">
        <v>75</v>
      </c>
      <c r="B5" s="7">
        <v>4.0</v>
      </c>
      <c r="C5" s="2" t="s">
        <v>71</v>
      </c>
      <c r="D5" s="2" t="s">
        <v>59</v>
      </c>
      <c r="E5" s="2" t="s">
        <v>72</v>
      </c>
      <c r="F5" s="2" t="s">
        <v>59</v>
      </c>
      <c r="G5" s="2" t="s">
        <v>59</v>
      </c>
      <c r="H5" s="2" t="s">
        <v>73</v>
      </c>
      <c r="J5" s="2">
        <v>1.0</v>
      </c>
      <c r="K5" s="2">
        <v>3.0</v>
      </c>
    </row>
    <row r="6">
      <c r="A6" s="2" t="s">
        <v>76</v>
      </c>
      <c r="B6" s="7">
        <v>32.0</v>
      </c>
      <c r="C6" s="2" t="s">
        <v>77</v>
      </c>
      <c r="D6" s="2" t="s">
        <v>78</v>
      </c>
      <c r="E6" s="2" t="s">
        <v>79</v>
      </c>
      <c r="F6" s="2" t="s">
        <v>80</v>
      </c>
      <c r="G6" s="2" t="s">
        <v>81</v>
      </c>
      <c r="H6" s="2" t="s">
        <v>59</v>
      </c>
      <c r="J6" s="2">
        <v>9.0</v>
      </c>
      <c r="K6" s="2">
        <v>23.0</v>
      </c>
    </row>
    <row r="7">
      <c r="A7" s="2" t="s">
        <v>56</v>
      </c>
      <c r="B7" s="7">
        <v>84.0</v>
      </c>
      <c r="C7" s="2" t="s">
        <v>82</v>
      </c>
      <c r="D7" s="2" t="s">
        <v>59</v>
      </c>
      <c r="E7" s="2" t="s">
        <v>83</v>
      </c>
      <c r="F7" s="2" t="s">
        <v>84</v>
      </c>
      <c r="G7" s="2" t="s">
        <v>85</v>
      </c>
      <c r="H7" s="2" t="s">
        <v>86</v>
      </c>
    </row>
    <row r="8">
      <c r="A8" s="2" t="s">
        <v>87</v>
      </c>
      <c r="B8" s="7">
        <v>31.0</v>
      </c>
      <c r="C8" s="2" t="s">
        <v>88</v>
      </c>
      <c r="D8" s="2" t="s">
        <v>59</v>
      </c>
      <c r="E8" s="2" t="s">
        <v>59</v>
      </c>
      <c r="F8" s="2" t="s">
        <v>59</v>
      </c>
      <c r="G8" s="2" t="s">
        <v>59</v>
      </c>
      <c r="H8" s="2" t="s">
        <v>89</v>
      </c>
      <c r="J8" s="2">
        <v>14.0</v>
      </c>
      <c r="K8" s="2">
        <v>17.0</v>
      </c>
    </row>
    <row r="9">
      <c r="A9" s="2" t="s">
        <v>90</v>
      </c>
      <c r="B9" s="7">
        <v>9.0</v>
      </c>
      <c r="C9" s="2" t="s">
        <v>59</v>
      </c>
      <c r="D9" s="2" t="s">
        <v>59</v>
      </c>
      <c r="E9" s="2" t="s">
        <v>91</v>
      </c>
      <c r="F9" s="2" t="s">
        <v>59</v>
      </c>
      <c r="G9" s="2" t="s">
        <v>92</v>
      </c>
      <c r="H9" s="2" t="s">
        <v>59</v>
      </c>
      <c r="J9" s="2"/>
      <c r="K9" s="2"/>
    </row>
    <row r="10">
      <c r="A10" s="2" t="s">
        <v>93</v>
      </c>
      <c r="B10" s="7">
        <v>13.0</v>
      </c>
      <c r="C10" s="2" t="s">
        <v>59</v>
      </c>
      <c r="D10" s="2" t="s">
        <v>59</v>
      </c>
      <c r="E10" s="2" t="s">
        <v>59</v>
      </c>
      <c r="F10" s="2" t="s">
        <v>59</v>
      </c>
      <c r="G10" s="2" t="s">
        <v>59</v>
      </c>
      <c r="H10" s="2" t="s">
        <v>94</v>
      </c>
    </row>
    <row r="11">
      <c r="A11" s="2" t="s">
        <v>7</v>
      </c>
      <c r="B11" s="7">
        <v>144.0</v>
      </c>
      <c r="C11" s="2" t="s">
        <v>59</v>
      </c>
      <c r="D11" s="2" t="s">
        <v>95</v>
      </c>
      <c r="E11" s="2" t="s">
        <v>96</v>
      </c>
      <c r="F11" s="2" t="s">
        <v>97</v>
      </c>
      <c r="G11" s="2" t="s">
        <v>98</v>
      </c>
      <c r="H11" s="2" t="s">
        <v>99</v>
      </c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100</v>
      </c>
    </row>
    <row r="12">
      <c r="A12" s="2" t="s">
        <v>101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10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112</v>
      </c>
      <c r="N1" s="2" t="s">
        <v>113</v>
      </c>
      <c r="O1" s="2" t="s">
        <v>114</v>
      </c>
      <c r="P1" s="2" t="s">
        <v>115</v>
      </c>
      <c r="Q1" s="2" t="s">
        <v>116</v>
      </c>
      <c r="R1" s="2" t="s">
        <v>117</v>
      </c>
    </row>
    <row r="2">
      <c r="A2" s="11">
        <v>201603.0</v>
      </c>
      <c r="B2" s="10">
        <v>0.3</v>
      </c>
      <c r="C2" s="12">
        <f>min(pred_GDP_now!$C2:$Z2)</f>
        <v>-0.28277946</v>
      </c>
      <c r="D2" s="12">
        <f>MAX(pred_GDP_now!$C2:$Z2)</f>
        <v>0.8197947938</v>
      </c>
      <c r="E2" s="12">
        <f>AVERAGE(pred_GDP_now!$C2:$Z2)</f>
        <v>0.3554090288</v>
      </c>
      <c r="F2" s="12">
        <f>MEDIAN(pred_GDP_now!$C2:$Z2)</f>
        <v>0.3269034974</v>
      </c>
      <c r="G2" s="12"/>
      <c r="I2" s="12"/>
      <c r="J2" s="12"/>
      <c r="M2" s="12"/>
      <c r="N2" s="12">
        <f>percentile(pred_GDP_now!$C2:$Z2,0.1)</f>
        <v>0.0562622</v>
      </c>
      <c r="O2" s="12">
        <f>percentile(pred_GDP_now!$C2:$Z2,0.25)</f>
        <v>0.122358379</v>
      </c>
      <c r="P2" s="12">
        <f>percentile(pred_GDP_now!$C2:$Z2,0.5)</f>
        <v>0.3269034974</v>
      </c>
      <c r="Q2" s="12">
        <f>percentile(pred_GDP_now!$C2:$Z2,0.75)</f>
        <v>0.5627424188</v>
      </c>
      <c r="R2" s="12">
        <f>percentile(pred_GDP_now!$C2:$Z2,0.9)</f>
        <v>0.7828439</v>
      </c>
      <c r="S2" s="13">
        <f t="shared" ref="S2:S30" si="1">R2-N2</f>
        <v>0.7265817</v>
      </c>
      <c r="T2" s="13">
        <f t="shared" ref="T2:T30" si="2">Q2-O2</f>
        <v>0.4403840398</v>
      </c>
    </row>
    <row r="3">
      <c r="A3" s="11">
        <v>201606.0</v>
      </c>
      <c r="B3" s="10">
        <v>1.2</v>
      </c>
      <c r="C3" s="12">
        <f>min(pred_GDP_now!$C3:$Z3)</f>
        <v>0.351429</v>
      </c>
      <c r="D3" s="12">
        <f>MAX(pred_GDP_now!$C3:$Z3)</f>
        <v>1.754219055</v>
      </c>
      <c r="E3" s="12">
        <f>AVERAGE(pred_GDP_now!$C3:$Z3)</f>
        <v>0.9391990889</v>
      </c>
      <c r="F3" s="12">
        <f>MEDIAN(pred_GDP_now!$C3:$Z3)</f>
        <v>0.9008798241</v>
      </c>
      <c r="G3" s="14" t="str">
        <f t="array" ref="G3">index(pred_GDP_now!$C$1:$Z$1,1,match(MEDIAN(pred_GDP_now!$C2:$Z2),pred_GDP_now!$C2:$Z2))</f>
        <v>BEM3</v>
      </c>
      <c r="H3" s="12">
        <f t="array" ref="H3">index(pred_GDP_now!$C3:$Z3,1,match(F2,pred_GDP_now!$C2:$Z2))</f>
        <v>0.891963</v>
      </c>
      <c r="I3" s="14"/>
      <c r="J3" s="12"/>
      <c r="M3" s="12"/>
      <c r="N3" s="12">
        <f>percentile(pred_GDP_now!$C3:$Z3,0.1)</f>
        <v>0.56936044</v>
      </c>
      <c r="O3" s="12">
        <f>percentile(pred_GDP_now!$C3:$Z3,0.25)</f>
        <v>0.7915521127</v>
      </c>
      <c r="P3" s="12">
        <f>percentile(pred_GDP_now!$C3:$Z3,0.5)</f>
        <v>0.9008798241</v>
      </c>
      <c r="Q3" s="12">
        <f>percentile(pred_GDP_now!$C3:$Z3,0.75)</f>
        <v>1.067323926</v>
      </c>
      <c r="R3" s="12">
        <f>percentile(pred_GDP_now!$C3:$Z3,0.9)</f>
        <v>1.2264864</v>
      </c>
      <c r="S3" s="13">
        <f t="shared" si="1"/>
        <v>0.65712596</v>
      </c>
      <c r="T3" s="13">
        <f t="shared" si="2"/>
        <v>0.2757718134</v>
      </c>
    </row>
    <row r="4">
      <c r="A4" s="11">
        <v>201609.0</v>
      </c>
      <c r="B4" s="10">
        <v>0.4</v>
      </c>
      <c r="C4" s="12">
        <f>min(pred_GDP_now!$C4:$Z4)</f>
        <v>0.442873</v>
      </c>
      <c r="D4" s="12">
        <f>MAX(pred_GDP_now!$C4:$Z4)</f>
        <v>0.9535111578</v>
      </c>
      <c r="E4" s="12">
        <f>AVERAGE(pred_GDP_now!$C4:$Z4)</f>
        <v>0.7132830156</v>
      </c>
      <c r="F4" s="12">
        <f>MEDIAN(pred_GDP_now!$C4:$Z4)</f>
        <v>0.69082605</v>
      </c>
      <c r="G4" s="14" t="str">
        <f t="array" ref="G4">index(pred_GDP_now!$C$1:$Z$1,1,match(MEDIAN(pred_GDP_now!$C3:$Z3),pred_GDP_now!$C3:$Z3))</f>
        <v>LBVAR</v>
      </c>
      <c r="H4" s="12">
        <f t="array" ref="H4">index(pred_GDP_now!$C4:$Z4,1,match(F3,pred_GDP_now!$C3:$Z3))</f>
        <v>0.936626</v>
      </c>
      <c r="I4" s="14"/>
      <c r="J4" s="12"/>
      <c r="M4" s="12"/>
      <c r="N4" s="12">
        <f>percentile(pred_GDP_now!$C4:$Z4,0.1)</f>
        <v>0.4828446489</v>
      </c>
      <c r="O4" s="12">
        <f>percentile(pred_GDP_now!$C4:$Z4,0.25)</f>
        <v>0.57108425</v>
      </c>
      <c r="P4" s="12">
        <f>percentile(pred_GDP_now!$C4:$Z4,0.5)</f>
        <v>0.69082605</v>
      </c>
      <c r="Q4" s="12">
        <f>percentile(pred_GDP_now!$C4:$Z4,0.75)</f>
        <v>0.9121305781</v>
      </c>
      <c r="R4" s="12">
        <f>percentile(pred_GDP_now!$C4:$Z4,0.9)</f>
        <v>0.9460599</v>
      </c>
      <c r="S4" s="13">
        <f t="shared" si="1"/>
        <v>0.4632152511</v>
      </c>
      <c r="T4" s="13">
        <f t="shared" si="2"/>
        <v>0.3410463281</v>
      </c>
    </row>
    <row r="5">
      <c r="A5" s="11">
        <v>201612.0</v>
      </c>
      <c r="B5" s="10">
        <v>0.6</v>
      </c>
      <c r="C5" s="12">
        <f>min(pred_GDP_now!$C5:$Z5)</f>
        <v>0.575754</v>
      </c>
      <c r="D5" s="12">
        <f>MAX(pred_GDP_now!$C5:$Z5)</f>
        <v>1.336816</v>
      </c>
      <c r="E5" s="12">
        <f>AVERAGE(pred_GDP_now!$C5:$Z5)</f>
        <v>0.923404178</v>
      </c>
      <c r="F5" s="12">
        <f>MEDIAN(pred_GDP_now!$C5:$Z5)</f>
        <v>0.9167330532</v>
      </c>
      <c r="G5" s="14" t="str">
        <f t="array" ref="G5">index(pred_GDP_now!$C$1:$Z$1,1,match(MEDIAN(pred_GDP_now!$C4:$Z4),pred_GDP_now!$C4:$Z4))</f>
        <v>BEM3</v>
      </c>
      <c r="H5" s="12">
        <f t="array" ref="H5">index(pred_GDP_now!$C5:$Z5,1,match(F4,pred_GDP_now!$C4:$Z4))</f>
        <v>0.712063</v>
      </c>
      <c r="I5" s="14"/>
      <c r="J5" s="12"/>
      <c r="M5" s="12"/>
      <c r="N5" s="12">
        <f>percentile(pred_GDP_now!$C5:$Z5,0.1)</f>
        <v>0.6579339</v>
      </c>
      <c r="O5" s="12">
        <f>percentile(pred_GDP_now!$C5:$Z5,0.25)</f>
        <v>0.7177089099</v>
      </c>
      <c r="P5" s="12">
        <f>percentile(pred_GDP_now!$C5:$Z5,0.5)</f>
        <v>0.9167330532</v>
      </c>
      <c r="Q5" s="12">
        <f>percentile(pred_GDP_now!$C5:$Z5,0.75)</f>
        <v>1.091472032</v>
      </c>
      <c r="R5" s="12">
        <f>percentile(pred_GDP_now!$C5:$Z5,0.9)</f>
        <v>1.238442763</v>
      </c>
      <c r="S5" s="13">
        <f t="shared" si="1"/>
        <v>0.5805088631</v>
      </c>
      <c r="T5" s="13">
        <f t="shared" si="2"/>
        <v>0.3737631221</v>
      </c>
    </row>
    <row r="6">
      <c r="A6" s="11">
        <v>201703.0</v>
      </c>
      <c r="B6" s="10">
        <v>1.0</v>
      </c>
      <c r="C6" s="12">
        <f>min(pred_GDP_now!$C6:$Z6)</f>
        <v>0.647591</v>
      </c>
      <c r="D6" s="12">
        <f>MAX(pred_GDP_now!$C6:$Z6)</f>
        <v>1.447208</v>
      </c>
      <c r="E6" s="12">
        <f>AVERAGE(pred_GDP_now!$C6:$Z6)</f>
        <v>1.055452283</v>
      </c>
      <c r="F6" s="12">
        <f>MEDIAN(pred_GDP_now!$C6:$Z6)</f>
        <v>1.075666118</v>
      </c>
      <c r="G6" s="14" t="str">
        <f t="array" ref="G6">index(pred_GDP_now!$C$1:$Z$1,1,match(MEDIAN(pred_GDP_now!$C5:$Z5),pred_GDP_now!$C5:$Z5))</f>
        <v>LBVAR</v>
      </c>
      <c r="H6" s="12">
        <f t="array" ref="H6">index(pred_GDP_now!$C6:$Z6,1,match(F5,pred_GDP_now!$C5:$Z5))</f>
        <v>0.647591</v>
      </c>
      <c r="I6" s="14"/>
      <c r="J6" s="12"/>
      <c r="M6" s="12"/>
      <c r="N6" s="12">
        <f>percentile(pred_GDP_now!$C6:$Z6,0.1)</f>
        <v>0.8407929101</v>
      </c>
      <c r="O6" s="12">
        <f>percentile(pred_GDP_now!$C6:$Z6,0.25)</f>
        <v>1.049543033</v>
      </c>
      <c r="P6" s="12">
        <f>percentile(pred_GDP_now!$C6:$Z6,0.5)</f>
        <v>1.075666118</v>
      </c>
      <c r="Q6" s="12">
        <f>percentile(pred_GDP_now!$C6:$Z6,0.75)</f>
        <v>1.111215368</v>
      </c>
      <c r="R6" s="12">
        <f>percentile(pred_GDP_now!$C6:$Z6,0.9)</f>
        <v>1.18542116</v>
      </c>
      <c r="S6" s="13">
        <f t="shared" si="1"/>
        <v>0.3446282499</v>
      </c>
      <c r="T6" s="13">
        <f t="shared" si="2"/>
        <v>0.06167233416</v>
      </c>
    </row>
    <row r="7">
      <c r="A7" s="11">
        <v>201706.0</v>
      </c>
      <c r="B7" s="10">
        <v>0.8</v>
      </c>
      <c r="C7" s="12">
        <f>min(pred_GDP_now!$C7:$Z7)</f>
        <v>0.5083607796</v>
      </c>
      <c r="D7" s="12">
        <f>MAX(pred_GDP_now!$C7:$Z7)</f>
        <v>1.284572</v>
      </c>
      <c r="E7" s="12">
        <f>AVERAGE(pred_GDP_now!$C7:$Z7)</f>
        <v>0.9393150114</v>
      </c>
      <c r="F7" s="12">
        <f>MEDIAN(pred_GDP_now!$C7:$Z7)</f>
        <v>0.9451454581</v>
      </c>
      <c r="G7" s="14" t="str">
        <f t="array" ref="G7">index(pred_GDP_now!$C$1:$Z$1,1,match(MEDIAN(pred_GDP_now!$C6:$Z6),pred_GDP_now!$C6:$Z6))</f>
        <v>T-M</v>
      </c>
      <c r="H7" s="12">
        <f t="array" ref="H7">index(pred_GDP_now!$C7:$Z7,1,match(F6,pred_GDP_now!$C6:$Z6))</f>
        <v>0.9448839162</v>
      </c>
      <c r="I7" s="14" t="str">
        <f t="array" ref="I7">index(pred_GDP_now!$C$1:$Z$1,1,match(min('Ens_now작업'!$C6:$Z6),'Ens_now작업'!$C6:$Z6,0))</f>
        <v>BEM1</v>
      </c>
      <c r="J7" s="12">
        <f t="array" ref="J7">index(pred_GDP_now!$C7:$Z7,1,match(min('Ens_now작업'!$C6:$Z6),'Ens_now작업'!$C6:$Z6,0))</f>
        <v>1.108525</v>
      </c>
      <c r="K7" s="12">
        <f>AVERAGE('Ens_now작업2'!$C7:$Z7)</f>
        <v>1.044986168</v>
      </c>
      <c r="L7" s="12">
        <f>AVERAGE('Ens_now작업3'!$C7:$Z7)</f>
        <v>1.083297</v>
      </c>
      <c r="M7" s="12"/>
      <c r="N7" s="12">
        <f>percentile(pred_GDP_now!$C7:$Z7,0.1)</f>
        <v>0.7185911</v>
      </c>
      <c r="O7" s="12">
        <f>percentile(pred_GDP_now!$C7:$Z7,0.25)</f>
        <v>0.7929987145</v>
      </c>
      <c r="P7" s="12">
        <f>percentile(pred_GDP_now!$C7:$Z7,0.5)</f>
        <v>0.9451454581</v>
      </c>
      <c r="Q7" s="12">
        <f>percentile(pred_GDP_now!$C7:$Z7,0.75)</f>
        <v>1.08880196</v>
      </c>
      <c r="R7" s="12">
        <f>percentile(pred_GDP_now!$C7:$Z7,0.9)</f>
        <v>1.17194367</v>
      </c>
      <c r="S7" s="13">
        <f t="shared" si="1"/>
        <v>0.4533525699</v>
      </c>
      <c r="T7" s="13">
        <f t="shared" si="2"/>
        <v>0.2958032452</v>
      </c>
    </row>
    <row r="8">
      <c r="A8" s="11">
        <v>201709.0</v>
      </c>
      <c r="B8" s="10">
        <v>1.4</v>
      </c>
      <c r="C8" s="12">
        <f>min(pred_GDP_now!$C8:$Z8)</f>
        <v>0.275753</v>
      </c>
      <c r="D8" s="12">
        <f>MAX(pred_GDP_now!$C8:$Z8)</f>
        <v>0.973802</v>
      </c>
      <c r="E8" s="12">
        <f>AVERAGE(pred_GDP_now!$C8:$Z8)</f>
        <v>0.7265919821</v>
      </c>
      <c r="F8" s="12">
        <f>MEDIAN(pred_GDP_now!$C8:$Z8)</f>
        <v>0.7719551266</v>
      </c>
      <c r="G8" s="14" t="str">
        <f t="array" ref="G8">index(pred_GDP_now!$C$1:$Z$1,1,match(MEDIAN(pred_GDP_now!$C7:$Z7),pred_GDP_now!$C7:$Z7))</f>
        <v>RF-DVS</v>
      </c>
      <c r="H8" s="12">
        <f t="array" ref="H8">index(pred_GDP_now!$C8:$Z8,1,match(F7,pred_GDP_now!$C7:$Z7))</f>
        <v>0.8004513036</v>
      </c>
      <c r="I8" s="14" t="str">
        <f t="array" ref="I8">index(pred_GDP_now!$C$1:$Z$1,1,match(min('Ens_now작업'!$C7:$Z7),'Ens_now작업'!$C7:$Z7,0))</f>
        <v>BEM2</v>
      </c>
      <c r="J8" s="12">
        <f t="array" ref="J8">index(pred_GDP_now!$C8:$Z8,1,match(min('Ens_now작업'!$C7:$Z7),'Ens_now작업'!$C7:$Z7,0))</f>
        <v>0.275753</v>
      </c>
      <c r="K8" s="12">
        <f>AVERAGE('Ens_now작업2'!$C8:$Z8)</f>
        <v>0.5437514378</v>
      </c>
      <c r="L8" s="12">
        <f>AVERAGE('Ens_now작업3'!$C8:$Z8)</f>
        <v>0.3208983333</v>
      </c>
      <c r="M8" s="12"/>
      <c r="N8" s="12">
        <f>percentile(pred_GDP_now!$C8:$Z8,0.1)</f>
        <v>0.321163</v>
      </c>
      <c r="O8" s="12">
        <f>percentile(pred_GDP_now!$C8:$Z8,0.25)</f>
        <v>0.685020425</v>
      </c>
      <c r="P8" s="12">
        <f>percentile(pred_GDP_now!$C8:$Z8,0.5)</f>
        <v>0.7719551266</v>
      </c>
      <c r="Q8" s="12">
        <f>percentile(pred_GDP_now!$C8:$Z8,0.75)</f>
        <v>0.9109879375</v>
      </c>
      <c r="R8" s="12">
        <f>percentile(pred_GDP_now!$C8:$Z8,0.9)</f>
        <v>0.9667883</v>
      </c>
      <c r="S8" s="13">
        <f t="shared" si="1"/>
        <v>0.6456253</v>
      </c>
      <c r="T8" s="13">
        <f t="shared" si="2"/>
        <v>0.2259675125</v>
      </c>
    </row>
    <row r="9">
      <c r="A9" s="11">
        <v>201712.0</v>
      </c>
      <c r="B9" s="10">
        <v>-0.3</v>
      </c>
      <c r="C9" s="12">
        <f>min(pred_GDP_now!$C9:$Z9)</f>
        <v>0.354928</v>
      </c>
      <c r="D9" s="12">
        <f>MAX(pred_GDP_now!$C9:$Z9)</f>
        <v>1.387553</v>
      </c>
      <c r="E9" s="12">
        <f>AVERAGE(pred_GDP_now!$C9:$Z9)</f>
        <v>0.7633447583</v>
      </c>
      <c r="F9" s="12">
        <f>MEDIAN(pred_GDP_now!$C9:$Z9)</f>
        <v>0.7313021946</v>
      </c>
      <c r="G9" s="14" t="str">
        <f t="array" ref="G9">index(pred_GDP_now!$C$1:$Z$1,1,match(MEDIAN(pred_GDP_now!$C8:$Z8),pred_GDP_now!$C8:$Z8))</f>
        <v>BEM3</v>
      </c>
      <c r="H9" s="12">
        <f t="array" ref="H9">index(pred_GDP_now!$C9:$Z9,1,match(F8,pred_GDP_now!$C8:$Z8))</f>
        <v>0.895778</v>
      </c>
      <c r="I9" s="14" t="str">
        <f t="array" ref="I9">index(pred_GDP_now!$C$1:$Z$1,1,match(min('Ens_now작업'!$C8:$Z8),'Ens_now작업'!$C8:$Z8,0))</f>
        <v>LQR</v>
      </c>
      <c r="J9" s="12">
        <f t="array" ref="J9">index(pred_GDP_now!$C9:$Z9,1,match(min('Ens_now작업'!$C8:$Z8),'Ens_now작업'!$C8:$Z8,0))</f>
        <v>0.354928</v>
      </c>
      <c r="K9" s="12">
        <f>AVERAGE('Ens_now작업2'!$C9:$Z9)</f>
        <v>0.7240216278</v>
      </c>
      <c r="L9" s="12">
        <f>AVERAGE('Ens_now작업3'!$C9:$Z9)</f>
        <v>0.6414923333</v>
      </c>
      <c r="M9" s="12"/>
      <c r="N9" s="12">
        <f>percentile(pred_GDP_now!$C9:$Z9,0.1)</f>
        <v>0.4885273878</v>
      </c>
      <c r="O9" s="12">
        <f>percentile(pred_GDP_now!$C9:$Z9,0.25)</f>
        <v>0.678852</v>
      </c>
      <c r="P9" s="12">
        <f>percentile(pred_GDP_now!$C9:$Z9,0.5)</f>
        <v>0.7313021946</v>
      </c>
      <c r="Q9" s="12">
        <f>percentile(pred_GDP_now!$C9:$Z9,0.75)</f>
        <v>0.88865022</v>
      </c>
      <c r="R9" s="12">
        <f>percentile(pred_GDP_now!$C9:$Z9,0.9)</f>
        <v>0.9353987</v>
      </c>
      <c r="S9" s="13">
        <f t="shared" si="1"/>
        <v>0.4468713122</v>
      </c>
      <c r="T9" s="13">
        <f t="shared" si="2"/>
        <v>0.20979822</v>
      </c>
    </row>
    <row r="10">
      <c r="A10" s="11">
        <v>201803.0</v>
      </c>
      <c r="B10" s="10">
        <v>1.3</v>
      </c>
      <c r="C10" s="12">
        <f>min(pred_GDP_now!$C10:$Z10)</f>
        <v>0.678722</v>
      </c>
      <c r="D10" s="12">
        <f>MAX(pred_GDP_now!$C10:$Z10)</f>
        <v>1.71661</v>
      </c>
      <c r="E10" s="12">
        <f>AVERAGE(pred_GDP_now!$C10:$Z10)</f>
        <v>0.9486732316</v>
      </c>
      <c r="F10" s="12">
        <f>MEDIAN(pred_GDP_now!$C10:$Z10)</f>
        <v>0.8725805</v>
      </c>
      <c r="G10" s="14" t="str">
        <f t="array" ref="G10">index(pred_GDP_now!$C$1:$Z$1,1,match(MEDIAN(pred_GDP_now!$C9:$Z9),pred_GDP_now!$C9:$Z9))</f>
        <v>CRNN</v>
      </c>
      <c r="H10" s="12">
        <f t="array" ref="H10">index(pred_GDP_now!$C10:$Z10,1,match(F9,pred_GDP_now!$C9:$Z9))</f>
        <v>0.80441034</v>
      </c>
      <c r="I10" s="14" t="str">
        <f t="array" ref="I10">index(pred_GDP_now!$C$1:$Z$1,1,match(min('Ens_now작업'!$C9:$Z9),'Ens_now작업'!$C9:$Z9,0))</f>
        <v>LBVAR</v>
      </c>
      <c r="J10" s="12">
        <f t="array" ref="J10">index(pred_GDP_now!$C10:$Z10,1,match(min('Ens_now작업'!$C9:$Z9),'Ens_now작업'!$C9:$Z9,0))</f>
        <v>0.753485</v>
      </c>
      <c r="K10" s="12">
        <f>AVERAGE('Ens_now작업2'!$C10:$Z10)</f>
        <v>0.9104180482</v>
      </c>
      <c r="L10" s="12">
        <f>AVERAGE('Ens_now작업3'!$C10:$Z10)</f>
        <v>0.9341100945</v>
      </c>
      <c r="M10" s="12"/>
      <c r="N10" s="12">
        <f>percentile(pred_GDP_now!$C10:$Z10,0.1)</f>
        <v>0.7104403772</v>
      </c>
      <c r="O10" s="12">
        <f>percentile(pred_GDP_now!$C10:$Z10,0.25)</f>
        <v>0.74661275</v>
      </c>
      <c r="P10" s="12">
        <f>percentile(pred_GDP_now!$C10:$Z10,0.5)</f>
        <v>0.8725805</v>
      </c>
      <c r="Q10" s="12">
        <f>percentile(pred_GDP_now!$C10:$Z10,0.75)</f>
        <v>1.082357868</v>
      </c>
      <c r="R10" s="12">
        <f>percentile(pred_GDP_now!$C10:$Z10,0.9)</f>
        <v>1.1833963</v>
      </c>
      <c r="S10" s="13">
        <f t="shared" si="1"/>
        <v>0.472955923</v>
      </c>
      <c r="T10" s="13">
        <f t="shared" si="2"/>
        <v>0.3357451183</v>
      </c>
    </row>
    <row r="11">
      <c r="A11" s="11">
        <v>201806.0</v>
      </c>
      <c r="B11" s="10">
        <v>0.7</v>
      </c>
      <c r="C11" s="12">
        <f>min(pred_GDP_now!$C11:$Z11)</f>
        <v>0.31626</v>
      </c>
      <c r="D11" s="12">
        <f>MAX(pred_GDP_now!$C11:$Z11)</f>
        <v>1.313216805</v>
      </c>
      <c r="E11" s="12">
        <f>AVERAGE(pred_GDP_now!$C11:$Z11)</f>
        <v>0.6787292756</v>
      </c>
      <c r="F11" s="12">
        <f>MEDIAN(pred_GDP_now!$C11:$Z11)</f>
        <v>0.61506395</v>
      </c>
      <c r="G11" s="14" t="str">
        <f t="array" ref="G11">index(pred_GDP_now!$C$1:$Z$1,1,match(MEDIAN(pred_GDP_now!$C10:$Z10),pred_GDP_now!$C10:$Z10))</f>
        <v>LBVAR</v>
      </c>
      <c r="H11" s="12">
        <f t="array" ref="H11">index(pred_GDP_now!$C11:$Z11,1,match(F10,pred_GDP_now!$C10:$Z10))</f>
        <v>0.31626</v>
      </c>
      <c r="I11" s="14" t="str">
        <f t="array" ref="I11">index(pred_GDP_now!$C$1:$Z$1,1,match(min('Ens_now작업'!$C10:$Z10),'Ens_now작업'!$C10:$Z10,0))</f>
        <v>VAR</v>
      </c>
      <c r="J11" s="12">
        <f t="array" ref="J11">index(pred_GDP_now!$C11:$Z11,1,match(min('Ens_now작업'!$C10:$Z10),'Ens_now작업'!$C10:$Z10,0))</f>
        <v>0.837201</v>
      </c>
      <c r="K11" s="12">
        <f>AVERAGE('Ens_now작업2'!$C11:$Z11)</f>
        <v>0.6302501679</v>
      </c>
      <c r="L11" s="12">
        <f>AVERAGE('Ens_now작업3'!$C11:$Z11)</f>
        <v>0.7007874224</v>
      </c>
      <c r="M11" s="12"/>
      <c r="N11" s="12">
        <f>percentile(pred_GDP_now!$C11:$Z11,0.1)</f>
        <v>0.5146499318</v>
      </c>
      <c r="O11" s="12">
        <f>percentile(pred_GDP_now!$C11:$Z11,0.25)</f>
        <v>0.5559498673</v>
      </c>
      <c r="P11" s="12">
        <f>percentile(pred_GDP_now!$C11:$Z11,0.5)</f>
        <v>0.61506395</v>
      </c>
      <c r="Q11" s="12">
        <f>percentile(pred_GDP_now!$C11:$Z11,0.75)</f>
        <v>0.70882925</v>
      </c>
      <c r="R11" s="12">
        <f>percentile(pred_GDP_now!$C11:$Z11,0.9)</f>
        <v>0.9228773905</v>
      </c>
      <c r="S11" s="13">
        <f t="shared" si="1"/>
        <v>0.4082274587</v>
      </c>
      <c r="T11" s="13">
        <f t="shared" si="2"/>
        <v>0.1528793827</v>
      </c>
    </row>
    <row r="12">
      <c r="A12" s="11">
        <v>201809.0</v>
      </c>
      <c r="B12" s="10">
        <v>0.6</v>
      </c>
      <c r="C12" s="12">
        <f>min(pred_GDP_now!$C12:$Z12)</f>
        <v>0.320519</v>
      </c>
      <c r="D12" s="12">
        <f>MAX(pred_GDP_now!$C12:$Z12)</f>
        <v>1.080016297</v>
      </c>
      <c r="E12" s="12">
        <f>AVERAGE(pred_GDP_now!$C12:$Z12)</f>
        <v>0.6392106724</v>
      </c>
      <c r="F12" s="12">
        <f>MEDIAN(pred_GDP_now!$C12:$Z12)</f>
        <v>0.59250633</v>
      </c>
      <c r="G12" s="14" t="str">
        <f t="array" ref="G12">index(pred_GDP_now!$C$1:$Z$1,1,match(MEDIAN(pred_GDP_now!$C11:$Z11),pred_GDP_now!$C11:$Z11))</f>
        <v>T-M</v>
      </c>
      <c r="H12" s="12">
        <f t="array" ref="H12">index(pred_GDP_now!$C12:$Z12,1,match(F11,pred_GDP_now!$C11:$Z11))</f>
        <v>1.045768784</v>
      </c>
      <c r="I12" s="14" t="str">
        <f t="array" ref="I12">index(pred_GDP_now!$C$1:$Z$1,1,match(min('Ens_now작업'!$C11:$Z11),'Ens_now작업'!$C11:$Z11,0))</f>
        <v>SVR-KNN</v>
      </c>
      <c r="J12" s="12">
        <f t="array" ref="J12">index(pred_GDP_now!$C12:$Z12,1,match(min('Ens_now작업'!$C11:$Z11),'Ens_now작업'!$C11:$Z11,0))</f>
        <v>0.604256361</v>
      </c>
      <c r="K12" s="12">
        <f>AVERAGE('Ens_now작업2'!$C12:$Z12)</f>
        <v>0.7074278105</v>
      </c>
      <c r="L12" s="12">
        <f>AVERAGE('Ens_now작업3'!$C12:$Z12)</f>
        <v>0.6289428867</v>
      </c>
      <c r="M12" s="12"/>
      <c r="N12" s="12">
        <f>percentile(pred_GDP_now!$C12:$Z12,0.1)</f>
        <v>0.351778451</v>
      </c>
      <c r="O12" s="12">
        <f>percentile(pred_GDP_now!$C12:$Z12,0.25)</f>
        <v>0.4876715</v>
      </c>
      <c r="P12" s="12">
        <f>percentile(pred_GDP_now!$C12:$Z12,0.5)</f>
        <v>0.59250633</v>
      </c>
      <c r="Q12" s="12">
        <f>percentile(pred_GDP_now!$C12:$Z12,0.75)</f>
        <v>0.6977263372</v>
      </c>
      <c r="R12" s="12">
        <f>percentile(pred_GDP_now!$C12:$Z12,0.9)</f>
        <v>1.023367367</v>
      </c>
      <c r="S12" s="13">
        <f t="shared" si="1"/>
        <v>0.6715889157</v>
      </c>
      <c r="T12" s="13">
        <f t="shared" si="2"/>
        <v>0.2100548372</v>
      </c>
    </row>
    <row r="13">
      <c r="A13" s="11">
        <v>201812.0</v>
      </c>
      <c r="B13" s="10">
        <v>0.6</v>
      </c>
      <c r="C13" s="12">
        <f>min(pred_GDP_now!$C13:$Z13)</f>
        <v>-0.02169</v>
      </c>
      <c r="D13" s="12">
        <f>MAX(pred_GDP_now!$C13:$Z13)</f>
        <v>1.139971285</v>
      </c>
      <c r="E13" s="12">
        <f>AVERAGE(pred_GDP_now!$C13:$Z13)</f>
        <v>0.4253606884</v>
      </c>
      <c r="F13" s="12">
        <f>MEDIAN(pred_GDP_now!$C13:$Z13)</f>
        <v>0.3808898703</v>
      </c>
      <c r="G13" s="14" t="str">
        <f t="array" ref="G13">index(pred_GDP_now!$C$1:$Z$1,1,match(MEDIAN(pred_GDP_now!$C12:$Z12),pred_GDP_now!$C12:$Z12))</f>
        <v>LBVAR</v>
      </c>
      <c r="H13" s="12">
        <f t="array" ref="H13">index(pred_GDP_now!$C13:$Z13,1,match(F12,pred_GDP_now!$C12:$Z12))</f>
        <v>0.749574</v>
      </c>
      <c r="I13" s="14" t="str">
        <f t="array" ref="I13">index(pred_GDP_now!$C$1:$Z$1,1,match(min('Ens_now작업'!$C12:$Z12),'Ens_now작업'!$C12:$Z12,0))</f>
        <v>SVR-KNN</v>
      </c>
      <c r="J13" s="12">
        <f t="array" ref="J13">index(pred_GDP_now!$C13:$Z13,1,match(min('Ens_now작업'!$C12:$Z12),'Ens_now작업'!$C12:$Z12,0))</f>
        <v>0.4531182784</v>
      </c>
      <c r="K13" s="12">
        <f>AVERAGE('Ens_now작업2'!$C13:$Z13)</f>
        <v>0.535948618</v>
      </c>
      <c r="L13" s="12">
        <f>AVERAGE('Ens_now작업3'!$C13:$Z13)</f>
        <v>0.4246267595</v>
      </c>
      <c r="M13" s="12"/>
      <c r="N13" s="12">
        <f>percentile(pred_GDP_now!$C13:$Z13,0.1)</f>
        <v>0.0683409092</v>
      </c>
      <c r="O13" s="12">
        <f>percentile(pred_GDP_now!$C13:$Z13,0.25)</f>
        <v>0.1497315</v>
      </c>
      <c r="P13" s="12">
        <f>percentile(pred_GDP_now!$C13:$Z13,0.5)</f>
        <v>0.3808898703</v>
      </c>
      <c r="Q13" s="12">
        <f>percentile(pred_GDP_now!$C13:$Z13,0.75)</f>
        <v>0.6926237636</v>
      </c>
      <c r="R13" s="12">
        <f>percentile(pred_GDP_now!$C13:$Z13,0.9)</f>
        <v>0.7423468789</v>
      </c>
      <c r="S13" s="13">
        <f t="shared" si="1"/>
        <v>0.6740059697</v>
      </c>
      <c r="T13" s="13">
        <f t="shared" si="2"/>
        <v>0.5428922636</v>
      </c>
    </row>
    <row r="14">
      <c r="A14" s="11">
        <v>201903.0</v>
      </c>
      <c r="B14" s="10">
        <v>-0.1</v>
      </c>
      <c r="C14" s="12">
        <f>min(pred_GDP_now!$C14:$Z14)</f>
        <v>-0.567977</v>
      </c>
      <c r="D14" s="12">
        <f>MAX(pred_GDP_now!$C14:$Z14)</f>
        <v>0.75638</v>
      </c>
      <c r="E14" s="12">
        <f>AVERAGE(pred_GDP_now!$C14:$Z14)</f>
        <v>0.2325297513</v>
      </c>
      <c r="F14" s="12">
        <f>MEDIAN(pred_GDP_now!$C14:$Z14)</f>
        <v>0.259024</v>
      </c>
      <c r="G14" s="14" t="str">
        <f t="array" ref="G14">index(pred_GDP_now!$C$1:$Z$1,1,match(MEDIAN(pred_GDP_now!$C13:$Z13),pred_GDP_now!$C13:$Z13))</f>
        <v>BEM3</v>
      </c>
      <c r="H14" s="12">
        <f t="array" ref="H14">index(pred_GDP_now!$C14:$Z14,1,match(F13,pred_GDP_now!$C13:$Z13))</f>
        <v>0.156505</v>
      </c>
      <c r="I14" s="14" t="str">
        <f t="array" ref="I14">index(pred_GDP_now!$C$1:$Z$1,1,match(min('Ens_now작업'!$C13:$Z13),'Ens_now작업'!$C13:$Z13,0))</f>
        <v>SVR-KNN</v>
      </c>
      <c r="J14" s="12">
        <f t="array" ref="J14">index(pred_GDP_now!$C14:$Z14,1,match(min('Ens_now작업'!$C13:$Z13),'Ens_now작업'!$C13:$Z13,0))</f>
        <v>-0.08619005098</v>
      </c>
      <c r="K14" s="12">
        <f>AVERAGE('Ens_now작업2'!$C14:$Z14)</f>
        <v>0.0000523740931</v>
      </c>
      <c r="L14" s="12">
        <f>AVERAGE('Ens_now작업3'!$C14:$Z14)</f>
        <v>-0.01361037651</v>
      </c>
      <c r="M14" s="12"/>
      <c r="N14" s="12">
        <f>percentile(pred_GDP_now!$C14:$Z14,0.1)</f>
        <v>-0.290057</v>
      </c>
      <c r="O14" s="12">
        <f>percentile(pred_GDP_now!$C14:$Z14,0.25)</f>
        <v>-0.08270753824</v>
      </c>
      <c r="P14" s="12">
        <f>percentile(pred_GDP_now!$C14:$Z14,0.5)</f>
        <v>0.259024</v>
      </c>
      <c r="Q14" s="12">
        <f>percentile(pred_GDP_now!$C14:$Z14,0.75)</f>
        <v>0.6115524955</v>
      </c>
      <c r="R14" s="12">
        <f>percentile(pred_GDP_now!$C14:$Z14,0.9)</f>
        <v>0.7033670253</v>
      </c>
      <c r="S14" s="13">
        <f t="shared" si="1"/>
        <v>0.9934240253</v>
      </c>
      <c r="T14" s="13">
        <f t="shared" si="2"/>
        <v>0.6942600337</v>
      </c>
    </row>
    <row r="15">
      <c r="A15" s="11">
        <v>201906.0</v>
      </c>
      <c r="B15" s="10">
        <v>1.1</v>
      </c>
      <c r="C15" s="12">
        <f>min(pred_GDP_now!$C15:$Z15)</f>
        <v>0.5128888</v>
      </c>
      <c r="D15" s="12">
        <f>MAX(pred_GDP_now!$C15:$Z15)</f>
        <v>1.30905509</v>
      </c>
      <c r="E15" s="12">
        <f>AVERAGE(pred_GDP_now!$C15:$Z15)</f>
        <v>0.9555642612</v>
      </c>
      <c r="F15" s="12">
        <f>MEDIAN(pred_GDP_now!$C15:$Z15)</f>
        <v>0.9269905</v>
      </c>
      <c r="G15" s="14" t="str">
        <f t="array" ref="G15">index(pred_GDP_now!$C$1:$Z$1,1,match(MEDIAN(pred_GDP_now!$C14:$Z14),pred_GDP_now!$C14:$Z14))</f>
        <v>BEM3</v>
      </c>
      <c r="H15" s="12">
        <f t="array" ref="H15">index(pred_GDP_now!$C15:$Z15,1,match(F14,pred_GDP_now!$C14:$Z14))</f>
        <v>0.803238</v>
      </c>
      <c r="I15" s="14" t="str">
        <f t="array" ref="I15">index(pred_GDP_now!$C$1:$Z$1,1,match(min('Ens_now작업'!$C14:$Z14),'Ens_now작업'!$C14:$Z14,0))</f>
        <v>SVR-KNN</v>
      </c>
      <c r="J15" s="12">
        <f t="array" ref="J15">index(pred_GDP_now!$C15:$Z15,1,match(min('Ens_now작업'!$C14:$Z14),'Ens_now작업'!$C14:$Z14,0))</f>
        <v>0.8729794574</v>
      </c>
      <c r="K15" s="12">
        <f>AVERAGE('Ens_now작업2'!$C15:$Z15)</f>
        <v>0.8836349626</v>
      </c>
      <c r="L15" s="12">
        <f>AVERAGE('Ens_now작업3'!$C15:$Z15)</f>
        <v>0.872918122</v>
      </c>
      <c r="M15" s="12"/>
      <c r="N15" s="12">
        <f>percentile(pred_GDP_now!$C15:$Z15,0.1)</f>
        <v>0.8135292</v>
      </c>
      <c r="O15" s="12">
        <f>percentile(pred_GDP_now!$C15:$Z15,0.25)</f>
        <v>0.8567597271</v>
      </c>
      <c r="P15" s="12">
        <f>percentile(pred_GDP_now!$C15:$Z15,0.5)</f>
        <v>0.9269905</v>
      </c>
      <c r="Q15" s="12">
        <f>percentile(pred_GDP_now!$C15:$Z15,0.75)</f>
        <v>1.0600314</v>
      </c>
      <c r="R15" s="12">
        <f>percentile(pred_GDP_now!$C15:$Z15,0.9)</f>
        <v>1.211883706</v>
      </c>
      <c r="S15" s="13">
        <f t="shared" si="1"/>
        <v>0.3983545058</v>
      </c>
      <c r="T15" s="13">
        <f t="shared" si="2"/>
        <v>0.2032716731</v>
      </c>
    </row>
    <row r="16">
      <c r="A16" s="11">
        <v>201909.0</v>
      </c>
      <c r="B16" s="10">
        <v>0.4</v>
      </c>
      <c r="C16" s="12">
        <f>min(pred_GDP_now!$C16:$Z16)</f>
        <v>0.351543</v>
      </c>
      <c r="D16" s="12">
        <f>MAX(pred_GDP_now!$C16:$Z16)</f>
        <v>1.1893855</v>
      </c>
      <c r="E16" s="12">
        <f>AVERAGE(pred_GDP_now!$C16:$Z16)</f>
        <v>0.7006272988</v>
      </c>
      <c r="F16" s="12">
        <f>MEDIAN(pred_GDP_now!$C16:$Z16)</f>
        <v>0.6900954712</v>
      </c>
      <c r="G16" s="14" t="str">
        <f t="array" ref="G16">index(pred_GDP_now!$C$1:$Z$1,1,match(MEDIAN(pred_GDP_now!$C15:$Z15),pred_GDP_now!$C15:$Z15))</f>
        <v>RF-DVS</v>
      </c>
      <c r="H16" s="12">
        <f t="array" ref="H16">index(pred_GDP_now!$C16:$Z16,1,match(F15,pred_GDP_now!$C15:$Z15))</f>
        <v>0.7044653447</v>
      </c>
      <c r="I16" s="14" t="str">
        <f t="array" ref="I16">index(pred_GDP_now!$C$1:$Z$1,1,match(min('Ens_now작업'!$C15:$Z15),'Ens_now작업'!$C15:$Z15,0))</f>
        <v>SVR-KNN</v>
      </c>
      <c r="J16" s="12">
        <f t="array" ref="J16">index(pred_GDP_now!$C16:$Z16,1,match(min('Ens_now작업'!$C15:$Z15),'Ens_now작업'!$C15:$Z15,0))</f>
        <v>0.4701582579</v>
      </c>
      <c r="K16" s="12">
        <f>AVERAGE('Ens_now작업2'!$C16:$Z16)</f>
        <v>0.5839068516</v>
      </c>
      <c r="L16" s="12">
        <f>AVERAGE('Ens_now작업3'!$C16:$Z16)</f>
        <v>0.4771437526</v>
      </c>
      <c r="M16" s="12"/>
      <c r="N16" s="12">
        <f>percentile(pred_GDP_now!$C16:$Z16,0.1)</f>
        <v>0.4559144774</v>
      </c>
      <c r="O16" s="12">
        <f>percentile(pred_GDP_now!$C16:$Z16,0.25)</f>
        <v>0.4870215867</v>
      </c>
      <c r="P16" s="12">
        <f>percentile(pred_GDP_now!$C16:$Z16,0.5)</f>
        <v>0.6900954712</v>
      </c>
      <c r="Q16" s="12">
        <f>percentile(pred_GDP_now!$C16:$Z16,0.75)</f>
        <v>0.80229175</v>
      </c>
      <c r="R16" s="12">
        <f>percentile(pred_GDP_now!$C16:$Z16,0.9)</f>
        <v>1.010461107</v>
      </c>
      <c r="S16" s="13">
        <f t="shared" si="1"/>
        <v>0.5545466293</v>
      </c>
      <c r="T16" s="13">
        <f t="shared" si="2"/>
        <v>0.3152701633</v>
      </c>
    </row>
    <row r="17">
      <c r="A17" s="11">
        <v>201912.0</v>
      </c>
      <c r="B17" s="10">
        <v>1.2</v>
      </c>
      <c r="C17" s="12">
        <f>min(pred_GDP_now!$C17:$Z17)</f>
        <v>0.07702083141</v>
      </c>
      <c r="D17" s="12">
        <f>MAX(pred_GDP_now!$C17:$Z17)</f>
        <v>1.124617408</v>
      </c>
      <c r="E17" s="12">
        <f>AVERAGE(pred_GDP_now!$C17:$Z17)</f>
        <v>0.6714494568</v>
      </c>
      <c r="F17" s="12">
        <f>MEDIAN(pred_GDP_now!$C17:$Z17)</f>
        <v>0.6628692491</v>
      </c>
      <c r="G17" s="14" t="str">
        <f t="array" ref="G17">index(pred_GDP_now!$C$1:$Z$1,1,match(MEDIAN(pred_GDP_now!$C16:$Z16),pred_GDP_now!$C16:$Z16))</f>
        <v>SVR-KNN</v>
      </c>
      <c r="H17" s="12">
        <f t="array" ref="H17">index(pred_GDP_now!$C17:$Z17,1,match(F16,pred_GDP_now!$C16:$Z16))</f>
        <v>0.8978015955</v>
      </c>
      <c r="I17" s="14" t="str">
        <f t="array" ref="I17">index(pred_GDP_now!$C$1:$Z$1,1,match(min('Ens_now작업'!$C16:$Z16),'Ens_now작업'!$C16:$Z16,0))</f>
        <v>SVR-KNN</v>
      </c>
      <c r="J17" s="12">
        <f t="array" ref="J17">index(pred_GDP_now!$C17:$Z17,1,match(min('Ens_now작업'!$C16:$Z16),'Ens_now작업'!$C16:$Z16,0))</f>
        <v>0.8978015955</v>
      </c>
      <c r="K17" s="12">
        <f>AVERAGE('Ens_now작업2'!$C17:$Z17)</f>
        <v>0.7140578242</v>
      </c>
      <c r="L17" s="12">
        <f>AVERAGE('Ens_now작업3'!$C17:$Z17)</f>
        <v>0.7902928652</v>
      </c>
      <c r="M17" s="12"/>
      <c r="N17" s="12">
        <f>percentile(pred_GDP_now!$C17:$Z17,0.1)</f>
        <v>0.3119385</v>
      </c>
      <c r="O17" s="12">
        <f>percentile(pred_GDP_now!$C17:$Z17,0.25)</f>
        <v>0.5599838814</v>
      </c>
      <c r="P17" s="12">
        <f>percentile(pred_GDP_now!$C17:$Z17,0.5)</f>
        <v>0.6628692491</v>
      </c>
      <c r="Q17" s="12">
        <f>percentile(pred_GDP_now!$C17:$Z17,0.75)</f>
        <v>0.8721321875</v>
      </c>
      <c r="R17" s="12">
        <f>percentile(pred_GDP_now!$C17:$Z17,0.9)</f>
        <v>0.952210279</v>
      </c>
      <c r="S17" s="13">
        <f t="shared" si="1"/>
        <v>0.640271779</v>
      </c>
      <c r="T17" s="13">
        <f t="shared" si="2"/>
        <v>0.3121483061</v>
      </c>
    </row>
    <row r="18">
      <c r="A18" s="11">
        <v>202003.0</v>
      </c>
      <c r="B18" s="10">
        <v>-1.3</v>
      </c>
      <c r="C18" s="12">
        <f>min(pred_GDP_now!$C18:$Z18)</f>
        <v>-0.72131866</v>
      </c>
      <c r="D18" s="12">
        <f>MAX(pred_GDP_now!$C18:$Z18)</f>
        <v>0.839619</v>
      </c>
      <c r="E18" s="12">
        <f>AVERAGE(pred_GDP_now!$C18:$Z18)</f>
        <v>0.1121053091</v>
      </c>
      <c r="F18" s="12">
        <f>MEDIAN(pred_GDP_now!$C18:$Z18)</f>
        <v>0.04500442389</v>
      </c>
      <c r="G18" s="14" t="str">
        <f t="array" ref="G18">index(pred_GDP_now!$C$1:$Z$1,1,match(MEDIAN(pred_GDP_now!$C17:$Z17),pred_GDP_now!$C17:$Z17))</f>
        <v>LBVAR</v>
      </c>
      <c r="H18" s="12">
        <f t="array" ref="H18">index(pred_GDP_now!$C18:$Z18,1,match(F17,pred_GDP_now!$C17:$Z17))</f>
        <v>0.279367</v>
      </c>
      <c r="I18" s="14" t="str">
        <f t="array" ref="I18">index(pred_GDP_now!$C$1:$Z$1,1,match(min('Ens_now작업'!$C17:$Z17),'Ens_now작업'!$C17:$Z17,0))</f>
        <v>SVR-KNN</v>
      </c>
      <c r="J18" s="12">
        <f t="array" ref="J18">index(pred_GDP_now!$C18:$Z18,1,match(min('Ens_now작업'!$C17:$Z17),'Ens_now작업'!$C17:$Z17,0))</f>
        <v>0.231873809</v>
      </c>
      <c r="K18" s="12">
        <f>AVERAGE('Ens_now작업2'!$C18:$Z18)</f>
        <v>0.06637758219</v>
      </c>
      <c r="L18" s="12">
        <f>AVERAGE('Ens_now작업3'!$C18:$Z18)</f>
        <v>0.06257835365</v>
      </c>
      <c r="M18" s="12"/>
      <c r="N18" s="12">
        <f>percentile(pred_GDP_now!$C18:$Z18,0.1)</f>
        <v>-0.1144436244</v>
      </c>
      <c r="O18" s="12">
        <f>percentile(pred_GDP_now!$C18:$Z18,0.25)</f>
        <v>-0.03396386252</v>
      </c>
      <c r="P18" s="12">
        <f>percentile(pred_GDP_now!$C18:$Z18,0.5)</f>
        <v>0.04500442389</v>
      </c>
      <c r="Q18" s="12">
        <f>percentile(pred_GDP_now!$C18:$Z18,0.75)</f>
        <v>0.2674937023</v>
      </c>
      <c r="R18" s="12">
        <f>percentile(pred_GDP_now!$C18:$Z18,0.9)</f>
        <v>0.526944619</v>
      </c>
      <c r="S18" s="13">
        <f t="shared" si="1"/>
        <v>0.6413882435</v>
      </c>
      <c r="T18" s="13">
        <f t="shared" si="2"/>
        <v>0.3014575648</v>
      </c>
    </row>
    <row r="19">
      <c r="A19" s="11">
        <v>202006.0</v>
      </c>
      <c r="B19" s="10">
        <v>-3.0</v>
      </c>
      <c r="C19" s="12">
        <f>min(pred_GDP_now!$C19:$Z19)</f>
        <v>-7.82413</v>
      </c>
      <c r="D19" s="12">
        <f>MAX(pred_GDP_now!$C19:$Z19)</f>
        <v>0.39227682</v>
      </c>
      <c r="E19" s="12">
        <f>AVERAGE(pred_GDP_now!$C19:$Z19)</f>
        <v>-1.56241153</v>
      </c>
      <c r="F19" s="12">
        <f>MEDIAN(pred_GDP_now!$C19:$Z19)</f>
        <v>-1.073054506</v>
      </c>
      <c r="G19" s="14" t="str">
        <f t="array" ref="G19">index(pred_GDP_now!$C$1:$Z$1,1,match(MEDIAN(pred_GDP_now!$C18:$Z18),pred_GDP_now!$C18:$Z18))</f>
        <v>BEM2</v>
      </c>
      <c r="H19" s="12">
        <f t="array" ref="H19">index(pred_GDP_now!$C19:$Z19,1,match(F18,pred_GDP_now!$C18:$Z18))</f>
        <v>-1.16121</v>
      </c>
      <c r="I19" s="14" t="str">
        <f t="array" ref="I19">index(pred_GDP_now!$C$1:$Z$1,1,match(min('Ens_now작업'!$C18:$Z18),'Ens_now작업'!$C18:$Z18,0))</f>
        <v>SVR-KNN</v>
      </c>
      <c r="J19" s="12">
        <f t="array" ref="J19">index(pred_GDP_now!$C19:$Z19,1,match(min('Ens_now작업'!$C18:$Z18),'Ens_now작업'!$C18:$Z18,0))</f>
        <v>-0.7169095865</v>
      </c>
      <c r="K19" s="12">
        <f>AVERAGE('Ens_now작업2'!$C19:$Z19)</f>
        <v>-0.6286825813</v>
      </c>
      <c r="L19" s="12">
        <f>AVERAGE('Ens_now작업3'!$C19:$Z19)</f>
        <v>-0.9505960085</v>
      </c>
      <c r="M19" s="12"/>
      <c r="N19" s="12">
        <f>percentile(pred_GDP_now!$C19:$Z19,0.1)</f>
        <v>-2.994674529</v>
      </c>
      <c r="O19" s="12">
        <f>percentile(pred_GDP_now!$C19:$Z19,0.25)</f>
        <v>-1.45102075</v>
      </c>
      <c r="P19" s="12">
        <f>percentile(pred_GDP_now!$C19:$Z19,0.5)</f>
        <v>-1.073054506</v>
      </c>
      <c r="Q19" s="12">
        <f>percentile(pred_GDP_now!$C19:$Z19,0.75)</f>
        <v>-0.5879642251</v>
      </c>
      <c r="R19" s="12">
        <f>percentile(pred_GDP_now!$C19:$Z19,0.9)</f>
        <v>0.02978328993</v>
      </c>
      <c r="S19" s="13">
        <f t="shared" si="1"/>
        <v>3.024457819</v>
      </c>
      <c r="T19" s="13">
        <f t="shared" si="2"/>
        <v>0.8630565249</v>
      </c>
    </row>
    <row r="20">
      <c r="A20" s="11">
        <v>202009.0</v>
      </c>
      <c r="B20" s="10">
        <v>2.3</v>
      </c>
      <c r="C20" s="12">
        <f>min(pred_GDP_now!$C20:$Z20)</f>
        <v>0.822904</v>
      </c>
      <c r="D20" s="12">
        <f>MAX(pred_GDP_now!$C20:$Z20)</f>
        <v>4.346511</v>
      </c>
      <c r="E20" s="12">
        <f>AVERAGE(pred_GDP_now!$C20:$Z20)</f>
        <v>1.876220436</v>
      </c>
      <c r="F20" s="12">
        <f>MEDIAN(pred_GDP_now!$C20:$Z20)</f>
        <v>1.626719714</v>
      </c>
      <c r="G20" s="14" t="str">
        <f t="array" ref="G20">index(pred_GDP_now!$C$1:$Z$1,1,match(MEDIAN(pred_GDP_now!$C19:$Z19),pred_GDP_now!$C19:$Z19))</f>
        <v>VAR</v>
      </c>
      <c r="H20" s="12">
        <f t="array" ref="H20">index(pred_GDP_now!$C20:$Z20,1,match(F19,pred_GDP_now!$C19:$Z19))</f>
        <v>1.214082</v>
      </c>
      <c r="I20" s="14" t="str">
        <f t="array" ref="I20">index(pred_GDP_now!$C$1:$Z$1,1,match(min('Ens_now작업'!$C19:$Z19),'Ens_now작업'!$C19:$Z19,0))</f>
        <v>TFM</v>
      </c>
      <c r="J20" s="12">
        <f t="array" ref="J20">index(pred_GDP_now!$C20:$Z20,1,match(min('Ens_now작업'!$C19:$Z19),'Ens_now작업'!$C19:$Z19,0))</f>
        <v>2.4220965</v>
      </c>
      <c r="K20" s="12">
        <f>AVERAGE('Ens_now작업2'!$C20:$Z20)</f>
        <v>2.089784093</v>
      </c>
      <c r="L20" s="12">
        <f>AVERAGE('Ens_now작업3'!$C20:$Z20)</f>
        <v>2.330905245</v>
      </c>
      <c r="M20" s="12"/>
      <c r="N20" s="12">
        <f>percentile(pred_GDP_now!$C20:$Z20,0.1)</f>
        <v>0.9794382414</v>
      </c>
      <c r="O20" s="12">
        <f>percentile(pred_GDP_now!$C20:$Z20,0.25)</f>
        <v>1.262939325</v>
      </c>
      <c r="P20" s="12">
        <f>percentile(pred_GDP_now!$C20:$Z20,0.5)</f>
        <v>1.626719714</v>
      </c>
      <c r="Q20" s="12">
        <f>percentile(pred_GDP_now!$C20:$Z20,0.75)</f>
        <v>2.316301309</v>
      </c>
      <c r="R20" s="12">
        <f>percentile(pred_GDP_now!$C20:$Z20,0.9)</f>
        <v>2.73198685</v>
      </c>
      <c r="S20" s="13">
        <f t="shared" si="1"/>
        <v>1.752548608</v>
      </c>
      <c r="T20" s="13">
        <f t="shared" si="2"/>
        <v>1.053361984</v>
      </c>
    </row>
    <row r="21">
      <c r="A21" s="11">
        <v>202012.0</v>
      </c>
      <c r="B21" s="10">
        <v>1.3</v>
      </c>
      <c r="C21" s="12">
        <f>min(pred_GDP_now!$C21:$Z21)</f>
        <v>0.26395336</v>
      </c>
      <c r="D21" s="12">
        <f>MAX(pred_GDP_now!$C21:$Z21)</f>
        <v>3.395491</v>
      </c>
      <c r="E21" s="12">
        <f>AVERAGE(pred_GDP_now!$C21:$Z21)</f>
        <v>1.425506331</v>
      </c>
      <c r="F21" s="12">
        <f>MEDIAN(pred_GDP_now!$C21:$Z21)</f>
        <v>1.477727976</v>
      </c>
      <c r="G21" s="14" t="str">
        <f t="array" ref="G21">index(pred_GDP_now!$C$1:$Z$1,1,match(MEDIAN(pred_GDP_now!$C20:$Z20),pred_GDP_now!$C20:$Z20))</f>
        <v>LQR</v>
      </c>
      <c r="H21" s="12">
        <f t="array" ref="H21">index(pred_GDP_now!$C21:$Z21,1,match(F20,pred_GDP_now!$C20:$Z20))</f>
        <v>1.946373</v>
      </c>
      <c r="I21" s="14" t="str">
        <f t="array" ref="I21">index(pred_GDP_now!$C$1:$Z$1,1,match(min('Ens_now작업'!$C20:$Z20),'Ens_now작업'!$C20:$Z20,0))</f>
        <v>LQR</v>
      </c>
      <c r="J21" s="12">
        <f t="array" ref="J21">index(pred_GDP_now!$C21:$Z21,1,match(min('Ens_now작업'!$C20:$Z20),'Ens_now작업'!$C20:$Z20,0))</f>
        <v>1.946373</v>
      </c>
      <c r="K21" s="12">
        <f>AVERAGE('Ens_now작업2'!$C21:$Z21)</f>
        <v>1.627897594</v>
      </c>
      <c r="L21" s="12">
        <f>AVERAGE('Ens_now작업3'!$C21:$Z21)</f>
        <v>1.572973558</v>
      </c>
      <c r="M21" s="12"/>
      <c r="N21" s="12">
        <f>percentile(pred_GDP_now!$C21:$Z21,0.1)</f>
        <v>0.7121042581</v>
      </c>
      <c r="O21" s="12">
        <f>percentile(pred_GDP_now!$C21:$Z21,0.25)</f>
        <v>0.9954892186</v>
      </c>
      <c r="P21" s="12">
        <f>percentile(pred_GDP_now!$C21:$Z21,0.5)</f>
        <v>1.477727976</v>
      </c>
      <c r="Q21" s="12">
        <f>percentile(pred_GDP_now!$C21:$Z21,0.75)</f>
        <v>1.54918075</v>
      </c>
      <c r="R21" s="12">
        <f>percentile(pred_GDP_now!$C21:$Z21,0.9)</f>
        <v>1.920976288</v>
      </c>
      <c r="S21" s="13">
        <f t="shared" si="1"/>
        <v>1.20887203</v>
      </c>
      <c r="T21" s="13">
        <f t="shared" si="2"/>
        <v>0.5536915314</v>
      </c>
    </row>
    <row r="22">
      <c r="A22" s="11">
        <v>202103.0</v>
      </c>
      <c r="B22" s="10">
        <v>1.8</v>
      </c>
      <c r="C22" s="12">
        <f>min(pred_GDP_now!$C22:$Z22)</f>
        <v>0.7087964851</v>
      </c>
      <c r="D22" s="12">
        <f>MAX(pred_GDP_now!$C22:$Z22)</f>
        <v>3.354077</v>
      </c>
      <c r="E22" s="12">
        <f>AVERAGE(pred_GDP_now!$C22:$Z22)</f>
        <v>1.459918266</v>
      </c>
      <c r="F22" s="12">
        <f>MEDIAN(pred_GDP_now!$C22:$Z22)</f>
        <v>1.31059815</v>
      </c>
      <c r="G22" s="14" t="str">
        <f t="array" ref="G22">index(pred_GDP_now!$C$1:$Z$1,1,match(MEDIAN(pred_GDP_now!$C21:$Z21),pred_GDP_now!$C21:$Z21))</f>
        <v>S-XGB</v>
      </c>
      <c r="H22" s="12">
        <f t="array" ref="H22">index(pred_GDP_now!$C22:$Z22,1,match(F21,pred_GDP_now!$C21:$Z21))</f>
        <v>1.410161138</v>
      </c>
      <c r="I22" s="14" t="str">
        <f t="array" ref="I22">index(pred_GDP_now!$C$1:$Z$1,1,match(min('Ens_now작업'!$C21:$Z21),'Ens_now작업'!$C21:$Z21,0))</f>
        <v>BEM2</v>
      </c>
      <c r="J22" s="12">
        <f t="array" ref="J22">index(pred_GDP_now!$C22:$Z22,1,match(min('Ens_now작업'!$C21:$Z21),'Ens_now작업'!$C21:$Z21,0))</f>
        <v>1.12586</v>
      </c>
      <c r="K22" s="12">
        <f>AVERAGE('Ens_now작업2'!$C22:$Z22)</f>
        <v>1.439107301</v>
      </c>
      <c r="L22" s="12">
        <f>AVERAGE('Ens_now작업3'!$C22:$Z22)</f>
        <v>1.413462169</v>
      </c>
      <c r="M22" s="12"/>
      <c r="N22" s="12">
        <f>percentile(pred_GDP_now!$C22:$Z22,0.1)</f>
        <v>0.8415614822</v>
      </c>
      <c r="O22" s="12">
        <f>percentile(pred_GDP_now!$C22:$Z22,0.25)</f>
        <v>1.074353</v>
      </c>
      <c r="P22" s="12">
        <f>percentile(pred_GDP_now!$C22:$Z22,0.5)</f>
        <v>1.31059815</v>
      </c>
      <c r="Q22" s="12">
        <f>percentile(pred_GDP_now!$C22:$Z22,0.75)</f>
        <v>1.791163342</v>
      </c>
      <c r="R22" s="12">
        <f>percentile(pred_GDP_now!$C22:$Z22,0.9)</f>
        <v>1.881694067</v>
      </c>
      <c r="S22" s="13">
        <f t="shared" si="1"/>
        <v>1.040132585</v>
      </c>
      <c r="T22" s="13">
        <f t="shared" si="2"/>
        <v>0.7168103424</v>
      </c>
    </row>
    <row r="23">
      <c r="A23" s="11">
        <v>202106.0</v>
      </c>
      <c r="B23" s="10">
        <v>0.9</v>
      </c>
      <c r="C23" s="12">
        <f>min(pred_GDP_now!$C23:$Z23)</f>
        <v>0.772235</v>
      </c>
      <c r="D23" s="12">
        <f>MAX(pred_GDP_now!$C23:$Z23)</f>
        <v>1.971539653</v>
      </c>
      <c r="E23" s="12">
        <f>AVERAGE(pred_GDP_now!$C23:$Z23)</f>
        <v>1.189004831</v>
      </c>
      <c r="F23" s="12">
        <f>MEDIAN(pred_GDP_now!$C23:$Z23)</f>
        <v>1.123955934</v>
      </c>
      <c r="G23" s="14" t="str">
        <f t="array" ref="G23">index(pred_GDP_now!$C$1:$Z$1,1,match(MEDIAN(pred_GDP_now!$C22:$Z22),pred_GDP_now!$C22:$Z22))</f>
        <v>RF-DVS</v>
      </c>
      <c r="H23" s="12">
        <f t="array" ref="H23">index(pred_GDP_now!$C23:$Z23,1,match(F22,pred_GDP_now!$C22:$Z22))</f>
        <v>0.8204900711</v>
      </c>
      <c r="I23" s="14" t="str">
        <f t="array" ref="I23">index(pred_GDP_now!$C$1:$Z$1,1,match(min('Ens_now작업'!$C22:$Z22),'Ens_now작업'!$C22:$Z22,0))</f>
        <v>S-XGB</v>
      </c>
      <c r="J23" s="12">
        <f t="array" ref="J23">index(pred_GDP_now!$C23:$Z23,1,match(min('Ens_now작업'!$C22:$Z22),'Ens_now작업'!$C22:$Z22,0))</f>
        <v>1.310709</v>
      </c>
      <c r="K23" s="12">
        <f>AVERAGE('Ens_now작업2'!$C23:$Z23)</f>
        <v>1.024259086</v>
      </c>
      <c r="L23" s="12">
        <f>AVERAGE('Ens_now작업3'!$C23:$Z23)</f>
        <v>1.093359</v>
      </c>
      <c r="M23" s="12"/>
      <c r="N23" s="12">
        <f>percentile(pred_GDP_now!$C23:$Z23,0.1)</f>
        <v>0.8037720167</v>
      </c>
      <c r="O23" s="12">
        <f>percentile(pred_GDP_now!$C23:$Z23,0.25)</f>
        <v>0.9219825</v>
      </c>
      <c r="P23" s="12">
        <f>percentile(pred_GDP_now!$C23:$Z23,0.5)</f>
        <v>1.123955934</v>
      </c>
      <c r="Q23" s="12">
        <f>percentile(pred_GDP_now!$C23:$Z23,0.75)</f>
        <v>1.31100675</v>
      </c>
      <c r="R23" s="12">
        <f>percentile(pred_GDP_now!$C23:$Z23,0.9)</f>
        <v>1.63871627</v>
      </c>
      <c r="S23" s="13">
        <f t="shared" si="1"/>
        <v>0.8349442533</v>
      </c>
      <c r="T23" s="13">
        <f t="shared" si="2"/>
        <v>0.3890242499</v>
      </c>
    </row>
    <row r="24">
      <c r="A24" s="11">
        <v>202109.0</v>
      </c>
      <c r="B24" s="10">
        <v>0.1</v>
      </c>
      <c r="C24" s="12">
        <f>min(pred_GDP_now!$C24:$Z24)</f>
        <v>-0.08534</v>
      </c>
      <c r="D24" s="12">
        <f>MAX(pred_GDP_now!$C24:$Z24)</f>
        <v>1.583217518</v>
      </c>
      <c r="E24" s="12">
        <f>AVERAGE(pred_GDP_now!$C24:$Z24)</f>
        <v>0.795149749</v>
      </c>
      <c r="F24" s="12">
        <f>MEDIAN(pred_GDP_now!$C24:$Z24)</f>
        <v>0.8461182811</v>
      </c>
      <c r="G24" s="14" t="str">
        <f t="array" ref="G24">index(pred_GDP_now!$C$1:$Z$1,1,match(MEDIAN(pred_GDP_now!$C23:$Z23),pred_GDP_now!$C23:$Z23))</f>
        <v>BEM3</v>
      </c>
      <c r="H24" s="12">
        <f t="array" ref="H24">index(pred_GDP_now!$C24:$Z24,1,match(F23,pred_GDP_now!$C23:$Z23))</f>
        <v>0.591745</v>
      </c>
      <c r="I24" s="14" t="str">
        <f t="array" ref="I24">index(pred_GDP_now!$C$1:$Z$1,1,match(min('Ens_now작업'!$C23:$Z23),'Ens_now작업'!$C23:$Z23,0))</f>
        <v>S-XGB</v>
      </c>
      <c r="J24" s="12">
        <f t="array" ref="J24">index(pred_GDP_now!$C24:$Z24,1,match(min('Ens_now작업'!$C23:$Z23),'Ens_now작업'!$C23:$Z23,0))</f>
        <v>0.9060195088</v>
      </c>
      <c r="K24" s="12">
        <f>AVERAGE('Ens_now작업2'!$C24:$Z24)</f>
        <v>0.8355189612</v>
      </c>
      <c r="L24" s="12">
        <f>AVERAGE('Ens_now작업3'!$C24:$Z24)</f>
        <v>0.8441367488</v>
      </c>
      <c r="M24" s="12"/>
      <c r="N24" s="12">
        <f>percentile(pred_GDP_now!$C24:$Z24,0.1)</f>
        <v>0.39000182</v>
      </c>
      <c r="O24" s="12">
        <f>percentile(pred_GDP_now!$C24:$Z24,0.25)</f>
        <v>0.574549</v>
      </c>
      <c r="P24" s="12">
        <f>percentile(pred_GDP_now!$C24:$Z24,0.5)</f>
        <v>0.8461182811</v>
      </c>
      <c r="Q24" s="12">
        <f>percentile(pred_GDP_now!$C24:$Z24,0.75)</f>
        <v>1.020336303</v>
      </c>
      <c r="R24" s="12">
        <f>percentile(pred_GDP_now!$C24:$Z24,0.9)</f>
        <v>1.260352268</v>
      </c>
      <c r="S24" s="13">
        <f t="shared" si="1"/>
        <v>0.870350448</v>
      </c>
      <c r="T24" s="13">
        <f t="shared" si="2"/>
        <v>0.4457873031</v>
      </c>
    </row>
    <row r="25">
      <c r="A25" s="11">
        <v>202112.0</v>
      </c>
      <c r="B25" s="10">
        <v>1.4</v>
      </c>
      <c r="C25" s="12">
        <f>min(pred_GDP_now!$C25:$Z25)</f>
        <v>0.573513774</v>
      </c>
      <c r="D25" s="12">
        <f>MAX(pred_GDP_now!$C25:$Z25)</f>
        <v>1.745013</v>
      </c>
      <c r="E25" s="12">
        <f>AVERAGE(pred_GDP_now!$C25:$Z25)</f>
        <v>1.139933993</v>
      </c>
      <c r="F25" s="12">
        <f>MEDIAN(pred_GDP_now!$C25:$Z25)</f>
        <v>1.23625</v>
      </c>
      <c r="G25" s="14" t="str">
        <f t="array" ref="G25">index(pred_GDP_now!$C$1:$Z$1,1,match(MEDIAN(pred_GDP_now!$C24:$Z24),pred_GDP_now!$C24:$Z24))</f>
        <v>LBVAR</v>
      </c>
      <c r="H25" s="12">
        <f t="array" ref="H25">index(pred_GDP_now!$C25:$Z25,1,match(F24,pred_GDP_now!$C24:$Z24))</f>
        <v>1.260339</v>
      </c>
      <c r="I25" s="14" t="str">
        <f t="array" ref="I25">index(pred_GDP_now!$C$1:$Z$1,1,match(min('Ens_now작업'!$C24:$Z24),'Ens_now작업'!$C24:$Z24,0))</f>
        <v>SVR-KNN</v>
      </c>
      <c r="J25" s="12">
        <f t="array" ref="J25">index(pred_GDP_now!$C25:$Z25,1,match(min('Ens_now작업'!$C24:$Z24),'Ens_now작업'!$C24:$Z24,0))</f>
        <v>1.317399612</v>
      </c>
      <c r="K25" s="12">
        <f>AVERAGE('Ens_now작업2'!$C25:$Z25)</f>
        <v>1.128434654</v>
      </c>
      <c r="L25" s="12">
        <f>AVERAGE('Ens_now작업3'!$C25:$Z25)</f>
        <v>1.322334871</v>
      </c>
      <c r="M25" s="12"/>
      <c r="N25" s="12">
        <f>percentile(pred_GDP_now!$C25:$Z25,0.1)</f>
        <v>0.6726747096</v>
      </c>
      <c r="O25" s="12">
        <f>percentile(pred_GDP_now!$C25:$Z25,0.25)</f>
        <v>0.7271905423</v>
      </c>
      <c r="P25" s="12">
        <f>percentile(pred_GDP_now!$C25:$Z25,0.5)</f>
        <v>1.23625</v>
      </c>
      <c r="Q25" s="12">
        <f>percentile(pred_GDP_now!$C25:$Z25,0.75)</f>
        <v>1.344042903</v>
      </c>
      <c r="R25" s="12">
        <f>percentile(pred_GDP_now!$C25:$Z25,0.9)</f>
        <v>1.7237576</v>
      </c>
      <c r="S25" s="13">
        <f t="shared" si="1"/>
        <v>1.05108289</v>
      </c>
      <c r="T25" s="13">
        <f t="shared" si="2"/>
        <v>0.6168523606</v>
      </c>
    </row>
    <row r="26">
      <c r="A26" s="11">
        <v>202203.0</v>
      </c>
      <c r="B26" s="10">
        <v>0.7</v>
      </c>
      <c r="C26" s="12">
        <f>min(pred_GDP_now!$C26:$Z26)</f>
        <v>0.31368905</v>
      </c>
      <c r="D26" s="12">
        <f>MAX(pred_GDP_now!$C26:$Z26)</f>
        <v>1.517371</v>
      </c>
      <c r="E26" s="12">
        <f>AVERAGE(pred_GDP_now!$C26:$Z26)</f>
        <v>0.8953956259</v>
      </c>
      <c r="F26" s="12">
        <f>MEDIAN(pred_GDP_now!$C26:$Z26)</f>
        <v>0.8732627974</v>
      </c>
      <c r="G26" s="14" t="str">
        <f t="array" ref="G26">index(pred_GDP_now!$C$1:$Z$1,1,match(MEDIAN(pred_GDP_now!$C25:$Z25),pred_GDP_now!$C25:$Z25))</f>
        <v>DFM</v>
      </c>
      <c r="H26" s="12">
        <f t="array" ref="H26">index(pred_GDP_now!$C26:$Z26,1,match(F25,pred_GDP_now!$C25:$Z25))</f>
        <v>1.234848626</v>
      </c>
      <c r="I26" s="14" t="str">
        <f t="array" ref="I26">index(pred_GDP_now!$C$1:$Z$1,1,match(min('Ens_now작업'!$C25:$Z25),'Ens_now작업'!$C25:$Z25,0))</f>
        <v>LQR</v>
      </c>
      <c r="J26" s="12">
        <f t="array" ref="J26">index(pred_GDP_now!$C26:$Z26,1,match(min('Ens_now작업'!$C25:$Z25),'Ens_now작업'!$C25:$Z25,0))</f>
        <v>0.893021</v>
      </c>
      <c r="K26" s="12">
        <f>AVERAGE('Ens_now작업2'!$C26:$Z26)</f>
        <v>0.8316370964</v>
      </c>
      <c r="L26" s="12">
        <f>AVERAGE('Ens_now작업3'!$C26:$Z26)</f>
        <v>0.8124361607</v>
      </c>
      <c r="M26" s="12"/>
      <c r="N26" s="12">
        <f>percentile(pred_GDP_now!$C26:$Z26,0.1)</f>
        <v>0.7113894346</v>
      </c>
      <c r="O26" s="12">
        <f>percentile(pred_GDP_now!$C26:$Z26,0.25)</f>
        <v>0.8384485</v>
      </c>
      <c r="P26" s="12">
        <f>percentile(pred_GDP_now!$C26:$Z26,0.5)</f>
        <v>0.8732627974</v>
      </c>
      <c r="Q26" s="12">
        <f>percentile(pred_GDP_now!$C26:$Z26,0.75)</f>
        <v>0.9495616489</v>
      </c>
      <c r="R26" s="12">
        <f>percentile(pred_GDP_now!$C26:$Z26,0.9)</f>
        <v>1.156942038</v>
      </c>
      <c r="S26" s="13">
        <f t="shared" si="1"/>
        <v>0.4455526036</v>
      </c>
      <c r="T26" s="13">
        <f t="shared" si="2"/>
        <v>0.1111131489</v>
      </c>
    </row>
    <row r="27">
      <c r="A27" s="11">
        <v>202206.0</v>
      </c>
      <c r="B27" s="10">
        <v>0.8</v>
      </c>
      <c r="C27" s="12">
        <f>min(pred_GDP_now!$C27:$Z27)</f>
        <v>0.1856769105</v>
      </c>
      <c r="D27" s="12">
        <f>MAX(pred_GDP_now!$C27:$Z27)</f>
        <v>1.272369</v>
      </c>
      <c r="E27" s="12">
        <f>AVERAGE(pred_GDP_now!$C27:$Z27)</f>
        <v>0.6065099933</v>
      </c>
      <c r="F27" s="12">
        <f>MEDIAN(pred_GDP_now!$C27:$Z27)</f>
        <v>0.5263110299</v>
      </c>
      <c r="G27" s="14" t="str">
        <f t="array" ref="G27">index(pred_GDP_now!$C$1:$Z$1,1,match(MEDIAN(pred_GDP_now!$C26:$Z26),pred_GDP_now!$C26:$Z26))</f>
        <v>BEM2</v>
      </c>
      <c r="H27" s="12">
        <f t="array" ref="H27">index(pred_GDP_now!$C27:$Z27,1,match(F26,pred_GDP_now!$C26:$Z26))</f>
        <v>0.39195</v>
      </c>
      <c r="I27" s="14" t="str">
        <f t="array" ref="I27">index(pred_GDP_now!$C$1:$Z$1,1,match(min('Ens_now작업'!$C26:$Z26),'Ens_now작업'!$C26:$Z26,0))</f>
        <v>LQR</v>
      </c>
      <c r="J27" s="12">
        <f t="array" ref="J27">index(pred_GDP_now!$C27:$Z27,1,match(min('Ens_now작업'!$C26:$Z26),'Ens_now작업'!$C26:$Z26,0))</f>
        <v>0.268611</v>
      </c>
      <c r="K27" s="12">
        <f>AVERAGE('Ens_now작업2'!$C27:$Z27)</f>
        <v>0.3935096119</v>
      </c>
      <c r="L27" s="12">
        <f>AVERAGE('Ens_now작업3'!$C27:$Z27)</f>
        <v>0.3813473532</v>
      </c>
      <c r="M27" s="12"/>
      <c r="N27" s="12">
        <f>percentile(pred_GDP_now!$C27:$Z27,0.1)</f>
        <v>0.3001566</v>
      </c>
      <c r="O27" s="12">
        <f>percentile(pred_GDP_now!$C27:$Z27,0.25)</f>
        <v>0.3853395096</v>
      </c>
      <c r="P27" s="12">
        <f>percentile(pred_GDP_now!$C27:$Z27,0.5)</f>
        <v>0.5263110299</v>
      </c>
      <c r="Q27" s="12">
        <f>percentile(pred_GDP_now!$C27:$Z27,0.75)</f>
        <v>0.7498426253</v>
      </c>
      <c r="R27" s="12">
        <f>percentile(pred_GDP_now!$C27:$Z27,0.9)</f>
        <v>1.046166708</v>
      </c>
      <c r="S27" s="13">
        <f t="shared" si="1"/>
        <v>0.7460101078</v>
      </c>
      <c r="T27" s="13">
        <f t="shared" si="2"/>
        <v>0.3645031157</v>
      </c>
    </row>
    <row r="28">
      <c r="A28" s="11">
        <v>202209.0</v>
      </c>
      <c r="B28" s="10">
        <v>0.2</v>
      </c>
      <c r="C28" s="12">
        <f>min(pred_GDP_now!$C28:$Z28)</f>
        <v>-0.03518208615</v>
      </c>
      <c r="D28" s="12">
        <f>MAX(pred_GDP_now!$C28:$Z28)</f>
        <v>1.04117</v>
      </c>
      <c r="E28" s="12">
        <f>AVERAGE(pred_GDP_now!$C28:$Z28)</f>
        <v>0.4614770848</v>
      </c>
      <c r="F28" s="12">
        <f>MEDIAN(pred_GDP_now!$C28:$Z28)</f>
        <v>0.5056524032</v>
      </c>
      <c r="G28" s="14" t="str">
        <f t="array" ref="G28">index(pred_GDP_now!$C$1:$Z$1,1,match(MEDIAN(pred_GDP_now!$C27:$Z27),pred_GDP_now!$C27:$Z27))</f>
        <v>BEM3</v>
      </c>
      <c r="H28" s="12">
        <f t="array" ref="H28">index(pred_GDP_now!$C28:$Z28,1,match(F27,pred_GDP_now!$C27:$Z27))</f>
        <v>0.340619</v>
      </c>
      <c r="I28" s="14" t="str">
        <f t="array" ref="I28">index(pred_GDP_now!$C$1:$Z$1,1,match(min('Ens_now작업'!$C27:$Z27),'Ens_now작업'!$C27:$Z27,0))</f>
        <v>BEM2</v>
      </c>
      <c r="J28" s="12">
        <f t="array" ref="J28">index(pred_GDP_now!$C28:$Z28,1,match(min('Ens_now작업'!$C27:$Z27),'Ens_now작업'!$C27:$Z27,0))</f>
        <v>0.095254</v>
      </c>
      <c r="K28" s="12">
        <f>AVERAGE('Ens_now작업2'!$C28:$Z28)</f>
        <v>0.3689509885</v>
      </c>
      <c r="L28" s="12">
        <f>AVERAGE('Ens_now작업3'!$C28:$Z28)</f>
        <v>0.2119336667</v>
      </c>
      <c r="M28" s="12"/>
      <c r="N28" s="12">
        <f>percentile(pred_GDP_now!$C28:$Z28,0.1)</f>
        <v>0.09753611041</v>
      </c>
      <c r="O28" s="12">
        <f>percentile(pred_GDP_now!$C28:$Z28,0.25)</f>
        <v>0.2224304423</v>
      </c>
      <c r="P28" s="12">
        <f>percentile(pred_GDP_now!$C28:$Z28,0.5)</f>
        <v>0.5056524032</v>
      </c>
      <c r="Q28" s="12">
        <f>percentile(pred_GDP_now!$C28:$Z28,0.75)</f>
        <v>0.6357439232</v>
      </c>
      <c r="R28" s="12">
        <f>percentile(pred_GDP_now!$C28:$Z28,0.9)</f>
        <v>0.816562441</v>
      </c>
      <c r="S28" s="13">
        <f t="shared" si="1"/>
        <v>0.7190263306</v>
      </c>
      <c r="T28" s="13">
        <f t="shared" si="2"/>
        <v>0.4133134809</v>
      </c>
    </row>
    <row r="29">
      <c r="A29" s="11">
        <v>202212.0</v>
      </c>
      <c r="B29" s="10">
        <v>-0.3</v>
      </c>
      <c r="C29" s="12">
        <f>min(pred_GDP_now!$C29:$Z29)</f>
        <v>-0.93253</v>
      </c>
      <c r="D29" s="12">
        <f>MAX(pred_GDP_now!$C29:$Z29)</f>
        <v>0.4588556508</v>
      </c>
      <c r="E29" s="12">
        <f>AVERAGE(pred_GDP_now!$C29:$Z29)</f>
        <v>-0.3099344122</v>
      </c>
      <c r="F29" s="12">
        <f>MEDIAN(pred_GDP_now!$C29:$Z29)</f>
        <v>-0.4367855</v>
      </c>
      <c r="G29" s="14" t="str">
        <f t="array" ref="G29">index(pred_GDP_now!$C$1:$Z$1,1,match(MEDIAN(pred_GDP_now!$C28:$Z28),pred_GDP_now!$C28:$Z28))</f>
        <v>BEM3</v>
      </c>
      <c r="H29" s="12">
        <f t="array" ref="H29">index(pred_GDP_now!$C29:$Z29,1,match(F28,pred_GDP_now!$C28:$Z28))</f>
        <v>-0.55036</v>
      </c>
      <c r="I29" s="14" t="str">
        <f t="array" ref="I29">index(pred_GDP_now!$C$1:$Z$1,1,match(min('Ens_now작업'!$C28:$Z28),'Ens_now작업'!$C28:$Z28,0))</f>
        <v>LBVAR</v>
      </c>
      <c r="J29" s="12">
        <f t="array" ref="J29">index(pred_GDP_now!$C29:$Z29,1,match(min('Ens_now작업'!$C28:$Z28),'Ens_now작업'!$C28:$Z28,0))</f>
        <v>-0.03764</v>
      </c>
      <c r="K29" s="12">
        <f>AVERAGE('Ens_now작업2'!$C29:$Z29)</f>
        <v>-0.4519481133</v>
      </c>
      <c r="L29" s="12">
        <f>AVERAGE('Ens_now작업3'!$C29:$Z29)</f>
        <v>-0.58501</v>
      </c>
      <c r="M29" s="12"/>
      <c r="N29" s="12">
        <f>percentile(pred_GDP_now!$C29:$Z29,0.1)</f>
        <v>-0.8019866082</v>
      </c>
      <c r="O29" s="12">
        <f>percentile(pred_GDP_now!$C29:$Z29,0.25)</f>
        <v>-0.6815595125</v>
      </c>
      <c r="P29" s="12">
        <f>percentile(pred_GDP_now!$C29:$Z29,0.5)</f>
        <v>-0.4367855</v>
      </c>
      <c r="Q29" s="12">
        <f>percentile(pred_GDP_now!$C29:$Z29,0.75)</f>
        <v>0.0353139219</v>
      </c>
      <c r="R29" s="12">
        <f>percentile(pred_GDP_now!$C29:$Z29,0.9)</f>
        <v>0.2437063501</v>
      </c>
      <c r="S29" s="13">
        <f t="shared" si="1"/>
        <v>1.045692958</v>
      </c>
      <c r="T29" s="13">
        <f t="shared" si="2"/>
        <v>0.7168734344</v>
      </c>
    </row>
    <row r="30">
      <c r="A30" s="11">
        <v>202303.0</v>
      </c>
      <c r="B30" s="10">
        <v>0.3</v>
      </c>
      <c r="C30" s="12">
        <f>min(pred_GDP_now!$C30:$Z30)</f>
        <v>0.05632436648</v>
      </c>
      <c r="D30" s="12">
        <f>MAX(pred_GDP_now!$C30:$Z30)</f>
        <v>0.606136</v>
      </c>
      <c r="E30" s="12">
        <f>AVERAGE(pred_GDP_now!$C30:$Z30)</f>
        <v>0.3766874403</v>
      </c>
      <c r="F30" s="12">
        <f>MEDIAN(pred_GDP_now!$C30:$Z30)</f>
        <v>0.426876</v>
      </c>
      <c r="G30" s="14" t="str">
        <f t="array" ref="G30">index(pred_GDP_now!$C$1:$Z$1,1,match(MEDIAN(pred_GDP_now!$C29:$Z29),pred_GDP_now!$C29:$Z29))</f>
        <v>CRNN</v>
      </c>
      <c r="H30" s="12" t="str">
        <f t="array" ref="H30">index(pred_GDP_now!$C30:$Z30,1,match(F29,pred_GDP_now!$C29:$Z29))</f>
        <v/>
      </c>
      <c r="I30" s="14" t="str">
        <f t="array" ref="I30">index(pred_GDP_now!$C$1:$Z$1,1,match(min('Ens_now작업'!$C29:$Z29),'Ens_now작업'!$C29:$Z29,0))</f>
        <v>BEM1</v>
      </c>
      <c r="J30" s="12">
        <f t="array" ref="J30">index(pred_GDP_now!$C30:$Z30,1,match(min('Ens_now작업'!$C29:$Z29),'Ens_now작업'!$C29:$Z29,0))</f>
        <v>0.32618</v>
      </c>
      <c r="K30" s="12">
        <f>AVERAGE('Ens_now작업2'!$C30:$Z30)</f>
        <v>0.3496529097</v>
      </c>
      <c r="L30" s="12">
        <f>AVERAGE('Ens_now작업3'!$C30:$Z30)</f>
        <v>0.3239118796</v>
      </c>
      <c r="N30" s="12">
        <f>percentile(pred_GDP_now!$C30:$Z30,0.1)</f>
        <v>0.1638960733</v>
      </c>
      <c r="O30" s="12">
        <f>percentile(pred_GDP_now!$C30:$Z30,0.25)</f>
        <v>0.32618</v>
      </c>
      <c r="P30" s="12">
        <f>percentile(pred_GDP_now!$C30:$Z30,0.5)</f>
        <v>0.426876</v>
      </c>
      <c r="Q30" s="12">
        <f>percentile(pred_GDP_now!$C30:$Z30,0.75)</f>
        <v>0.4547666388</v>
      </c>
      <c r="R30" s="12">
        <f>percentile(pred_GDP_now!$C30:$Z30,0.9)</f>
        <v>0.533398776</v>
      </c>
      <c r="S30" s="13">
        <f t="shared" si="1"/>
        <v>0.3695027027</v>
      </c>
      <c r="T30" s="13">
        <f t="shared" si="2"/>
        <v>0.1285866388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0" max="10" width="16.75"/>
  </cols>
  <sheetData>
    <row r="1">
      <c r="A1" s="9"/>
      <c r="B1" s="10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H1" s="2" t="s">
        <v>108</v>
      </c>
      <c r="J1" s="2" t="s">
        <v>110</v>
      </c>
      <c r="K1" s="2" t="s">
        <v>111</v>
      </c>
      <c r="L1" s="2" t="s">
        <v>111</v>
      </c>
    </row>
    <row r="2">
      <c r="A2" s="11">
        <v>201603.0</v>
      </c>
      <c r="B2" s="10">
        <v>0.3</v>
      </c>
      <c r="C2" s="12">
        <f>abs(pred_Ens_now!C2-pred_Ens_now!$B2)</f>
        <v>0.58277946</v>
      </c>
      <c r="D2" s="12">
        <f>abs(pred_Ens_now!D2-pred_Ens_now!$B2)</f>
        <v>0.5197947938</v>
      </c>
      <c r="E2" s="12">
        <f>abs(pred_Ens_now!E2-pred_Ens_now!$B2)</f>
        <v>0.05540902884</v>
      </c>
      <c r="F2" s="12">
        <f>abs(pred_Ens_now!F2-pred_Ens_now!$B2)</f>
        <v>0.02690349736</v>
      </c>
      <c r="G2" s="12"/>
      <c r="H2" s="12"/>
      <c r="I2" s="12"/>
      <c r="J2" s="12"/>
      <c r="K2" s="12"/>
      <c r="L2" s="12"/>
      <c r="M2" s="12"/>
      <c r="N2" s="12"/>
    </row>
    <row r="3">
      <c r="A3" s="11">
        <v>201606.0</v>
      </c>
      <c r="B3" s="10">
        <v>1.2</v>
      </c>
      <c r="C3" s="12">
        <f>abs(pred_Ens_now!C3-pred_Ens_now!$B3)</f>
        <v>0.848571</v>
      </c>
      <c r="D3" s="12">
        <f>abs(pred_Ens_now!D3-pred_Ens_now!$B3)</f>
        <v>0.5542190552</v>
      </c>
      <c r="E3" s="12">
        <f>abs(pred_Ens_now!E3-pred_Ens_now!$B3)</f>
        <v>0.2608009111</v>
      </c>
      <c r="F3" s="12">
        <f>abs(pred_Ens_now!F3-pred_Ens_now!$B3)</f>
        <v>0.2991201759</v>
      </c>
      <c r="G3" s="12"/>
      <c r="H3" s="12"/>
      <c r="I3" s="12"/>
      <c r="J3" s="12"/>
      <c r="K3" s="12"/>
      <c r="L3" s="12"/>
      <c r="M3" s="12"/>
      <c r="N3" s="12"/>
    </row>
    <row r="4">
      <c r="A4" s="11">
        <v>201609.0</v>
      </c>
      <c r="B4" s="10">
        <v>0.4</v>
      </c>
      <c r="C4" s="12">
        <f>abs(pred_Ens_now!C4-pred_Ens_now!$B4)</f>
        <v>0.042873</v>
      </c>
      <c r="D4" s="12">
        <f>abs(pred_Ens_now!D4-pred_Ens_now!$B4)</f>
        <v>0.5535111578</v>
      </c>
      <c r="E4" s="12">
        <f>abs(pred_Ens_now!E4-pred_Ens_now!$B4)</f>
        <v>0.3132830156</v>
      </c>
      <c r="F4" s="12">
        <f>abs(pred_Ens_now!F4-pred_Ens_now!$B4)</f>
        <v>0.29082605</v>
      </c>
      <c r="G4" s="12"/>
      <c r="H4" s="12"/>
      <c r="I4" s="12"/>
      <c r="J4" s="12"/>
      <c r="K4" s="12"/>
      <c r="L4" s="12"/>
      <c r="M4" s="12"/>
      <c r="N4" s="12"/>
    </row>
    <row r="5">
      <c r="A5" s="11">
        <v>201612.0</v>
      </c>
      <c r="B5" s="10">
        <v>0.6</v>
      </c>
      <c r="C5" s="12">
        <f>abs(pred_Ens_now!C5-pred_Ens_now!$B5)</f>
        <v>0.024246</v>
      </c>
      <c r="D5" s="12">
        <f>abs(pred_Ens_now!D5-pred_Ens_now!$B5)</f>
        <v>0.736816</v>
      </c>
      <c r="E5" s="12">
        <f>abs(pred_Ens_now!E5-pred_Ens_now!$B5)</f>
        <v>0.323404178</v>
      </c>
      <c r="F5" s="12">
        <f>abs(pred_Ens_now!F5-pred_Ens_now!$B5)</f>
        <v>0.3167330532</v>
      </c>
      <c r="G5" s="12"/>
      <c r="H5" s="12"/>
      <c r="I5" s="12"/>
      <c r="J5" s="12"/>
      <c r="K5" s="12"/>
      <c r="L5" s="12"/>
      <c r="M5" s="12"/>
      <c r="N5" s="12"/>
    </row>
    <row r="6">
      <c r="A6" s="11">
        <v>201703.0</v>
      </c>
      <c r="B6" s="10">
        <v>1.0</v>
      </c>
      <c r="C6" s="12">
        <f>abs(pred_Ens_now!C6-pred_Ens_now!$B6)</f>
        <v>0.352409</v>
      </c>
      <c r="D6" s="12">
        <f>abs(pred_Ens_now!D6-pred_Ens_now!$B6)</f>
        <v>0.447208</v>
      </c>
      <c r="E6" s="12">
        <f>abs(pred_Ens_now!E6-pred_Ens_now!$B6)</f>
        <v>0.05545228301</v>
      </c>
      <c r="F6" s="12">
        <f>abs(pred_Ens_now!F6-pred_Ens_now!$B6)</f>
        <v>0.07566611792</v>
      </c>
      <c r="G6" s="12"/>
      <c r="H6" s="12"/>
      <c r="I6" s="12"/>
      <c r="J6" s="12"/>
      <c r="K6" s="12"/>
      <c r="L6" s="12"/>
      <c r="M6" s="12"/>
      <c r="N6" s="12"/>
    </row>
    <row r="7">
      <c r="A7" s="11">
        <v>201706.0</v>
      </c>
      <c r="B7" s="10">
        <v>0.8</v>
      </c>
      <c r="C7" s="12">
        <f>abs(pred_Ens_now!C7-pred_Ens_now!$B7)</f>
        <v>0.2916392204</v>
      </c>
      <c r="D7" s="12">
        <f>abs(pred_Ens_now!D7-pred_Ens_now!$B7)</f>
        <v>0.484572</v>
      </c>
      <c r="E7" s="12">
        <f>abs(pred_Ens_now!E7-pred_Ens_now!$B7)</f>
        <v>0.1393150114</v>
      </c>
      <c r="F7" s="12">
        <f>abs(pred_Ens_now!F7-pred_Ens_now!$B7)</f>
        <v>0.1451454581</v>
      </c>
      <c r="G7" s="12"/>
      <c r="H7" s="12">
        <f>abs(pred_Ens_now!H7-pred_Ens_now!$B7)</f>
        <v>0.1448839162</v>
      </c>
      <c r="I7" s="12"/>
      <c r="J7" s="12">
        <f>abs(pred_Ens_now!J7-pred_Ens_now!$B7)</f>
        <v>0.308525</v>
      </c>
      <c r="K7" s="12">
        <f>abs(pred_Ens_now!K7-pred_Ens_now!$B7)</f>
        <v>0.2449861677</v>
      </c>
      <c r="L7" s="12">
        <f>abs(pred_Ens_now!L7-pred_Ens_now!$B7)</f>
        <v>0.283297</v>
      </c>
      <c r="M7" s="12"/>
      <c r="N7" s="12"/>
    </row>
    <row r="8">
      <c r="A8" s="11">
        <v>201709.0</v>
      </c>
      <c r="B8" s="10">
        <v>1.4</v>
      </c>
      <c r="C8" s="12">
        <f>abs(pred_Ens_now!C8-pred_Ens_now!$B8)</f>
        <v>1.124247</v>
      </c>
      <c r="D8" s="12">
        <f>abs(pred_Ens_now!D8-pred_Ens_now!$B8)</f>
        <v>0.426198</v>
      </c>
      <c r="E8" s="12">
        <f>abs(pred_Ens_now!E8-pred_Ens_now!$B8)</f>
        <v>0.6734080179</v>
      </c>
      <c r="F8" s="12">
        <f>abs(pred_Ens_now!F8-pred_Ens_now!$B8)</f>
        <v>0.6280448734</v>
      </c>
      <c r="G8" s="12"/>
      <c r="H8" s="12">
        <f>abs(pred_Ens_now!H8-pred_Ens_now!$B8)</f>
        <v>0.5995486964</v>
      </c>
      <c r="I8" s="12"/>
      <c r="J8" s="12">
        <f>abs(pred_Ens_now!J8-pred_Ens_now!$B8)</f>
        <v>1.124247</v>
      </c>
      <c r="K8" s="12">
        <f>abs(pred_Ens_now!K8-pred_Ens_now!$B8)</f>
        <v>0.8562485622</v>
      </c>
      <c r="L8" s="12">
        <f>abs(pred_Ens_now!L8-pred_Ens_now!$B8)</f>
        <v>1.079101667</v>
      </c>
      <c r="M8" s="12"/>
      <c r="N8" s="12"/>
    </row>
    <row r="9">
      <c r="A9" s="11">
        <v>201712.0</v>
      </c>
      <c r="B9" s="10">
        <v>-0.3</v>
      </c>
      <c r="C9" s="12">
        <f>abs(pred_Ens_now!C9-pred_Ens_now!$B9)</f>
        <v>0.654928</v>
      </c>
      <c r="D9" s="12">
        <f>abs(pred_Ens_now!D9-pred_Ens_now!$B9)</f>
        <v>1.687553</v>
      </c>
      <c r="E9" s="12">
        <f>abs(pred_Ens_now!E9-pred_Ens_now!$B9)</f>
        <v>1.063344758</v>
      </c>
      <c r="F9" s="12">
        <f>abs(pred_Ens_now!F9-pred_Ens_now!$B9)</f>
        <v>1.031302195</v>
      </c>
      <c r="G9" s="12"/>
      <c r="H9" s="12">
        <f>abs(pred_Ens_now!H9-pred_Ens_now!$B9)</f>
        <v>1.195778</v>
      </c>
      <c r="I9" s="12"/>
      <c r="J9" s="12">
        <f>abs(pred_Ens_now!J9-pred_Ens_now!$B9)</f>
        <v>0.654928</v>
      </c>
      <c r="K9" s="12">
        <f>abs(pred_Ens_now!K9-pred_Ens_now!$B9)</f>
        <v>1.024021628</v>
      </c>
      <c r="L9" s="12">
        <f>abs(pred_Ens_now!L9-pred_Ens_now!$B9)</f>
        <v>0.9414923333</v>
      </c>
      <c r="M9" s="12"/>
      <c r="N9" s="12"/>
    </row>
    <row r="10">
      <c r="A10" s="11">
        <v>201803.0</v>
      </c>
      <c r="B10" s="10">
        <v>1.3</v>
      </c>
      <c r="C10" s="12">
        <f>abs(pred_Ens_now!C10-pred_Ens_now!$B10)</f>
        <v>0.621278</v>
      </c>
      <c r="D10" s="12">
        <f>abs(pred_Ens_now!D10-pred_Ens_now!$B10)</f>
        <v>0.41661</v>
      </c>
      <c r="E10" s="12">
        <f>abs(pred_Ens_now!E10-pred_Ens_now!$B10)</f>
        <v>0.3513267684</v>
      </c>
      <c r="F10" s="12">
        <f>abs(pred_Ens_now!F10-pred_Ens_now!$B10)</f>
        <v>0.4274195</v>
      </c>
      <c r="G10" s="12"/>
      <c r="H10" s="12">
        <f>abs(pred_Ens_now!H10-pred_Ens_now!$B10)</f>
        <v>0.49558966</v>
      </c>
      <c r="I10" s="12"/>
      <c r="J10" s="12">
        <f>abs(pred_Ens_now!J10-pred_Ens_now!$B10)</f>
        <v>0.546515</v>
      </c>
      <c r="K10" s="12">
        <f>abs(pred_Ens_now!K10-pred_Ens_now!$B10)</f>
        <v>0.3895819518</v>
      </c>
      <c r="L10" s="12">
        <f>abs(pred_Ens_now!L10-pred_Ens_now!$B10)</f>
        <v>0.3658899055</v>
      </c>
      <c r="M10" s="12"/>
      <c r="N10" s="12"/>
    </row>
    <row r="11">
      <c r="A11" s="11">
        <v>201806.0</v>
      </c>
      <c r="B11" s="10">
        <v>0.7</v>
      </c>
      <c r="C11" s="12">
        <f>abs(pred_Ens_now!C11-pred_Ens_now!$B11)</f>
        <v>0.38374</v>
      </c>
      <c r="D11" s="12">
        <f>abs(pred_Ens_now!D11-pred_Ens_now!$B11)</f>
        <v>0.6132168055</v>
      </c>
      <c r="E11" s="12">
        <f>abs(pred_Ens_now!E11-pred_Ens_now!$B11)</f>
        <v>0.02127072445</v>
      </c>
      <c r="F11" s="12">
        <f>abs(pred_Ens_now!F11-pred_Ens_now!$B11)</f>
        <v>0.08493605</v>
      </c>
      <c r="G11" s="12"/>
      <c r="H11" s="12">
        <f>abs(pred_Ens_now!H11-pred_Ens_now!$B11)</f>
        <v>0.38374</v>
      </c>
      <c r="I11" s="12"/>
      <c r="J11" s="12">
        <f>abs(pred_Ens_now!J11-pred_Ens_now!$B11)</f>
        <v>0.137201</v>
      </c>
      <c r="K11" s="12">
        <f>abs(pred_Ens_now!K11-pred_Ens_now!$B11)</f>
        <v>0.06974983209</v>
      </c>
      <c r="L11" s="12">
        <f>abs(pred_Ens_now!L11-pred_Ens_now!$B11)</f>
        <v>0.0007874224147</v>
      </c>
      <c r="M11" s="12"/>
      <c r="N11" s="12"/>
    </row>
    <row r="12">
      <c r="A12" s="11">
        <v>201809.0</v>
      </c>
      <c r="B12" s="10">
        <v>0.6</v>
      </c>
      <c r="C12" s="12">
        <f>abs(pred_Ens_now!C12-pred_Ens_now!$B12)</f>
        <v>0.279481</v>
      </c>
      <c r="D12" s="12">
        <f>abs(pred_Ens_now!D12-pred_Ens_now!$B12)</f>
        <v>0.4800162974</v>
      </c>
      <c r="E12" s="12">
        <f>abs(pred_Ens_now!E12-pred_Ens_now!$B12)</f>
        <v>0.03921067236</v>
      </c>
      <c r="F12" s="12">
        <f>abs(pred_Ens_now!F12-pred_Ens_now!$B12)</f>
        <v>0.00749366998</v>
      </c>
      <c r="G12" s="12"/>
      <c r="H12" s="12">
        <f>abs(pred_Ens_now!H12-pred_Ens_now!$B12)</f>
        <v>0.4457687842</v>
      </c>
      <c r="I12" s="12"/>
      <c r="J12" s="12">
        <f>abs(pred_Ens_now!J12-pred_Ens_now!$B12)</f>
        <v>0.00425636097</v>
      </c>
      <c r="K12" s="12">
        <f>abs(pred_Ens_now!K12-pred_Ens_now!$B12)</f>
        <v>0.1074278105</v>
      </c>
      <c r="L12" s="12">
        <f>abs(pred_Ens_now!L12-pred_Ens_now!$B12)</f>
        <v>0.02894288668</v>
      </c>
      <c r="M12" s="12"/>
      <c r="N12" s="12"/>
    </row>
    <row r="13">
      <c r="A13" s="11">
        <v>201812.0</v>
      </c>
      <c r="B13" s="10">
        <v>0.6</v>
      </c>
      <c r="C13" s="12">
        <f>abs(pred_Ens_now!C13-pred_Ens_now!$B13)</f>
        <v>0.62169</v>
      </c>
      <c r="D13" s="12">
        <f>abs(pred_Ens_now!D13-pred_Ens_now!$B13)</f>
        <v>0.5399712853</v>
      </c>
      <c r="E13" s="12">
        <f>abs(pred_Ens_now!E13-pred_Ens_now!$B13)</f>
        <v>0.1746393116</v>
      </c>
      <c r="F13" s="12">
        <f>abs(pred_Ens_now!F13-pred_Ens_now!$B13)</f>
        <v>0.2191101297</v>
      </c>
      <c r="G13" s="12"/>
      <c r="H13" s="12">
        <f>abs(pred_Ens_now!H13-pred_Ens_now!$B13)</f>
        <v>0.149574</v>
      </c>
      <c r="I13" s="12"/>
      <c r="J13" s="12">
        <f>abs(pred_Ens_now!J13-pred_Ens_now!$B13)</f>
        <v>0.1468817216</v>
      </c>
      <c r="K13" s="12">
        <f>abs(pred_Ens_now!K13-pred_Ens_now!$B13)</f>
        <v>0.06405138198</v>
      </c>
      <c r="L13" s="12">
        <f>abs(pred_Ens_now!L13-pred_Ens_now!$B13)</f>
        <v>0.1753732405</v>
      </c>
      <c r="M13" s="12"/>
      <c r="N13" s="12"/>
    </row>
    <row r="14">
      <c r="A14" s="11">
        <v>201903.0</v>
      </c>
      <c r="B14" s="10">
        <v>-0.1</v>
      </c>
      <c r="C14" s="12">
        <f>abs(pred_Ens_now!C14-pred_Ens_now!$B14)</f>
        <v>0.467977</v>
      </c>
      <c r="D14" s="12">
        <f>abs(pred_Ens_now!D14-pred_Ens_now!$B14)</f>
        <v>0.85638</v>
      </c>
      <c r="E14" s="12">
        <f>abs(pred_Ens_now!E14-pred_Ens_now!$B14)</f>
        <v>0.3325297513</v>
      </c>
      <c r="F14" s="12">
        <f>abs(pred_Ens_now!F14-pred_Ens_now!$B14)</f>
        <v>0.359024</v>
      </c>
      <c r="G14" s="12"/>
      <c r="H14" s="12">
        <f>abs(pred_Ens_now!H14-pred_Ens_now!$B14)</f>
        <v>0.256505</v>
      </c>
      <c r="I14" s="12"/>
      <c r="J14" s="12">
        <f>abs(pred_Ens_now!J14-pred_Ens_now!$B14)</f>
        <v>0.01380994902</v>
      </c>
      <c r="K14" s="12">
        <f>abs(pred_Ens_now!K14-pred_Ens_now!$B14)</f>
        <v>0.1000523741</v>
      </c>
      <c r="L14" s="12">
        <f>abs(pred_Ens_now!L14-pred_Ens_now!$B14)</f>
        <v>0.08638962349</v>
      </c>
      <c r="M14" s="12"/>
      <c r="N14" s="12"/>
    </row>
    <row r="15">
      <c r="A15" s="11">
        <v>201906.0</v>
      </c>
      <c r="B15" s="10">
        <v>1.1</v>
      </c>
      <c r="C15" s="12">
        <f>abs(pred_Ens_now!C15-pred_Ens_now!$B15)</f>
        <v>0.5871112</v>
      </c>
      <c r="D15" s="12">
        <f>abs(pred_Ens_now!D15-pred_Ens_now!$B15)</f>
        <v>0.20905509</v>
      </c>
      <c r="E15" s="12">
        <f>abs(pred_Ens_now!E15-pred_Ens_now!$B15)</f>
        <v>0.1444357388</v>
      </c>
      <c r="F15" s="12">
        <f>abs(pred_Ens_now!F15-pred_Ens_now!$B15)</f>
        <v>0.1730095</v>
      </c>
      <c r="G15" s="12"/>
      <c r="H15" s="12">
        <f>abs(pred_Ens_now!H15-pred_Ens_now!$B15)</f>
        <v>0.296762</v>
      </c>
      <c r="I15" s="12"/>
      <c r="J15" s="12">
        <f>abs(pred_Ens_now!J15-pred_Ens_now!$B15)</f>
        <v>0.2270205426</v>
      </c>
      <c r="K15" s="12">
        <f>abs(pred_Ens_now!K15-pred_Ens_now!$B15)</f>
        <v>0.2163650374</v>
      </c>
      <c r="L15" s="12">
        <f>abs(pred_Ens_now!L15-pred_Ens_now!$B15)</f>
        <v>0.227081878</v>
      </c>
      <c r="M15" s="12"/>
      <c r="N15" s="12"/>
    </row>
    <row r="16">
      <c r="A16" s="11">
        <v>201909.0</v>
      </c>
      <c r="B16" s="10">
        <v>0.4</v>
      </c>
      <c r="C16" s="12">
        <f>abs(pred_Ens_now!C16-pred_Ens_now!$B16)</f>
        <v>0.048457</v>
      </c>
      <c r="D16" s="12">
        <f>abs(pred_Ens_now!D16-pred_Ens_now!$B16)</f>
        <v>0.7893855</v>
      </c>
      <c r="E16" s="12">
        <f>abs(pred_Ens_now!E16-pred_Ens_now!$B16)</f>
        <v>0.3006272988</v>
      </c>
      <c r="F16" s="12">
        <f>abs(pred_Ens_now!F16-pred_Ens_now!$B16)</f>
        <v>0.2900954712</v>
      </c>
      <c r="G16" s="12"/>
      <c r="H16" s="12">
        <f>abs(pred_Ens_now!H16-pred_Ens_now!$B16)</f>
        <v>0.3044653447</v>
      </c>
      <c r="I16" s="12"/>
      <c r="J16" s="12">
        <f>abs(pred_Ens_now!J16-pred_Ens_now!$B16)</f>
        <v>0.07015825794</v>
      </c>
      <c r="K16" s="12">
        <f>abs(pred_Ens_now!K16-pred_Ens_now!$B16)</f>
        <v>0.1839068516</v>
      </c>
      <c r="L16" s="12">
        <f>abs(pred_Ens_now!L16-pred_Ens_now!$B16)</f>
        <v>0.07714375265</v>
      </c>
      <c r="M16" s="12"/>
      <c r="N16" s="12"/>
    </row>
    <row r="17">
      <c r="A17" s="11">
        <v>201912.0</v>
      </c>
      <c r="B17" s="10">
        <v>1.2</v>
      </c>
      <c r="C17" s="12">
        <f>abs(pred_Ens_now!C17-pred_Ens_now!$B17)</f>
        <v>1.122979169</v>
      </c>
      <c r="D17" s="12">
        <f>abs(pred_Ens_now!D17-pred_Ens_now!$B17)</f>
        <v>0.07538259188</v>
      </c>
      <c r="E17" s="12">
        <f>abs(pred_Ens_now!E17-pred_Ens_now!$B17)</f>
        <v>0.5285505432</v>
      </c>
      <c r="F17" s="12">
        <f>abs(pred_Ens_now!F17-pred_Ens_now!$B17)</f>
        <v>0.5371307509</v>
      </c>
      <c r="G17" s="12"/>
      <c r="H17" s="12">
        <f>abs(pred_Ens_now!H17-pred_Ens_now!$B17)</f>
        <v>0.3021984045</v>
      </c>
      <c r="I17" s="12"/>
      <c r="J17" s="12">
        <f>abs(pred_Ens_now!J17-pred_Ens_now!$B17)</f>
        <v>0.3021984045</v>
      </c>
      <c r="K17" s="12">
        <f>abs(pred_Ens_now!K17-pred_Ens_now!$B17)</f>
        <v>0.4859421758</v>
      </c>
      <c r="L17" s="12">
        <f>abs(pred_Ens_now!L17-pred_Ens_now!$B17)</f>
        <v>0.4097071348</v>
      </c>
      <c r="M17" s="12"/>
      <c r="N17" s="12"/>
    </row>
    <row r="18">
      <c r="A18" s="11">
        <v>202003.0</v>
      </c>
      <c r="B18" s="10">
        <v>-1.3</v>
      </c>
      <c r="C18" s="12">
        <f>abs(pred_Ens_now!C18-pred_Ens_now!$B18)</f>
        <v>0.57868134</v>
      </c>
      <c r="D18" s="12">
        <f>abs(pred_Ens_now!D18-pred_Ens_now!$B18)</f>
        <v>2.139619</v>
      </c>
      <c r="E18" s="12">
        <f>abs(pred_Ens_now!E18-pred_Ens_now!$B18)</f>
        <v>1.412105309</v>
      </c>
      <c r="F18" s="12">
        <f>abs(pred_Ens_now!F18-pred_Ens_now!$B18)</f>
        <v>1.345004424</v>
      </c>
      <c r="G18" s="12"/>
      <c r="H18" s="12">
        <f>abs(pred_Ens_now!H18-pred_Ens_now!$B18)</f>
        <v>1.579367</v>
      </c>
      <c r="I18" s="12"/>
      <c r="J18" s="12">
        <f>abs(pred_Ens_now!J18-pred_Ens_now!$B18)</f>
        <v>1.531873809</v>
      </c>
      <c r="K18" s="12">
        <f>abs(pred_Ens_now!K18-pred_Ens_now!$B18)</f>
        <v>1.366377582</v>
      </c>
      <c r="L18" s="12">
        <f>abs(pred_Ens_now!L18-pred_Ens_now!$B18)</f>
        <v>1.362578354</v>
      </c>
      <c r="M18" s="12"/>
      <c r="N18" s="12"/>
    </row>
    <row r="19">
      <c r="A19" s="11">
        <v>202006.0</v>
      </c>
      <c r="B19" s="10">
        <v>-3.0</v>
      </c>
      <c r="C19" s="12">
        <f>abs(pred_Ens_now!C19-pred_Ens_now!$B19)</f>
        <v>4.82413</v>
      </c>
      <c r="D19" s="12">
        <f>abs(pred_Ens_now!D19-pred_Ens_now!$B19)</f>
        <v>3.39227682</v>
      </c>
      <c r="E19" s="12">
        <f>abs(pred_Ens_now!E19-pred_Ens_now!$B19)</f>
        <v>1.43758847</v>
      </c>
      <c r="F19" s="12">
        <f>abs(pred_Ens_now!F19-pred_Ens_now!$B19)</f>
        <v>1.926945494</v>
      </c>
      <c r="G19" s="12"/>
      <c r="H19" s="12">
        <f>abs(pred_Ens_now!H19-pred_Ens_now!$B19)</f>
        <v>1.83879</v>
      </c>
      <c r="I19" s="12"/>
      <c r="J19" s="12">
        <f>abs(pred_Ens_now!J19-pred_Ens_now!$B19)</f>
        <v>2.283090413</v>
      </c>
      <c r="K19" s="12">
        <f>abs(pred_Ens_now!K19-pred_Ens_now!$B19)</f>
        <v>2.371317419</v>
      </c>
      <c r="L19" s="12">
        <f>abs(pred_Ens_now!L19-pred_Ens_now!$B19)</f>
        <v>2.049403991</v>
      </c>
      <c r="M19" s="12"/>
      <c r="N19" s="12"/>
    </row>
    <row r="20">
      <c r="A20" s="11">
        <v>202009.0</v>
      </c>
      <c r="B20" s="10">
        <v>2.3</v>
      </c>
      <c r="C20" s="12">
        <f>abs(pred_Ens_now!C20-pred_Ens_now!$B20)</f>
        <v>1.477096</v>
      </c>
      <c r="D20" s="12">
        <f>abs(pred_Ens_now!D20-pred_Ens_now!$B20)</f>
        <v>2.046511</v>
      </c>
      <c r="E20" s="12">
        <f>abs(pred_Ens_now!E20-pred_Ens_now!$B20)</f>
        <v>0.4237795641</v>
      </c>
      <c r="F20" s="12">
        <f>abs(pred_Ens_now!F20-pred_Ens_now!$B20)</f>
        <v>0.6732802857</v>
      </c>
      <c r="G20" s="12"/>
      <c r="H20" s="12">
        <f>abs(pred_Ens_now!H20-pred_Ens_now!$B20)</f>
        <v>1.085918</v>
      </c>
      <c r="I20" s="12"/>
      <c r="J20" s="12">
        <f>abs(pred_Ens_now!J20-pred_Ens_now!$B20)</f>
        <v>0.1220964995</v>
      </c>
      <c r="K20" s="12">
        <f>abs(pred_Ens_now!K20-pred_Ens_now!$B20)</f>
        <v>0.2102159072</v>
      </c>
      <c r="L20" s="12">
        <f>abs(pred_Ens_now!L20-pred_Ens_now!$B20)</f>
        <v>0.03090524545</v>
      </c>
      <c r="M20" s="12"/>
      <c r="N20" s="12"/>
    </row>
    <row r="21">
      <c r="A21" s="11">
        <v>202012.0</v>
      </c>
      <c r="B21" s="10">
        <v>1.3</v>
      </c>
      <c r="C21" s="12">
        <f>abs(pred_Ens_now!C21-pred_Ens_now!$B21)</f>
        <v>1.03604664</v>
      </c>
      <c r="D21" s="12">
        <f>abs(pred_Ens_now!D21-pred_Ens_now!$B21)</f>
        <v>2.095491</v>
      </c>
      <c r="E21" s="12">
        <f>abs(pred_Ens_now!E21-pred_Ens_now!$B21)</f>
        <v>0.1255063314</v>
      </c>
      <c r="F21" s="12">
        <f>abs(pred_Ens_now!F21-pred_Ens_now!$B21)</f>
        <v>0.1777279763</v>
      </c>
      <c r="G21" s="12"/>
      <c r="H21" s="12">
        <f>abs(pred_Ens_now!H21-pred_Ens_now!$B21)</f>
        <v>0.646373</v>
      </c>
      <c r="I21" s="12"/>
      <c r="J21" s="12">
        <f>abs(pred_Ens_now!J21-pred_Ens_now!$B21)</f>
        <v>0.646373</v>
      </c>
      <c r="K21" s="12">
        <f>abs(pred_Ens_now!K21-pred_Ens_now!$B21)</f>
        <v>0.3278975936</v>
      </c>
      <c r="L21" s="12">
        <f>abs(pred_Ens_now!L21-pred_Ens_now!$B21)</f>
        <v>0.2729735579</v>
      </c>
      <c r="M21" s="12"/>
      <c r="N21" s="12"/>
    </row>
    <row r="22">
      <c r="A22" s="11">
        <v>202103.0</v>
      </c>
      <c r="B22" s="10">
        <v>1.8</v>
      </c>
      <c r="C22" s="12">
        <f>abs(pred_Ens_now!C22-pred_Ens_now!$B22)</f>
        <v>1.091203515</v>
      </c>
      <c r="D22" s="12">
        <f>abs(pred_Ens_now!D22-pred_Ens_now!$B22)</f>
        <v>1.554077</v>
      </c>
      <c r="E22" s="12">
        <f>abs(pred_Ens_now!E22-pred_Ens_now!$B22)</f>
        <v>0.3400817337</v>
      </c>
      <c r="F22" s="12">
        <f>abs(pred_Ens_now!F22-pred_Ens_now!$B22)</f>
        <v>0.48940185</v>
      </c>
      <c r="G22" s="12"/>
      <c r="H22" s="12">
        <f>abs(pred_Ens_now!H22-pred_Ens_now!$B22)</f>
        <v>0.3898388624</v>
      </c>
      <c r="I22" s="12"/>
      <c r="J22" s="12">
        <f>abs(pred_Ens_now!J22-pred_Ens_now!$B22)</f>
        <v>0.67414</v>
      </c>
      <c r="K22" s="12">
        <f>abs(pred_Ens_now!K22-pred_Ens_now!$B22)</f>
        <v>0.3608926985</v>
      </c>
      <c r="L22" s="12">
        <f>abs(pred_Ens_now!L22-pred_Ens_now!$B22)</f>
        <v>0.3865378309</v>
      </c>
      <c r="M22" s="12"/>
      <c r="N22" s="12"/>
    </row>
    <row r="23">
      <c r="A23" s="11">
        <v>202106.0</v>
      </c>
      <c r="B23" s="10">
        <v>0.9</v>
      </c>
      <c r="C23" s="12">
        <f>abs(pred_Ens_now!C23-pred_Ens_now!$B23)</f>
        <v>0.127765</v>
      </c>
      <c r="D23" s="12">
        <f>abs(pred_Ens_now!D23-pred_Ens_now!$B23)</f>
        <v>1.071539653</v>
      </c>
      <c r="E23" s="12">
        <f>abs(pred_Ens_now!E23-pred_Ens_now!$B23)</f>
        <v>0.2890048306</v>
      </c>
      <c r="F23" s="12">
        <f>abs(pred_Ens_now!F23-pred_Ens_now!$B23)</f>
        <v>0.2239559339</v>
      </c>
      <c r="G23" s="12"/>
      <c r="H23" s="12">
        <f>abs(pred_Ens_now!H23-pred_Ens_now!$B23)</f>
        <v>0.07950992887</v>
      </c>
      <c r="I23" s="12"/>
      <c r="J23" s="12">
        <f>abs(pred_Ens_now!J23-pred_Ens_now!$B23)</f>
        <v>0.4107089996</v>
      </c>
      <c r="K23" s="12">
        <f>abs(pred_Ens_now!K23-pred_Ens_now!$B23)</f>
        <v>0.124259086</v>
      </c>
      <c r="L23" s="12">
        <f>abs(pred_Ens_now!L23-pred_Ens_now!$B23)</f>
        <v>0.1933589999</v>
      </c>
      <c r="M23" s="12"/>
      <c r="N23" s="12"/>
    </row>
    <row r="24">
      <c r="A24" s="11">
        <v>202109.0</v>
      </c>
      <c r="B24" s="10">
        <v>0.1</v>
      </c>
      <c r="C24" s="12">
        <f>abs(pred_Ens_now!C24-pred_Ens_now!$B24)</f>
        <v>0.18534</v>
      </c>
      <c r="D24" s="12">
        <f>abs(pred_Ens_now!D24-pred_Ens_now!$B24)</f>
        <v>1.483217518</v>
      </c>
      <c r="E24" s="12">
        <f>abs(pred_Ens_now!E24-pred_Ens_now!$B24)</f>
        <v>0.695149749</v>
      </c>
      <c r="F24" s="12">
        <f>abs(pred_Ens_now!F24-pred_Ens_now!$B24)</f>
        <v>0.7461182811</v>
      </c>
      <c r="G24" s="12"/>
      <c r="H24" s="12">
        <f>abs(pred_Ens_now!H24-pred_Ens_now!$B24)</f>
        <v>0.491745</v>
      </c>
      <c r="I24" s="12"/>
      <c r="J24" s="12">
        <f>abs(pred_Ens_now!J24-pred_Ens_now!$B24)</f>
        <v>0.8060195088</v>
      </c>
      <c r="K24" s="12">
        <f>abs(pred_Ens_now!K24-pred_Ens_now!$B24)</f>
        <v>0.7355189612</v>
      </c>
      <c r="L24" s="12">
        <f>abs(pred_Ens_now!L24-pred_Ens_now!$B24)</f>
        <v>0.7441367488</v>
      </c>
      <c r="M24" s="12"/>
      <c r="N24" s="12"/>
    </row>
    <row r="25">
      <c r="A25" s="11">
        <v>202112.0</v>
      </c>
      <c r="B25" s="10">
        <v>1.4</v>
      </c>
      <c r="C25" s="12">
        <f>abs(pred_Ens_now!C25-pred_Ens_now!$B25)</f>
        <v>0.826486226</v>
      </c>
      <c r="D25" s="12">
        <f>abs(pred_Ens_now!D25-pred_Ens_now!$B25)</f>
        <v>0.345013</v>
      </c>
      <c r="E25" s="12">
        <f>abs(pred_Ens_now!E25-pred_Ens_now!$B25)</f>
        <v>0.2600660072</v>
      </c>
      <c r="F25" s="12">
        <f>abs(pred_Ens_now!F25-pred_Ens_now!$B25)</f>
        <v>0.16375</v>
      </c>
      <c r="G25" s="12"/>
      <c r="H25" s="12">
        <f>abs(pred_Ens_now!H25-pred_Ens_now!$B25)</f>
        <v>0.139661</v>
      </c>
      <c r="I25" s="12"/>
      <c r="J25" s="12">
        <f>abs(pred_Ens_now!J25-pred_Ens_now!$B25)</f>
        <v>0.08260038813</v>
      </c>
      <c r="K25" s="12">
        <f>abs(pred_Ens_now!K25-pred_Ens_now!$B25)</f>
        <v>0.2715653461</v>
      </c>
      <c r="L25" s="12">
        <f>abs(pred_Ens_now!L25-pred_Ens_now!$B25)</f>
        <v>0.07766512938</v>
      </c>
      <c r="M25" s="12"/>
      <c r="N25" s="12"/>
    </row>
    <row r="26">
      <c r="A26" s="11">
        <v>202203.0</v>
      </c>
      <c r="B26" s="10">
        <v>0.7</v>
      </c>
      <c r="C26" s="12">
        <f>abs(pred_Ens_now!C26-pred_Ens_now!$B26)</f>
        <v>0.38631095</v>
      </c>
      <c r="D26" s="12">
        <f>abs(pred_Ens_now!D26-pred_Ens_now!$B26)</f>
        <v>0.817371</v>
      </c>
      <c r="E26" s="12">
        <f>abs(pred_Ens_now!E26-pred_Ens_now!$B26)</f>
        <v>0.1953956259</v>
      </c>
      <c r="F26" s="12">
        <f>abs(pred_Ens_now!F26-pred_Ens_now!$B26)</f>
        <v>0.1732627974</v>
      </c>
      <c r="G26" s="12"/>
      <c r="H26" s="12">
        <f>abs(pred_Ens_now!H26-pred_Ens_now!$B26)</f>
        <v>0.5348486261</v>
      </c>
      <c r="I26" s="12"/>
      <c r="J26" s="12">
        <f>abs(pred_Ens_now!J26-pred_Ens_now!$B26)</f>
        <v>0.193021</v>
      </c>
      <c r="K26" s="12">
        <f>abs(pred_Ens_now!K26-pred_Ens_now!$B26)</f>
        <v>0.1316370964</v>
      </c>
      <c r="L26" s="12">
        <f>abs(pred_Ens_now!L26-pred_Ens_now!$B26)</f>
        <v>0.1124361607</v>
      </c>
      <c r="M26" s="12"/>
      <c r="N26" s="12"/>
    </row>
    <row r="27">
      <c r="A27" s="11">
        <v>202206.0</v>
      </c>
      <c r="B27" s="10">
        <v>0.8</v>
      </c>
      <c r="C27" s="12">
        <f>abs(pred_Ens_now!C27-pred_Ens_now!$B27)</f>
        <v>0.6143230895</v>
      </c>
      <c r="D27" s="12">
        <f>abs(pred_Ens_now!D27-pred_Ens_now!$B27)</f>
        <v>0.472369</v>
      </c>
      <c r="E27" s="12">
        <f>abs(pred_Ens_now!E27-pred_Ens_now!$B27)</f>
        <v>0.1934900067</v>
      </c>
      <c r="F27" s="12">
        <f>abs(pred_Ens_now!F27-pred_Ens_now!$B27)</f>
        <v>0.2736889701</v>
      </c>
      <c r="G27" s="12"/>
      <c r="H27" s="12">
        <f>abs(pred_Ens_now!H27-pred_Ens_now!$B27)</f>
        <v>0.40805</v>
      </c>
      <c r="I27" s="12"/>
      <c r="J27" s="12">
        <f>abs(pred_Ens_now!J27-pred_Ens_now!$B27)</f>
        <v>0.531389</v>
      </c>
      <c r="K27" s="12">
        <f>abs(pred_Ens_now!K27-pred_Ens_now!$B27)</f>
        <v>0.4064903881</v>
      </c>
      <c r="L27" s="12">
        <f>abs(pred_Ens_now!L27-pred_Ens_now!$B27)</f>
        <v>0.4186526468</v>
      </c>
      <c r="M27" s="12"/>
      <c r="N27" s="12"/>
    </row>
    <row r="28">
      <c r="A28" s="11">
        <v>202209.0</v>
      </c>
      <c r="B28" s="10">
        <v>0.2</v>
      </c>
      <c r="C28" s="12">
        <f>abs(pred_Ens_now!C28-pred_Ens_now!$B28)</f>
        <v>0.2351820861</v>
      </c>
      <c r="D28" s="12">
        <f>abs(pred_Ens_now!D28-pred_Ens_now!$B28)</f>
        <v>0.84117</v>
      </c>
      <c r="E28" s="12">
        <f>abs(pred_Ens_now!E28-pred_Ens_now!$B28)</f>
        <v>0.2614770848</v>
      </c>
      <c r="F28" s="12">
        <f>abs(pred_Ens_now!F28-pred_Ens_now!$B28)</f>
        <v>0.3056524032</v>
      </c>
      <c r="G28" s="12"/>
      <c r="H28" s="12">
        <f>abs(pred_Ens_now!H28-pred_Ens_now!$B28)</f>
        <v>0.140619</v>
      </c>
      <c r="I28" s="12"/>
      <c r="J28" s="12">
        <f>abs(pred_Ens_now!J28-pred_Ens_now!$B28)</f>
        <v>0.104746</v>
      </c>
      <c r="K28" s="12">
        <f>abs(pred_Ens_now!K28-pred_Ens_now!$B28)</f>
        <v>0.1689509885</v>
      </c>
      <c r="L28" s="12">
        <f>abs(pred_Ens_now!L28-pred_Ens_now!$B28)</f>
        <v>0.01193366667</v>
      </c>
      <c r="M28" s="12"/>
      <c r="N28" s="12"/>
    </row>
    <row r="29">
      <c r="A29" s="11">
        <v>202212.0</v>
      </c>
      <c r="B29" s="10">
        <v>-0.3</v>
      </c>
      <c r="C29" s="12">
        <f>abs(pred_Ens_now!C29-pred_Ens_now!$B29)</f>
        <v>0.63253</v>
      </c>
      <c r="D29" s="12">
        <f>abs(pred_Ens_now!D29-pred_Ens_now!$B29)</f>
        <v>0.7588556508</v>
      </c>
      <c r="E29" s="12">
        <f>abs(pred_Ens_now!E29-pred_Ens_now!$B29)</f>
        <v>0.009934412152</v>
      </c>
      <c r="F29" s="12">
        <f>abs(pred_Ens_now!F29-pred_Ens_now!$B29)</f>
        <v>0.1367855</v>
      </c>
      <c r="G29" s="12"/>
      <c r="H29" s="12">
        <f>abs(pred_Ens_now!H29-pred_Ens_now!$B29)</f>
        <v>0.25036</v>
      </c>
      <c r="I29" s="12"/>
      <c r="J29" s="12">
        <f>abs(pred_Ens_now!J29-pred_Ens_now!$B29)</f>
        <v>0.26236</v>
      </c>
      <c r="K29" s="12">
        <f>abs(pred_Ens_now!K29-pred_Ens_now!$B29)</f>
        <v>0.1519481133</v>
      </c>
      <c r="L29" s="12">
        <f>abs(pred_Ens_now!L29-pred_Ens_now!$B29)</f>
        <v>0.28501</v>
      </c>
      <c r="M29" s="12"/>
      <c r="N29" s="12"/>
    </row>
    <row r="30">
      <c r="A30" s="11">
        <v>202303.0</v>
      </c>
      <c r="B30" s="10">
        <v>0.3</v>
      </c>
      <c r="C30" s="12"/>
      <c r="D30" s="12"/>
      <c r="E30" s="12"/>
      <c r="F30" s="12"/>
      <c r="G30" s="12"/>
      <c r="H30" s="12"/>
      <c r="J30" s="12"/>
      <c r="K30" s="12"/>
      <c r="L30" s="12"/>
    </row>
    <row r="32">
      <c r="B32" s="2" t="s">
        <v>118</v>
      </c>
      <c r="C32" s="13">
        <f t="shared" ref="C32:F32" si="1">AVERAGE(C2:C30)</f>
        <v>0.7167678891</v>
      </c>
      <c r="D32" s="13">
        <f t="shared" si="1"/>
        <v>0.9431214364</v>
      </c>
      <c r="E32" s="13">
        <f t="shared" si="1"/>
        <v>0.3721638263</v>
      </c>
      <c r="F32" s="13">
        <f t="shared" si="1"/>
        <v>0.4124119431</v>
      </c>
      <c r="H32" s="13">
        <f>AVERAGE(H2:H30)</f>
        <v>0.5286910532</v>
      </c>
      <c r="J32" s="13">
        <f t="shared" ref="J32:L32" si="2">AVERAGE(J2:J30)</f>
        <v>0.4862678198</v>
      </c>
      <c r="K32" s="13">
        <f t="shared" si="2"/>
        <v>0.4508436936</v>
      </c>
      <c r="L32" s="13">
        <f t="shared" si="2"/>
        <v>0.4182956163</v>
      </c>
    </row>
    <row r="33">
      <c r="B33" s="2" t="s">
        <v>119</v>
      </c>
      <c r="C33" s="13">
        <f t="shared" ref="C33:F33" si="3">(sumsq(C2:C30)/count(C2:C30))^(0.5)</f>
        <v>1.126911742</v>
      </c>
      <c r="D33" s="13">
        <f t="shared" si="3"/>
        <v>1.196574986</v>
      </c>
      <c r="E33" s="13">
        <f t="shared" si="3"/>
        <v>0.523987594</v>
      </c>
      <c r="F33" s="13">
        <f t="shared" si="3"/>
        <v>0.5863525713</v>
      </c>
      <c r="G33" s="13"/>
      <c r="H33" s="13">
        <f>(sumsq(H2:H30)/count(H2:H30))^(0.5)</f>
        <v>0.6974914418</v>
      </c>
      <c r="J33" s="13">
        <f t="shared" ref="J33:L33" si="4">(sumsq(J2:J30)/count(J2:J30))^(0.5)</f>
        <v>0.7206892073</v>
      </c>
      <c r="K33" s="13">
        <f t="shared" si="4"/>
        <v>0.6908509285</v>
      </c>
      <c r="L33" s="13">
        <f t="shared" si="4"/>
        <v>0.6486587218</v>
      </c>
    </row>
    <row r="34">
      <c r="B34" s="2" t="s">
        <v>120</v>
      </c>
      <c r="C34" s="13">
        <f t="shared" ref="C34:F34" si="5">MAX(C2:C30)</f>
        <v>4.82413</v>
      </c>
      <c r="D34" s="13">
        <f t="shared" si="5"/>
        <v>3.39227682</v>
      </c>
      <c r="E34" s="13">
        <f t="shared" si="5"/>
        <v>1.43758847</v>
      </c>
      <c r="F34" s="13">
        <f t="shared" si="5"/>
        <v>1.926945494</v>
      </c>
      <c r="H34" s="13">
        <f>MAX(H2:H30)</f>
        <v>1.83879</v>
      </c>
      <c r="J34" s="13">
        <f t="shared" ref="J34:L34" si="6">MAX(J2:J30)</f>
        <v>2.283090413</v>
      </c>
      <c r="K34" s="13">
        <f t="shared" si="6"/>
        <v>2.371317419</v>
      </c>
      <c r="L34" s="13">
        <f t="shared" si="6"/>
        <v>2.049403991</v>
      </c>
    </row>
    <row r="36">
      <c r="B36" s="2" t="s">
        <v>118</v>
      </c>
      <c r="C36" s="13">
        <f t="shared" ref="C36:F36" si="7">AVERAGE(C7:C30)</f>
        <v>0.7921140189</v>
      </c>
      <c r="D36" s="13">
        <f t="shared" si="7"/>
        <v>1.025906574</v>
      </c>
      <c r="E36" s="13">
        <f t="shared" si="7"/>
        <v>0.409227727</v>
      </c>
      <c r="F36" s="13">
        <f t="shared" si="7"/>
        <v>0.4581863266</v>
      </c>
      <c r="H36" s="13">
        <f>AVERAGE(H7:H30)</f>
        <v>0.5286910532</v>
      </c>
      <c r="J36" s="13">
        <f t="shared" ref="J36:L36" si="8">AVERAGE(J7:J30)</f>
        <v>0.4862678198</v>
      </c>
      <c r="K36" s="13">
        <f t="shared" si="8"/>
        <v>0.4508436936</v>
      </c>
      <c r="L36" s="13">
        <f t="shared" si="8"/>
        <v>0.4182956163</v>
      </c>
    </row>
    <row r="37">
      <c r="B37" s="2" t="s">
        <v>119</v>
      </c>
      <c r="C37" s="13">
        <f t="shared" ref="C37:F37" si="9">(sumsq(C7:C30)/count(C7:C30))^(0.5)</f>
        <v>1.22246578</v>
      </c>
      <c r="D37" s="13">
        <f t="shared" si="9"/>
        <v>1.293185395</v>
      </c>
      <c r="E37" s="13">
        <f t="shared" si="9"/>
        <v>0.5676367953</v>
      </c>
      <c r="F37" s="13">
        <f t="shared" si="9"/>
        <v>0.6374487125</v>
      </c>
      <c r="H37" s="13">
        <f>(sumsq(H7:H30)/count(H7:H30))^(0.5)</f>
        <v>0.6974914418</v>
      </c>
      <c r="J37" s="13">
        <f t="shared" ref="J37:L37" si="10">(sumsq(J7:J30)/count(J7:J30))^(0.5)</f>
        <v>0.7206892073</v>
      </c>
      <c r="K37" s="13">
        <f t="shared" si="10"/>
        <v>0.6908509285</v>
      </c>
      <c r="L37" s="13">
        <f t="shared" si="10"/>
        <v>0.6486587218</v>
      </c>
    </row>
    <row r="38">
      <c r="B38" s="2" t="s">
        <v>120</v>
      </c>
      <c r="C38" s="13">
        <f t="shared" ref="C38:F38" si="11">MAX(C7:C30)</f>
        <v>4.82413</v>
      </c>
      <c r="D38" s="13">
        <f t="shared" si="11"/>
        <v>3.39227682</v>
      </c>
      <c r="E38" s="13">
        <f t="shared" si="11"/>
        <v>1.43758847</v>
      </c>
      <c r="F38" s="13">
        <f t="shared" si="11"/>
        <v>1.926945494</v>
      </c>
      <c r="H38" s="13">
        <f>MAX(H7:H30)</f>
        <v>1.83879</v>
      </c>
      <c r="J38" s="13">
        <f t="shared" ref="J38:L38" si="12">MAX(J7:J30)</f>
        <v>2.283090413</v>
      </c>
      <c r="K38" s="13">
        <f t="shared" si="12"/>
        <v>2.371317419</v>
      </c>
      <c r="L38" s="13">
        <f t="shared" si="12"/>
        <v>2.049403991</v>
      </c>
    </row>
    <row r="40">
      <c r="B40" s="2" t="s">
        <v>118</v>
      </c>
      <c r="C40" s="13">
        <f t="shared" ref="C40:F40" si="13">AVERAGE(C7:C17)</f>
        <v>0.5639570535</v>
      </c>
      <c r="D40" s="13">
        <f t="shared" si="13"/>
        <v>0.5980309609</v>
      </c>
      <c r="E40" s="13">
        <f t="shared" si="13"/>
        <v>0.342605327</v>
      </c>
      <c r="F40" s="13">
        <f t="shared" si="13"/>
        <v>0.3547919634</v>
      </c>
      <c r="H40" s="13">
        <f>AVERAGE(H7:H17)</f>
        <v>0.4158921642</v>
      </c>
      <c r="J40" s="13">
        <f t="shared" ref="J40:L40" si="14">AVERAGE(J7:J17)</f>
        <v>0.3214310215</v>
      </c>
      <c r="K40" s="13">
        <f t="shared" si="14"/>
        <v>0.3402121612</v>
      </c>
      <c r="L40" s="13">
        <f t="shared" si="14"/>
        <v>0.3341097131</v>
      </c>
    </row>
    <row r="41">
      <c r="B41" s="2" t="s">
        <v>119</v>
      </c>
      <c r="C41" s="13">
        <f t="shared" ref="C41:F41" si="15">(sumsq(C7:C17)/count(C7:C17))^(0.5)</f>
        <v>0.6468735011</v>
      </c>
      <c r="D41" s="13">
        <f t="shared" si="15"/>
        <v>0.7224815821</v>
      </c>
      <c r="E41" s="13">
        <f t="shared" si="15"/>
        <v>0.453339987</v>
      </c>
      <c r="F41" s="13">
        <f t="shared" si="15"/>
        <v>0.4521216746</v>
      </c>
      <c r="H41" s="13">
        <f>(sumsq(H7:H17)/count(H7:H17))^(0.5)</f>
        <v>0.5011049812</v>
      </c>
      <c r="J41" s="13">
        <f t="shared" ref="J41:L41" si="16">(sumsq(J7:J17)/count(J7:J17))^(0.5)</f>
        <v>0.4547846536</v>
      </c>
      <c r="K41" s="13">
        <f t="shared" si="16"/>
        <v>0.4613092438</v>
      </c>
      <c r="L41" s="13">
        <f t="shared" si="16"/>
        <v>0.4795296331</v>
      </c>
    </row>
    <row r="42">
      <c r="B42" s="2" t="s">
        <v>120</v>
      </c>
      <c r="C42" s="13">
        <f t="shared" ref="C42:F42" si="17">MAX(C7:C17)</f>
        <v>1.124247</v>
      </c>
      <c r="D42" s="13">
        <f t="shared" si="17"/>
        <v>1.687553</v>
      </c>
      <c r="E42" s="13">
        <f t="shared" si="17"/>
        <v>1.063344758</v>
      </c>
      <c r="F42" s="13">
        <f t="shared" si="17"/>
        <v>1.031302195</v>
      </c>
      <c r="H42" s="13">
        <f>MAX(H7:H17)</f>
        <v>1.195778</v>
      </c>
      <c r="J42" s="13">
        <f t="shared" ref="J42:L42" si="18">MAX(J7:J17)</f>
        <v>1.124247</v>
      </c>
      <c r="K42" s="13">
        <f t="shared" si="18"/>
        <v>1.024021628</v>
      </c>
      <c r="L42" s="13">
        <f t="shared" si="18"/>
        <v>1.079101667</v>
      </c>
    </row>
    <row r="44">
      <c r="B44" s="2" t="s">
        <v>118</v>
      </c>
      <c r="C44" s="13">
        <f t="shared" ref="C44:F44" si="19">AVERAGE(C18:C25)</f>
        <v>1.26834359</v>
      </c>
      <c r="D44" s="13">
        <f t="shared" si="19"/>
        <v>1.765968124</v>
      </c>
      <c r="E44" s="13">
        <f t="shared" si="19"/>
        <v>0.6229102493</v>
      </c>
      <c r="F44" s="13">
        <f t="shared" si="19"/>
        <v>0.7182730305</v>
      </c>
      <c r="H44" s="13">
        <f>AVERAGE(H18:H25)</f>
        <v>0.7814003489</v>
      </c>
      <c r="J44" s="13">
        <f t="shared" ref="J44:L44" si="20">AVERAGE(J18:J25)</f>
        <v>0.8196128273</v>
      </c>
      <c r="K44" s="13">
        <f t="shared" si="20"/>
        <v>0.7210055742</v>
      </c>
      <c r="L44" s="13">
        <f t="shared" si="20"/>
        <v>0.6396949822</v>
      </c>
    </row>
    <row r="45">
      <c r="B45" s="2" t="s">
        <v>119</v>
      </c>
      <c r="C45" s="13">
        <f t="shared" ref="C45:F45" si="21">(sumsq(C18:C25)/count(C18:C25))^(0.5)</f>
        <v>1.896931304</v>
      </c>
      <c r="D45" s="13">
        <f t="shared" si="21"/>
        <v>1.954070176</v>
      </c>
      <c r="E45" s="13">
        <f t="shared" si="21"/>
        <v>0.7910507134</v>
      </c>
      <c r="F45" s="13">
        <f t="shared" si="21"/>
        <v>0.9273771074</v>
      </c>
      <c r="H45" s="13">
        <f>(sumsq(H18:H25)/count(H18:H25))^(0.5)</f>
        <v>0.9932383431</v>
      </c>
      <c r="J45" s="13">
        <f t="shared" ref="J45:L45" si="22">(sumsq(J18:J25)/count(J18:J25))^(0.5)</f>
        <v>1.076538533</v>
      </c>
      <c r="K45" s="13">
        <f t="shared" si="22"/>
        <v>1.024832992</v>
      </c>
      <c r="L45" s="13">
        <f t="shared" si="22"/>
        <v>0.9272753608</v>
      </c>
    </row>
    <row r="46">
      <c r="B46" s="2" t="s">
        <v>120</v>
      </c>
      <c r="C46" s="13">
        <f t="shared" ref="C46:F46" si="23">MAX(C18:C25)</f>
        <v>4.82413</v>
      </c>
      <c r="D46" s="13">
        <f t="shared" si="23"/>
        <v>3.39227682</v>
      </c>
      <c r="E46" s="13">
        <f t="shared" si="23"/>
        <v>1.43758847</v>
      </c>
      <c r="F46" s="13">
        <f t="shared" si="23"/>
        <v>1.926945494</v>
      </c>
      <c r="H46" s="13">
        <f>MAX(H18:H25)</f>
        <v>1.83879</v>
      </c>
      <c r="J46" s="13">
        <f t="shared" ref="J46:L46" si="24">MAX(J18:J25)</f>
        <v>2.283090413</v>
      </c>
      <c r="K46" s="13">
        <f t="shared" si="24"/>
        <v>2.371317419</v>
      </c>
      <c r="L46" s="13">
        <f t="shared" si="24"/>
        <v>2.049403991</v>
      </c>
    </row>
    <row r="48">
      <c r="B48" s="15" t="s">
        <v>118</v>
      </c>
      <c r="C48" s="13">
        <f t="shared" ref="C48:F48" si="25">AVERAGE(C20:C30)</f>
        <v>0.6612283507</v>
      </c>
      <c r="D48" s="13">
        <f t="shared" si="25"/>
        <v>1.148561482</v>
      </c>
      <c r="E48" s="13">
        <f t="shared" si="25"/>
        <v>0.2793885346</v>
      </c>
      <c r="F48" s="13">
        <f t="shared" si="25"/>
        <v>0.3363623998</v>
      </c>
      <c r="H48" s="13">
        <f>AVERAGE(H20:H30)</f>
        <v>0.4166923417</v>
      </c>
      <c r="J48" s="13">
        <f t="shared" ref="J48:L48" si="26">AVERAGE(J20:J30)</f>
        <v>0.3833454396</v>
      </c>
      <c r="K48" s="13">
        <f t="shared" si="26"/>
        <v>0.2889376179</v>
      </c>
      <c r="L48" s="13">
        <f t="shared" si="26"/>
        <v>0.2533609986</v>
      </c>
    </row>
    <row r="49">
      <c r="B49" s="15" t="s">
        <v>119</v>
      </c>
      <c r="C49" s="13">
        <f t="shared" ref="C49:F49" si="27">(sumsq(C20:C30)/count(C20:C30))^(0.5)</f>
        <v>0.7849661432</v>
      </c>
      <c r="D49" s="13">
        <f t="shared" si="27"/>
        <v>1.289816546</v>
      </c>
      <c r="E49" s="13">
        <f t="shared" si="27"/>
        <v>0.3300719057</v>
      </c>
      <c r="F49" s="13">
        <f t="shared" si="27"/>
        <v>0.3968790588</v>
      </c>
      <c r="H49" s="13">
        <f>(sumsq(H20:H30)/count(H20:H30))^(0.5)</f>
        <v>0.505138808</v>
      </c>
      <c r="J49" s="13">
        <f t="shared" ref="J49:L49" si="28">(sumsq(J20:J30)/count(J20:J30))^(0.5)</f>
        <v>0.4595408986</v>
      </c>
      <c r="K49" s="13">
        <f t="shared" si="28"/>
        <v>0.3385738805</v>
      </c>
      <c r="L49" s="13">
        <f t="shared" si="28"/>
        <v>0.3303521318</v>
      </c>
    </row>
    <row r="50">
      <c r="B50" s="15" t="s">
        <v>120</v>
      </c>
      <c r="C50" s="13">
        <f t="shared" ref="C50:F50" si="29">MAX(C20:C30)</f>
        <v>1.477096</v>
      </c>
      <c r="D50" s="13">
        <f t="shared" si="29"/>
        <v>2.095491</v>
      </c>
      <c r="E50" s="13">
        <f t="shared" si="29"/>
        <v>0.695149749</v>
      </c>
      <c r="F50" s="13">
        <f t="shared" si="29"/>
        <v>0.7461182811</v>
      </c>
      <c r="H50" s="13">
        <f>MAX(H20:H30)</f>
        <v>1.085918</v>
      </c>
      <c r="J50" s="13">
        <f t="shared" ref="J50:L50" si="30">MAX(J20:J30)</f>
        <v>0.8060195088</v>
      </c>
      <c r="K50" s="13">
        <f t="shared" si="30"/>
        <v>0.7355189612</v>
      </c>
      <c r="L50" s="13">
        <f t="shared" si="30"/>
        <v>0.7441367488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9"/>
      <c r="B1" s="10" t="s">
        <v>102</v>
      </c>
      <c r="C1" s="2" t="s">
        <v>121</v>
      </c>
      <c r="D1" s="2" t="s">
        <v>122</v>
      </c>
      <c r="E1" s="2" t="s">
        <v>123</v>
      </c>
      <c r="F1" s="2" t="s">
        <v>124</v>
      </c>
      <c r="H1" s="2" t="s">
        <v>76</v>
      </c>
      <c r="I1" s="2" t="s">
        <v>56</v>
      </c>
      <c r="J1" s="2" t="s">
        <v>125</v>
      </c>
      <c r="K1" s="2" t="s">
        <v>126</v>
      </c>
      <c r="L1" s="2" t="s">
        <v>127</v>
      </c>
      <c r="M1" s="2" t="s">
        <v>128</v>
      </c>
      <c r="O1" s="2" t="s">
        <v>129</v>
      </c>
      <c r="P1" s="2" t="s">
        <v>130</v>
      </c>
      <c r="Q1" s="2" t="s">
        <v>131</v>
      </c>
      <c r="R1" s="2" t="s">
        <v>132</v>
      </c>
      <c r="AA1" s="2" t="s">
        <v>87</v>
      </c>
      <c r="AB1" s="2" t="s">
        <v>133</v>
      </c>
      <c r="AC1" s="2" t="s">
        <v>134</v>
      </c>
    </row>
    <row r="2">
      <c r="A2" s="11">
        <v>201603.0</v>
      </c>
      <c r="B2" s="10">
        <v>0.3</v>
      </c>
      <c r="C2" s="12"/>
      <c r="D2" s="12"/>
      <c r="E2" s="12"/>
      <c r="F2" s="12"/>
      <c r="G2" s="12"/>
      <c r="H2" s="12"/>
      <c r="I2" s="12"/>
      <c r="J2" s="12"/>
      <c r="L2" s="13"/>
      <c r="M2" s="12"/>
      <c r="N2" s="12"/>
    </row>
    <row r="3">
      <c r="A3" s="11">
        <v>201606.0</v>
      </c>
      <c r="B3" s="10">
        <v>1.2</v>
      </c>
      <c r="C3" s="12"/>
      <c r="D3" s="12"/>
      <c r="E3" s="12"/>
      <c r="F3" s="12"/>
      <c r="G3" s="12"/>
      <c r="H3" s="12"/>
      <c r="I3" s="12"/>
      <c r="J3" s="12"/>
      <c r="L3" s="13"/>
      <c r="M3" s="12"/>
      <c r="N3" s="12"/>
    </row>
    <row r="4">
      <c r="A4" s="11">
        <v>201609.0</v>
      </c>
      <c r="B4" s="10">
        <v>0.4</v>
      </c>
      <c r="C4" s="12"/>
      <c r="D4" s="12"/>
      <c r="E4" s="12"/>
      <c r="F4" s="12"/>
      <c r="G4" s="12"/>
      <c r="H4" s="12"/>
      <c r="I4" s="12"/>
      <c r="J4" s="12"/>
      <c r="L4" s="13"/>
      <c r="M4" s="12"/>
      <c r="N4" s="12"/>
    </row>
    <row r="5">
      <c r="A5" s="11">
        <v>201612.0</v>
      </c>
      <c r="B5" s="10">
        <v>0.6</v>
      </c>
      <c r="C5" s="12"/>
      <c r="D5" s="12"/>
      <c r="E5" s="12"/>
      <c r="F5" s="12"/>
      <c r="G5" s="12"/>
      <c r="H5" s="12"/>
      <c r="I5" s="12"/>
      <c r="J5" s="12"/>
      <c r="L5" s="13"/>
      <c r="M5" s="12"/>
      <c r="N5" s="12"/>
    </row>
    <row r="6">
      <c r="A6" s="11">
        <v>201703.0</v>
      </c>
      <c r="B6" s="10">
        <v>1.0</v>
      </c>
      <c r="C6" s="12">
        <f>average(err_GDP_now!C2:C5)</f>
        <v>0.2936730409</v>
      </c>
      <c r="D6" s="12">
        <f>average(err_GDP_now!D2:D5)</f>
        <v>0.1864365</v>
      </c>
      <c r="E6" s="12">
        <f>average(err_GDP_now!E2:E5)</f>
        <v>0.1911775</v>
      </c>
      <c r="F6" s="12">
        <f>average(err_GDP_now!F2:F5)</f>
        <v>0.19473525</v>
      </c>
      <c r="G6" s="12"/>
      <c r="H6" s="12">
        <f>average(err_GDP_now!H2:H5)</f>
        <v>0.464135</v>
      </c>
      <c r="I6" s="12">
        <f>average(err_GDP_now!I2:I5)</f>
        <v>0.333503398</v>
      </c>
      <c r="J6" s="12">
        <f>average(err_GDP_now!J2:J5)</f>
        <v>0.3126299324</v>
      </c>
      <c r="K6" s="12">
        <f>average(err_GDP_now!K2:K5)</f>
        <v>0.390236</v>
      </c>
      <c r="L6" s="12">
        <f>average(err_GDP_now!L2:L5)</f>
        <v>0.2343509102</v>
      </c>
      <c r="M6" s="12">
        <f>average(err_GDP_now!M2:M5)</f>
        <v>0.464584005</v>
      </c>
      <c r="N6" s="12"/>
      <c r="O6" s="12">
        <f>average(err_GDP_now!O2:O5)</f>
        <v>0.3155115543</v>
      </c>
      <c r="P6" s="12">
        <f>average(err_GDP_now!P2:P5)</f>
        <v>0.4633758813</v>
      </c>
      <c r="Q6" s="12">
        <f>average(err_GDP_now!Q2:Q5)</f>
        <v>0.25054075</v>
      </c>
      <c r="R6" s="12"/>
      <c r="S6" s="12"/>
      <c r="T6" s="12"/>
      <c r="U6" s="12"/>
      <c r="V6" s="12"/>
      <c r="W6" s="12"/>
      <c r="X6" s="12"/>
      <c r="Y6" s="12"/>
      <c r="Z6" s="12"/>
      <c r="AA6" s="12">
        <f>average(err_GDP_now!AA2:AA5)</f>
        <v>0.464135</v>
      </c>
      <c r="AB6" s="15" t="str">
        <f t="shared" ref="AB6:AB29" si="1">index($C$1:$AA$1, match(min(C6:AA6),C6:AA6,0))</f>
        <v>BEM1</v>
      </c>
      <c r="AC6" s="13">
        <f t="shared" ref="AC6:AC29" si="2">min(C6:AA6)</f>
        <v>0.1864365</v>
      </c>
    </row>
    <row r="7">
      <c r="A7" s="11">
        <v>201706.0</v>
      </c>
      <c r="B7" s="10">
        <v>0.8</v>
      </c>
      <c r="C7" s="12">
        <f>average(err_GDP_now!C3:C6)</f>
        <v>0.2621434762</v>
      </c>
      <c r="D7" s="12">
        <f>average(err_GDP_now!D3:D6)</f>
        <v>0.19119975</v>
      </c>
      <c r="E7" s="12">
        <f>average(err_GDP_now!E3:E6)</f>
        <v>0.16392425</v>
      </c>
      <c r="F7" s="12">
        <f>average(err_GDP_now!F3:F6)</f>
        <v>0.1898295</v>
      </c>
      <c r="G7" s="12"/>
      <c r="H7" s="12">
        <f>average(err_GDP_now!H3:H6)</f>
        <v>0.440463</v>
      </c>
      <c r="I7" s="12">
        <f>average(err_GDP_now!I3:I6)</f>
        <v>0.3061480744</v>
      </c>
      <c r="J7" s="12">
        <f>average(err_GDP_now!J3:J6)</f>
        <v>0.1946585785</v>
      </c>
      <c r="K7" s="12">
        <f>average(err_GDP_now!K3:K6)</f>
        <v>0.29403425</v>
      </c>
      <c r="L7" s="12">
        <f>average(err_GDP_now!L3:L6)</f>
        <v>0.2480200292</v>
      </c>
      <c r="M7" s="12">
        <f>average(err_GDP_now!M3:M6)</f>
        <v>0.37226284</v>
      </c>
      <c r="N7" s="12"/>
      <c r="O7" s="12">
        <f>average(err_GDP_now!O3:O6)</f>
        <v>0.3018580903</v>
      </c>
      <c r="P7" s="12">
        <f>average(err_GDP_now!P3:P6)</f>
        <v>0.4222353816</v>
      </c>
      <c r="Q7" s="12">
        <f>average(err_GDP_now!Q3:Q6)</f>
        <v>0.2681715</v>
      </c>
      <c r="R7" s="12"/>
      <c r="S7" s="12"/>
      <c r="T7" s="12"/>
      <c r="U7" s="12"/>
      <c r="V7" s="12"/>
      <c r="W7" s="12"/>
      <c r="X7" s="12"/>
      <c r="Y7" s="12"/>
      <c r="Z7" s="12"/>
      <c r="AA7" s="12">
        <f>average(err_GDP_now!AA3:AA6)</f>
        <v>0.440463</v>
      </c>
      <c r="AB7" s="15" t="str">
        <f t="shared" si="1"/>
        <v>BEM2</v>
      </c>
      <c r="AC7" s="13">
        <f t="shared" si="2"/>
        <v>0.16392425</v>
      </c>
    </row>
    <row r="8">
      <c r="A8" s="11">
        <v>201709.0</v>
      </c>
      <c r="B8" s="10">
        <v>1.4</v>
      </c>
      <c r="C8" s="12">
        <f>average(err_GDP_now!C4:C7)</f>
        <v>0.2624734434</v>
      </c>
      <c r="D8" s="12">
        <f>average(err_GDP_now!D4:D7)</f>
        <v>0.19135075</v>
      </c>
      <c r="E8" s="12">
        <f>average(err_GDP_now!E4:E7)</f>
        <v>0.15746475</v>
      </c>
      <c r="F8" s="12">
        <f>average(err_GDP_now!F4:F7)</f>
        <v>0.16664875</v>
      </c>
      <c r="G8" s="12"/>
      <c r="H8" s="12">
        <f>average(err_GDP_now!H4:H7)</f>
        <v>0.2560005</v>
      </c>
      <c r="I8" s="12">
        <f>average(err_GDP_now!I4:I7)</f>
        <v>0.3051069427</v>
      </c>
      <c r="J8" s="12">
        <f>average(err_GDP_now!J4:J7)</f>
        <v>0.1980400534</v>
      </c>
      <c r="K8" s="12">
        <f>average(err_GDP_now!K4:K7)</f>
        <v>0.28052375</v>
      </c>
      <c r="L8" s="12">
        <f>average(err_GDP_now!L4:L7)</f>
        <v>0.268229369</v>
      </c>
      <c r="M8" s="12">
        <f>average(err_GDP_now!M4:M7)</f>
        <v>0.21964673</v>
      </c>
      <c r="N8" s="12"/>
      <c r="O8" s="12">
        <f>average(err_GDP_now!O4:O7)</f>
        <v>0.1962871768</v>
      </c>
      <c r="P8" s="12">
        <f>average(err_GDP_now!P4:P7)</f>
        <v>0.3815834999</v>
      </c>
      <c r="Q8" s="12">
        <f>average(err_GDP_now!Q4:Q7)</f>
        <v>0.14552275</v>
      </c>
      <c r="R8" s="12"/>
      <c r="S8" s="12"/>
      <c r="T8" s="12"/>
      <c r="U8" s="12"/>
      <c r="V8" s="12"/>
      <c r="W8" s="12"/>
      <c r="X8" s="12"/>
      <c r="Y8" s="12"/>
      <c r="Z8" s="12"/>
      <c r="AA8" s="12">
        <f>average(err_GDP_now!AA4:AA7)</f>
        <v>0.2560005</v>
      </c>
      <c r="AB8" s="15" t="str">
        <f t="shared" si="1"/>
        <v>LQR</v>
      </c>
      <c r="AC8" s="13">
        <f t="shared" si="2"/>
        <v>0.14552275</v>
      </c>
    </row>
    <row r="9">
      <c r="A9" s="11">
        <v>201712.0</v>
      </c>
      <c r="B9" s="10">
        <v>-0.3</v>
      </c>
      <c r="C9" s="12">
        <f>average(err_GDP_now!C5:C8)</f>
        <v>0.3904956767</v>
      </c>
      <c r="D9" s="12">
        <f>average(err_GDP_now!D5:D8)</f>
        <v>0.408937</v>
      </c>
      <c r="E9" s="12">
        <f>average(err_GDP_now!E5:E8)</f>
        <v>0.39755275</v>
      </c>
      <c r="F9" s="12">
        <f>average(err_GDP_now!F5:F8)</f>
        <v>0.345645</v>
      </c>
      <c r="G9" s="12"/>
      <c r="H9" s="12">
        <f>average(err_GDP_now!H5:H8)</f>
        <v>0.22943375</v>
      </c>
      <c r="I9" s="12">
        <f>average(err_GDP_now!I5:I8)</f>
        <v>0.3308644158</v>
      </c>
      <c r="J9" s="12">
        <f>average(err_GDP_now!J5:J8)</f>
        <v>0.2577439599</v>
      </c>
      <c r="K9" s="12">
        <f>average(err_GDP_now!K5:K8)</f>
        <v>0.252965</v>
      </c>
      <c r="L9" s="12">
        <f>average(err_GDP_now!L5:L8)</f>
        <v>0.374392281</v>
      </c>
      <c r="M9" s="12">
        <f>average(err_GDP_now!M5:M8)</f>
        <v>0.32645173</v>
      </c>
      <c r="N9" s="12"/>
      <c r="O9" s="12">
        <f>average(err_GDP_now!O5:O8)</f>
        <v>0.2301947611</v>
      </c>
      <c r="P9" s="12">
        <f>average(err_GDP_now!P5:P8)</f>
        <v>0.3795426488</v>
      </c>
      <c r="Q9" s="12">
        <f>average(err_GDP_now!Q5:Q8)</f>
        <v>0.26926575</v>
      </c>
      <c r="R9" s="12"/>
      <c r="S9" s="12"/>
      <c r="T9" s="12"/>
      <c r="U9" s="12"/>
      <c r="V9" s="12"/>
      <c r="W9" s="12"/>
      <c r="X9" s="12"/>
      <c r="Y9" s="12"/>
      <c r="Z9" s="12"/>
      <c r="AA9" s="12">
        <f>average(err_GDP_now!AA5:AA8)</f>
        <v>0.22943375</v>
      </c>
      <c r="AB9" s="15" t="str">
        <f t="shared" si="1"/>
        <v>LBVAR</v>
      </c>
      <c r="AC9" s="13">
        <f t="shared" si="2"/>
        <v>0.22943375</v>
      </c>
    </row>
    <row r="10">
      <c r="A10" s="11">
        <v>201803.0</v>
      </c>
      <c r="B10" s="10">
        <v>1.3</v>
      </c>
      <c r="C10" s="12">
        <f>average(err_GDP_now!C6:C9)</f>
        <v>0.5102617556</v>
      </c>
      <c r="D10" s="12">
        <f>average(err_GDP_now!D6:D9)</f>
        <v>0.69827975</v>
      </c>
      <c r="E10" s="12">
        <f>average(err_GDP_now!E6:E9)</f>
        <v>0.63048425</v>
      </c>
      <c r="F10" s="12">
        <f>average(err_GDP_now!F6:F9)</f>
        <v>0.61657375</v>
      </c>
      <c r="G10" s="12"/>
      <c r="H10" s="12">
        <f>average(err_GDP_now!H6:H9)</f>
        <v>0.6452605</v>
      </c>
      <c r="I10" s="12">
        <f>average(err_GDP_now!I6:I9)</f>
        <v>0.5070374058</v>
      </c>
      <c r="J10" s="12">
        <f>average(err_GDP_now!J6:J9)</f>
        <v>0.4880553545</v>
      </c>
      <c r="K10" s="12">
        <f>average(err_GDP_now!K6:K9)</f>
        <v>0.3900835</v>
      </c>
      <c r="L10" s="12">
        <f>average(err_GDP_now!L6:L9)</f>
        <v>0.4063046785</v>
      </c>
      <c r="M10" s="12">
        <f>average(err_GDP_now!M6:M9)</f>
        <v>0.4911519775</v>
      </c>
      <c r="N10" s="12"/>
      <c r="O10" s="12">
        <f>average(err_GDP_now!O6:O9)</f>
        <v>0.4573461359</v>
      </c>
      <c r="P10" s="12">
        <f>average(err_GDP_now!P6:P9)</f>
        <v>0.5293714464</v>
      </c>
      <c r="Q10" s="12">
        <f>average(err_GDP_now!Q6:Q9)</f>
        <v>0.39054375</v>
      </c>
      <c r="R10" s="12"/>
      <c r="S10" s="12"/>
      <c r="T10" s="12"/>
      <c r="U10" s="12"/>
      <c r="V10" s="12"/>
      <c r="W10" s="12"/>
      <c r="X10" s="12"/>
      <c r="Y10" s="12"/>
      <c r="Z10" s="12"/>
      <c r="AA10" s="12">
        <f>average(err_GDP_now!AA6:AA9)</f>
        <v>0.6452605</v>
      </c>
      <c r="AB10" s="15" t="str">
        <f t="shared" si="1"/>
        <v>VAR</v>
      </c>
      <c r="AC10" s="13">
        <f t="shared" si="2"/>
        <v>0.3900835</v>
      </c>
    </row>
    <row r="11">
      <c r="A11" s="11">
        <v>201806.0</v>
      </c>
      <c r="B11" s="10">
        <v>0.7</v>
      </c>
      <c r="C11" s="12">
        <f>average(err_GDP_now!C7:C10)</f>
        <v>0.538983237</v>
      </c>
      <c r="D11" s="12">
        <f>average(err_GDP_now!D7:D10)</f>
        <v>0.82362025</v>
      </c>
      <c r="E11" s="12">
        <f>average(err_GDP_now!E7:E10)</f>
        <v>0.72899425</v>
      </c>
      <c r="F11" s="12">
        <f>average(err_GDP_now!F7:F10)</f>
        <v>0.750541</v>
      </c>
      <c r="G11" s="12"/>
      <c r="H11" s="12">
        <f>average(err_GDP_now!H7:H10)</f>
        <v>0.693787</v>
      </c>
      <c r="I11" s="12">
        <f>average(err_GDP_now!I7:I10)</f>
        <v>0.5708999933</v>
      </c>
      <c r="J11" s="12">
        <f>average(err_GDP_now!J7:J10)</f>
        <v>0.5497185206</v>
      </c>
      <c r="K11" s="12">
        <f>average(err_GDP_now!K7:K10)</f>
        <v>0.45247725</v>
      </c>
      <c r="L11" s="12">
        <f>average(err_GDP_now!L7:L10)</f>
        <v>0.4015845197</v>
      </c>
      <c r="M11" s="12">
        <f>average(err_GDP_now!M7:M10)</f>
        <v>0.5616756925</v>
      </c>
      <c r="N11" s="12"/>
      <c r="O11" s="12">
        <f>average(err_GDP_now!O7:O10)</f>
        <v>0.4590101036</v>
      </c>
      <c r="P11" s="12">
        <f>average(err_GDP_now!P7:P10)</f>
        <v>0.6495633006</v>
      </c>
      <c r="Q11" s="12">
        <f>average(err_GDP_now!Q7:Q10)</f>
        <v>0.51090925</v>
      </c>
      <c r="R11" s="12"/>
      <c r="S11" s="12"/>
      <c r="T11" s="12"/>
      <c r="U11" s="12"/>
      <c r="V11" s="12"/>
      <c r="W11" s="12"/>
      <c r="X11" s="12"/>
      <c r="Y11" s="12"/>
      <c r="Z11" s="12"/>
      <c r="AA11" s="12">
        <f>average(err_GDP_now!AA7:AA10)</f>
        <v>0.693787</v>
      </c>
      <c r="AB11" s="15" t="str">
        <f t="shared" si="1"/>
        <v>SVR-KNN</v>
      </c>
      <c r="AC11" s="13">
        <f t="shared" si="2"/>
        <v>0.4015845197</v>
      </c>
    </row>
    <row r="12">
      <c r="A12" s="11">
        <v>201809.0</v>
      </c>
      <c r="B12" s="10">
        <v>0.6</v>
      </c>
      <c r="C12" s="12">
        <f>average(err_GDP_now!C8:C11)</f>
        <v>0.5309723928</v>
      </c>
      <c r="D12" s="12">
        <f>average(err_GDP_now!D8:D11)</f>
        <v>0.74932475</v>
      </c>
      <c r="E12" s="12">
        <f>average(err_GDP_now!E8:E11)</f>
        <v>0.68439725</v>
      </c>
      <c r="F12" s="12">
        <f>average(err_GDP_now!F8:F11)</f>
        <v>0.6970345</v>
      </c>
      <c r="G12" s="12"/>
      <c r="H12" s="12">
        <f>average(err_GDP_now!H8:H11)</f>
        <v>0.76204175</v>
      </c>
      <c r="I12" s="12">
        <f>average(err_GDP_now!I8:I11)</f>
        <v>0.5710856962</v>
      </c>
      <c r="J12" s="12">
        <f>average(err_GDP_now!J8:J11)</f>
        <v>0.5512649985</v>
      </c>
      <c r="K12" s="12">
        <f>average(err_GDP_now!K8:K11)</f>
        <v>0.483524</v>
      </c>
      <c r="L12" s="12">
        <f>average(err_GDP_now!L8:L11)</f>
        <v>0.3748607433</v>
      </c>
      <c r="M12" s="12">
        <f>average(err_GDP_now!M8:M11)</f>
        <v>0.5763247775</v>
      </c>
      <c r="N12" s="12"/>
      <c r="O12" s="12">
        <f>average(err_GDP_now!O8:O11)</f>
        <v>0.507766288</v>
      </c>
      <c r="P12" s="12">
        <f>average(err_GDP_now!P8:P11)</f>
        <v>0.7049646199</v>
      </c>
      <c r="Q12" s="12">
        <f>average(err_GDP_now!Q8:Q11)</f>
        <v>0.47758275</v>
      </c>
      <c r="R12" s="12"/>
      <c r="S12" s="12"/>
      <c r="T12" s="12"/>
      <c r="U12" s="12"/>
      <c r="V12" s="12"/>
      <c r="W12" s="12"/>
      <c r="X12" s="12"/>
      <c r="Y12" s="12"/>
      <c r="Z12" s="12"/>
      <c r="AA12" s="12">
        <f>average(err_GDP_now!AA8:AA11)</f>
        <v>0.76204175</v>
      </c>
      <c r="AB12" s="15" t="str">
        <f t="shared" si="1"/>
        <v>SVR-KNN</v>
      </c>
      <c r="AC12" s="13">
        <f t="shared" si="2"/>
        <v>0.3748607433</v>
      </c>
    </row>
    <row r="13">
      <c r="A13" s="11">
        <v>201812.0</v>
      </c>
      <c r="B13" s="10">
        <v>0.6</v>
      </c>
      <c r="C13" s="12">
        <f>average(err_GDP_now!C9:C12)</f>
        <v>0.458198071</v>
      </c>
      <c r="D13" s="12">
        <f>average(err_GDP_now!D9:D12)</f>
        <v>0.490328</v>
      </c>
      <c r="E13" s="12">
        <f>average(err_GDP_now!E9:E12)</f>
        <v>0.434419</v>
      </c>
      <c r="F13" s="12">
        <f>average(err_GDP_now!F9:F12)</f>
        <v>0.45398875</v>
      </c>
      <c r="G13" s="12"/>
      <c r="H13" s="12">
        <f>average(err_GDP_now!H9:H12)</f>
        <v>0.7140075</v>
      </c>
      <c r="I13" s="12">
        <f>average(err_GDP_now!I9:I12)</f>
        <v>0.526954508</v>
      </c>
      <c r="J13" s="12">
        <f>average(err_GDP_now!J9:J12)</f>
        <v>0.5213902699</v>
      </c>
      <c r="K13" s="12">
        <f>average(err_GDP_now!K9:K12)</f>
        <v>0.399011</v>
      </c>
      <c r="L13" s="12">
        <f>average(err_GDP_now!L9:L12)</f>
        <v>0.2562573055</v>
      </c>
      <c r="M13" s="12">
        <f>average(err_GDP_now!M9:M12)</f>
        <v>0.45842702</v>
      </c>
      <c r="N13" s="12"/>
      <c r="O13" s="12">
        <f>average(err_GDP_now!O9:O12)</f>
        <v>0.3626900391</v>
      </c>
      <c r="P13" s="12">
        <f>average(err_GDP_now!P9:P12)</f>
        <v>0.5963194788</v>
      </c>
      <c r="Q13" s="12">
        <f>average(err_GDP_now!Q9:Q12)</f>
        <v>0.32548</v>
      </c>
      <c r="R13" s="12"/>
      <c r="S13" s="12"/>
      <c r="T13" s="12"/>
      <c r="U13" s="12"/>
      <c r="V13" s="12"/>
      <c r="W13" s="12"/>
      <c r="X13" s="12"/>
      <c r="Y13" s="12"/>
      <c r="Z13" s="12"/>
      <c r="AA13" s="12">
        <f>average(err_GDP_now!AA9:AA12)</f>
        <v>0.7140075</v>
      </c>
      <c r="AB13" s="15" t="str">
        <f t="shared" si="1"/>
        <v>SVR-KNN</v>
      </c>
      <c r="AC13" s="13">
        <f t="shared" si="2"/>
        <v>0.2562573055</v>
      </c>
    </row>
    <row r="14">
      <c r="A14" s="11">
        <v>201903.0</v>
      </c>
      <c r="B14" s="10">
        <v>-0.1</v>
      </c>
      <c r="C14" s="12">
        <f>average(err_GDP_now!C10:C13)</f>
        <v>0.2892009678</v>
      </c>
      <c r="D14" s="12">
        <f>average(err_GDP_now!D10:D13)</f>
        <v>0.30299825</v>
      </c>
      <c r="E14" s="12">
        <f>average(err_GDP_now!E10:E13)</f>
        <v>0.34639875</v>
      </c>
      <c r="F14" s="12">
        <f>average(err_GDP_now!F10:F13)</f>
        <v>0.243572</v>
      </c>
      <c r="G14" s="12"/>
      <c r="H14" s="12">
        <f>average(err_GDP_now!H10:H13)</f>
        <v>0.32951275</v>
      </c>
      <c r="I14" s="12">
        <f>average(err_GDP_now!I10:I13)</f>
        <v>0.2961664217</v>
      </c>
      <c r="J14" s="12">
        <f>average(err_GDP_now!J10:J13)</f>
        <v>0.2381616772</v>
      </c>
      <c r="K14" s="12">
        <f>average(err_GDP_now!K10:K13)</f>
        <v>0.176258</v>
      </c>
      <c r="L14" s="12">
        <f>average(err_GDP_now!L10:L13)</f>
        <v>0.0899464127</v>
      </c>
      <c r="M14" s="12">
        <f>average(err_GDP_now!M10:M13)</f>
        <v>0.3395679185</v>
      </c>
      <c r="N14" s="12"/>
      <c r="O14" s="12">
        <f>average(err_GDP_now!O10:O13)</f>
        <v>0.2368698256</v>
      </c>
      <c r="P14" s="12">
        <f>average(err_GDP_now!P10:P13)</f>
        <v>0.3529898733</v>
      </c>
      <c r="Q14" s="12">
        <f>average(err_GDP_now!Q10:Q13)</f>
        <v>0.28232825</v>
      </c>
      <c r="R14" s="12"/>
      <c r="S14" s="12"/>
      <c r="T14" s="12"/>
      <c r="U14" s="12"/>
      <c r="V14" s="12"/>
      <c r="W14" s="12"/>
      <c r="X14" s="12"/>
      <c r="Y14" s="12"/>
      <c r="Z14" s="12"/>
      <c r="AA14" s="12">
        <f>average(err_GDP_now!AA10:AA13)</f>
        <v>0.32951275</v>
      </c>
      <c r="AB14" s="15" t="str">
        <f t="shared" si="1"/>
        <v>SVR-KNN</v>
      </c>
      <c r="AC14" s="13">
        <f t="shared" si="2"/>
        <v>0.0899464127</v>
      </c>
    </row>
    <row r="15">
      <c r="A15" s="11">
        <v>201906.0</v>
      </c>
      <c r="B15" s="10">
        <v>1.1</v>
      </c>
      <c r="C15" s="12">
        <f>average(err_GDP_now!C11:C14)</f>
        <v>0.2957635938</v>
      </c>
      <c r="D15" s="12">
        <f>average(err_GDP_now!D11:D14)</f>
        <v>0.15461375</v>
      </c>
      <c r="E15" s="12">
        <f>average(err_GDP_now!E11:E14)</f>
        <v>0.2785345</v>
      </c>
      <c r="F15" s="12">
        <f>average(err_GDP_now!F11:F14)</f>
        <v>0.16012</v>
      </c>
      <c r="G15" s="12"/>
      <c r="H15" s="12">
        <f>average(err_GDP_now!H11:H14)</f>
        <v>0.406979</v>
      </c>
      <c r="I15" s="12">
        <f>average(err_GDP_now!I11:I14)</f>
        <v>0.3686868587</v>
      </c>
      <c r="J15" s="12">
        <f>average(err_GDP_now!J11:J14)</f>
        <v>0.3410717211</v>
      </c>
      <c r="K15" s="12">
        <f>average(err_GDP_now!K11:K14)</f>
        <v>0.20091075</v>
      </c>
      <c r="L15" s="12">
        <f>average(err_GDP_now!L11:L14)</f>
        <v>0.07192144108</v>
      </c>
      <c r="M15" s="12">
        <f>average(err_GDP_now!M11:M14)</f>
        <v>0.4184012535</v>
      </c>
      <c r="N15" s="12"/>
      <c r="O15" s="12">
        <f>average(err_GDP_now!O11:O14)</f>
        <v>0.3681481269</v>
      </c>
      <c r="P15" s="12">
        <f>average(err_GDP_now!P11:P14)</f>
        <v>0.4024735421</v>
      </c>
      <c r="Q15" s="12">
        <f>average(err_GDP_now!Q11:Q14)</f>
        <v>0.260403</v>
      </c>
      <c r="R15" s="12"/>
      <c r="S15" s="12"/>
      <c r="T15" s="12"/>
      <c r="U15" s="12"/>
      <c r="V15" s="12"/>
      <c r="W15" s="12"/>
      <c r="X15" s="12"/>
      <c r="Y15" s="12"/>
      <c r="Z15" s="12"/>
      <c r="AA15" s="12">
        <f>average(err_GDP_now!AA11:AA14)</f>
        <v>0.406979</v>
      </c>
      <c r="AB15" s="15" t="str">
        <f t="shared" si="1"/>
        <v>SVR-KNN</v>
      </c>
      <c r="AC15" s="13">
        <f t="shared" si="2"/>
        <v>0.07192144108</v>
      </c>
    </row>
    <row r="16">
      <c r="A16" s="11">
        <v>201909.0</v>
      </c>
      <c r="B16" s="10">
        <v>0.4</v>
      </c>
      <c r="C16" s="12">
        <f>average(err_GDP_now!C12:C15)</f>
        <v>0.2337567212</v>
      </c>
      <c r="D16" s="12">
        <f>average(err_GDP_now!D12:D15)</f>
        <v>0.21325675</v>
      </c>
      <c r="E16" s="12">
        <f>average(err_GDP_now!E12:E15)</f>
        <v>0.307233</v>
      </c>
      <c r="F16" s="12">
        <f>average(err_GDP_now!F12:F15)</f>
        <v>0.2339885</v>
      </c>
      <c r="G16" s="12"/>
      <c r="H16" s="12">
        <f>average(err_GDP_now!H12:H15)</f>
        <v>0.349763</v>
      </c>
      <c r="I16" s="12">
        <f>average(err_GDP_now!I12:I15)</f>
        <v>0.3503805758</v>
      </c>
      <c r="J16" s="12">
        <f>average(err_GDP_now!J12:J15)</f>
        <v>0.3292586523</v>
      </c>
      <c r="K16" s="12">
        <f>average(err_GDP_now!K12:K15)</f>
        <v>0.22136275</v>
      </c>
      <c r="L16" s="12">
        <f>average(err_GDP_now!L12:L15)</f>
        <v>0.09799214355</v>
      </c>
      <c r="M16" s="12">
        <f>average(err_GDP_now!M12:M15)</f>
        <v>0.5486142785</v>
      </c>
      <c r="N16" s="12"/>
      <c r="O16" s="12">
        <f>average(err_GDP_now!O12:O15)</f>
        <v>0.3769417498</v>
      </c>
      <c r="P16" s="12">
        <f>average(err_GDP_now!P12:P15)</f>
        <v>0.3014331132</v>
      </c>
      <c r="Q16" s="12">
        <f>average(err_GDP_now!Q12:Q15)</f>
        <v>0.28913025</v>
      </c>
      <c r="R16" s="12"/>
      <c r="S16" s="12"/>
      <c r="T16" s="12"/>
      <c r="U16" s="12"/>
      <c r="V16" s="12"/>
      <c r="W16" s="12"/>
      <c r="X16" s="12"/>
      <c r="Y16" s="12"/>
      <c r="Z16" s="12"/>
      <c r="AA16" s="12">
        <f>average(err_GDP_now!AA12:AA15)</f>
        <v>0.349763</v>
      </c>
      <c r="AB16" s="15" t="str">
        <f t="shared" si="1"/>
        <v>SVR-KNN</v>
      </c>
      <c r="AC16" s="13">
        <f t="shared" si="2"/>
        <v>0.09799214355</v>
      </c>
    </row>
    <row r="17">
      <c r="A17" s="11">
        <v>201912.0</v>
      </c>
      <c r="B17" s="10">
        <v>1.2</v>
      </c>
      <c r="C17" s="12">
        <f>average(err_GDP_now!C13:C16)</f>
        <v>0.2159521086</v>
      </c>
      <c r="D17" s="12">
        <f>average(err_GDP_now!D13:D16)</f>
        <v>0.20663125</v>
      </c>
      <c r="E17" s="12">
        <f>average(err_GDP_now!E13:E16)</f>
        <v>0.28826375</v>
      </c>
      <c r="F17" s="12">
        <f>average(err_GDP_now!F13:F16)</f>
        <v>0.25471025</v>
      </c>
      <c r="G17" s="12"/>
      <c r="H17" s="12">
        <f>average(err_GDP_now!H13:H16)</f>
        <v>0.4402365</v>
      </c>
      <c r="I17" s="12">
        <f>average(err_GDP_now!I13:I16)</f>
        <v>0.2500951137</v>
      </c>
      <c r="J17" s="12">
        <f>average(err_GDP_now!J13:J16)</f>
        <v>0.2838904475</v>
      </c>
      <c r="K17" s="12">
        <f>average(err_GDP_now!K13:K16)</f>
        <v>0.26598675</v>
      </c>
      <c r="L17" s="12">
        <f>average(err_GDP_now!L13:L16)</f>
        <v>0.1144676178</v>
      </c>
      <c r="M17" s="12">
        <f>average(err_GDP_now!M13:M16)</f>
        <v>0.682833886</v>
      </c>
      <c r="N17" s="12"/>
      <c r="O17" s="12">
        <f>average(err_GDP_now!O13:O16)</f>
        <v>0.4482471608</v>
      </c>
      <c r="P17" s="12">
        <f>average(err_GDP_now!P13:P16)</f>
        <v>0.433792457</v>
      </c>
      <c r="Q17" s="12">
        <f>average(err_GDP_now!Q13:Q16)</f>
        <v>0.37127475</v>
      </c>
      <c r="R17" s="12"/>
      <c r="S17" s="12"/>
      <c r="T17" s="12"/>
      <c r="U17" s="12"/>
      <c r="V17" s="12"/>
      <c r="W17" s="12"/>
      <c r="X17" s="12"/>
      <c r="Y17" s="12"/>
      <c r="Z17" s="12"/>
      <c r="AA17" s="12">
        <f>average(err_GDP_now!AA13:AA16)</f>
        <v>0.4402365</v>
      </c>
      <c r="AB17" s="15" t="str">
        <f t="shared" si="1"/>
        <v>SVR-KNN</v>
      </c>
      <c r="AC17" s="13">
        <f t="shared" si="2"/>
        <v>0.1144676178</v>
      </c>
    </row>
    <row r="18">
      <c r="A18" s="11">
        <v>202003.0</v>
      </c>
      <c r="B18" s="10">
        <v>-1.3</v>
      </c>
      <c r="C18" s="12">
        <f>average(err_GDP_now!C14:C17)</f>
        <v>0.2884488588</v>
      </c>
      <c r="D18" s="12">
        <f>average(err_GDP_now!D14:D17)</f>
        <v>0.22562</v>
      </c>
      <c r="E18" s="12">
        <f>average(err_GDP_now!E14:E17)</f>
        <v>0.294172</v>
      </c>
      <c r="F18" s="12">
        <f>average(err_GDP_now!F14:F17)</f>
        <v>0.310306</v>
      </c>
      <c r="G18" s="12"/>
      <c r="H18" s="12">
        <f>average(err_GDP_now!H14:H17)</f>
        <v>0.63064575</v>
      </c>
      <c r="I18" s="12">
        <f>average(err_GDP_now!I14:I17)</f>
        <v>0.2439712273</v>
      </c>
      <c r="J18" s="12">
        <f>average(err_GDP_now!J14:J17)</f>
        <v>0.2874245819</v>
      </c>
      <c r="K18" s="12">
        <f>average(err_GDP_now!K14:K17)</f>
        <v>0.327193</v>
      </c>
      <c r="L18" s="12">
        <f>average(err_GDP_now!L14:L17)</f>
        <v>0.1532967885</v>
      </c>
      <c r="M18" s="12">
        <f>average(err_GDP_now!M14:M17)</f>
        <v>0.6284368625</v>
      </c>
      <c r="N18" s="12"/>
      <c r="O18" s="12">
        <f>average(err_GDP_now!O14:O17)</f>
        <v>0.4376962148</v>
      </c>
      <c r="P18" s="12">
        <f>average(err_GDP_now!P14:P17)</f>
        <v>0.6831663501</v>
      </c>
      <c r="Q18" s="12">
        <f>average(err_GDP_now!Q14:Q17)</f>
        <v>0.459206</v>
      </c>
      <c r="R18" s="12"/>
      <c r="S18" s="12"/>
      <c r="T18" s="12"/>
      <c r="U18" s="12"/>
      <c r="V18" s="12"/>
      <c r="W18" s="12"/>
      <c r="X18" s="12"/>
      <c r="Y18" s="12"/>
      <c r="Z18" s="12"/>
      <c r="AA18" s="12">
        <f>average(err_GDP_now!AA14:AA17)</f>
        <v>0.63064575</v>
      </c>
      <c r="AB18" s="15" t="str">
        <f t="shared" si="1"/>
        <v>SVR-KNN</v>
      </c>
      <c r="AC18" s="13">
        <f t="shared" si="2"/>
        <v>0.1532967885</v>
      </c>
    </row>
    <row r="19">
      <c r="A19" s="11">
        <v>202006.0</v>
      </c>
      <c r="B19" s="10">
        <v>-3.0</v>
      </c>
      <c r="C19" s="12">
        <f>average(err_GDP_now!C15:C18)</f>
        <v>0.5490385054</v>
      </c>
      <c r="D19" s="12">
        <f>average(err_GDP_now!D15:D18)</f>
        <v>0.5424975</v>
      </c>
      <c r="E19" s="12">
        <f>average(err_GDP_now!E15:E18)</f>
        <v>0.527407</v>
      </c>
      <c r="F19" s="12">
        <f>average(err_GDP_now!F15:F18)</f>
        <v>0.616222</v>
      </c>
      <c r="G19" s="12"/>
      <c r="H19" s="12">
        <f>average(err_GDP_now!H15:H18)</f>
        <v>0.8113925</v>
      </c>
      <c r="I19" s="12">
        <f>average(err_GDP_now!I15:I18)</f>
        <v>0.406828353</v>
      </c>
      <c r="J19" s="12">
        <f>average(err_GDP_now!J15:J18)</f>
        <v>0.5919030591</v>
      </c>
      <c r="K19" s="12">
        <f>average(err_GDP_now!K15:K18)</f>
        <v>0.746712</v>
      </c>
      <c r="L19" s="12">
        <f>average(err_GDP_now!L15:L18)</f>
        <v>0.5328127535</v>
      </c>
      <c r="M19" s="12">
        <f>average(err_GDP_now!M15:M18)</f>
        <v>0.5703764475</v>
      </c>
      <c r="N19" s="12"/>
      <c r="O19" s="12">
        <f>average(err_GDP_now!O15:O18)</f>
        <v>0.5987136964</v>
      </c>
      <c r="P19" s="12">
        <f>average(err_GDP_now!P15:P18)</f>
        <v>0.8867850211</v>
      </c>
      <c r="Q19" s="12">
        <f>average(err_GDP_now!Q15:Q18)</f>
        <v>0.66026</v>
      </c>
      <c r="R19" s="12"/>
      <c r="S19" s="12"/>
      <c r="T19" s="12"/>
      <c r="U19" s="12"/>
      <c r="V19" s="12"/>
      <c r="W19" s="12"/>
      <c r="X19" s="12"/>
      <c r="Y19" s="12"/>
      <c r="Z19" s="12"/>
      <c r="AA19" s="12">
        <f>average(err_GDP_now!AA15:AA18)</f>
        <v>0.8113925</v>
      </c>
      <c r="AB19" s="15" t="str">
        <f t="shared" si="1"/>
        <v>TFM</v>
      </c>
      <c r="AC19" s="13">
        <f t="shared" si="2"/>
        <v>0.406828353</v>
      </c>
    </row>
    <row r="20">
      <c r="A20" s="11">
        <v>202009.0</v>
      </c>
      <c r="B20" s="10">
        <v>2.3</v>
      </c>
      <c r="C20" s="12">
        <f>average(err_GDP_now!C16:C19)</f>
        <v>1.159900808</v>
      </c>
      <c r="D20" s="12">
        <f>average(err_GDP_now!D16:D19)</f>
        <v>0.91751125</v>
      </c>
      <c r="E20" s="12">
        <f>average(err_GDP_now!E16:E19)</f>
        <v>0.92149</v>
      </c>
      <c r="F20" s="12">
        <f>average(err_GDP_now!F16:F19)</f>
        <v>1.169059</v>
      </c>
      <c r="G20" s="12"/>
      <c r="H20" s="12">
        <f>average(err_GDP_now!H16:H19)</f>
        <v>1.978706</v>
      </c>
      <c r="I20" s="12">
        <f>average(err_GDP_now!I16:I19)</f>
        <v>0.9216203934</v>
      </c>
      <c r="J20" s="12">
        <f>average(err_GDP_now!J16:J19)</f>
        <v>1.37928806</v>
      </c>
      <c r="K20" s="12">
        <f>average(err_GDP_now!K16:K19)</f>
        <v>1.07863475</v>
      </c>
      <c r="L20" s="12">
        <f>average(err_GDP_now!L16:L19)</f>
        <v>1.046830221</v>
      </c>
      <c r="M20" s="12">
        <f>average(err_GDP_now!M16:M19)</f>
        <v>1.271667853</v>
      </c>
      <c r="N20" s="12"/>
      <c r="O20" s="12">
        <f>average(err_GDP_now!O16:O19)</f>
        <v>1.04368492</v>
      </c>
      <c r="P20" s="12">
        <f>average(err_GDP_now!P16:P19)</f>
        <v>0.8756278303</v>
      </c>
      <c r="Q20" s="12">
        <f>average(err_GDP_now!Q16:Q19)</f>
        <v>0.72886075</v>
      </c>
      <c r="R20" s="12"/>
      <c r="S20" s="12"/>
      <c r="T20" s="12"/>
      <c r="U20" s="12"/>
      <c r="V20" s="12"/>
      <c r="W20" s="12"/>
      <c r="X20" s="12"/>
      <c r="Y20" s="12"/>
      <c r="Z20" s="12"/>
      <c r="AA20" s="12">
        <f>average(err_GDP_now!AA16:AA19)</f>
        <v>1.978706</v>
      </c>
      <c r="AB20" s="15" t="str">
        <f t="shared" si="1"/>
        <v>LQR</v>
      </c>
      <c r="AC20" s="13">
        <f t="shared" si="2"/>
        <v>0.72886075</v>
      </c>
    </row>
    <row r="21">
      <c r="A21" s="11">
        <v>202012.0</v>
      </c>
      <c r="B21" s="10">
        <v>1.3</v>
      </c>
      <c r="C21" s="12">
        <f>average(err_GDP_now!C17:C20)</f>
        <v>1.25931439</v>
      </c>
      <c r="D21" s="12">
        <f>average(err_GDP_now!D17:D20)</f>
        <v>1.01662425</v>
      </c>
      <c r="E21" s="12">
        <f>average(err_GDP_now!E17:E20)</f>
        <v>0.921199</v>
      </c>
      <c r="F21" s="12">
        <f>average(err_GDP_now!F17:F20)</f>
        <v>1.4480315</v>
      </c>
      <c r="G21" s="12"/>
      <c r="H21" s="12">
        <f>average(err_GDP_now!H17:H20)</f>
        <v>2.34030475</v>
      </c>
      <c r="I21" s="12">
        <f>average(err_GDP_now!I17:I20)</f>
        <v>0.932425906</v>
      </c>
      <c r="J21" s="12">
        <f>average(err_GDP_now!J17:J20)</f>
        <v>1.475470894</v>
      </c>
      <c r="K21" s="12">
        <f>average(err_GDP_now!K17:K20)</f>
        <v>1.28003625</v>
      </c>
      <c r="L21" s="12">
        <f>average(err_GDP_now!L17:L20)</f>
        <v>1.048459098</v>
      </c>
      <c r="M21" s="12">
        <f>average(err_GDP_now!M17:M20)</f>
        <v>1.296943653</v>
      </c>
      <c r="N21" s="12"/>
      <c r="O21" s="12">
        <f>average(err_GDP_now!O17:O20)</f>
        <v>1.307695676</v>
      </c>
      <c r="P21" s="12">
        <f>average(err_GDP_now!P17:P20)</f>
        <v>0.9225918975</v>
      </c>
      <c r="Q21" s="12">
        <f>average(err_GDP_now!Q17:Q20)</f>
        <v>0.996187</v>
      </c>
      <c r="R21" s="12"/>
      <c r="S21" s="12"/>
      <c r="T21" s="12"/>
      <c r="U21" s="12"/>
      <c r="V21" s="12"/>
      <c r="W21" s="12"/>
      <c r="X21" s="12"/>
      <c r="Y21" s="12"/>
      <c r="Z21" s="12"/>
      <c r="AA21" s="12">
        <f>average(err_GDP_now!AA17:AA20)</f>
        <v>2.34030475</v>
      </c>
      <c r="AB21" s="15" t="str">
        <f t="shared" si="1"/>
        <v>BEM2</v>
      </c>
      <c r="AC21" s="13">
        <f t="shared" si="2"/>
        <v>0.921199</v>
      </c>
    </row>
    <row r="22">
      <c r="A22" s="11">
        <v>202103.0</v>
      </c>
      <c r="B22" s="10">
        <v>1.8</v>
      </c>
      <c r="C22" s="12">
        <f>average(err_GDP_now!C18:C21)</f>
        <v>1.218859973</v>
      </c>
      <c r="D22" s="12">
        <f>average(err_GDP_now!D18:D21)</f>
        <v>0.926185</v>
      </c>
      <c r="E22" s="12">
        <f>average(err_GDP_now!E18:E21)</f>
        <v>0.82458075</v>
      </c>
      <c r="F22" s="12">
        <f>average(err_GDP_now!F18:F21)</f>
        <v>1.3512645</v>
      </c>
      <c r="G22" s="12"/>
      <c r="H22" s="12">
        <f>average(err_GDP_now!H18:H21)</f>
        <v>2.63637475</v>
      </c>
      <c r="I22" s="12">
        <f>average(err_GDP_now!I18:I21)</f>
        <v>1.016737301</v>
      </c>
      <c r="J22" s="12">
        <f>average(err_GDP_now!J18:J21)</f>
        <v>1.462213221</v>
      </c>
      <c r="K22" s="12">
        <f>average(err_GDP_now!K18:K21)</f>
        <v>1.35349225</v>
      </c>
      <c r="L22" s="12">
        <f>average(err_GDP_now!L18:L21)</f>
        <v>1.014416985</v>
      </c>
      <c r="M22" s="12">
        <f>average(err_GDP_now!M18:M21)</f>
        <v>1.474373375</v>
      </c>
      <c r="N22" s="12"/>
      <c r="O22" s="12">
        <f>average(err_GDP_now!O18:O21)</f>
        <v>1.281031534</v>
      </c>
      <c r="P22" s="12">
        <f>average(err_GDP_now!P18:P21)</f>
        <v>0.6530246869</v>
      </c>
      <c r="Q22" s="12">
        <f>average(err_GDP_now!Q18:Q21)</f>
        <v>0.94926875</v>
      </c>
      <c r="R22" s="12"/>
      <c r="S22" s="12"/>
      <c r="T22" s="12"/>
      <c r="U22" s="12"/>
      <c r="V22" s="12"/>
      <c r="W22" s="12"/>
      <c r="X22" s="12"/>
      <c r="Y22" s="12"/>
      <c r="Z22" s="12"/>
      <c r="AA22" s="12">
        <f>average(err_GDP_now!AA18:AA21)</f>
        <v>2.63637475</v>
      </c>
      <c r="AB22" s="15" t="str">
        <f t="shared" si="1"/>
        <v>S-XGB</v>
      </c>
      <c r="AC22" s="13">
        <f t="shared" si="2"/>
        <v>0.6530246869</v>
      </c>
    </row>
    <row r="23">
      <c r="A23" s="11">
        <v>202106.0</v>
      </c>
      <c r="B23" s="10">
        <v>0.9</v>
      </c>
      <c r="C23" s="12">
        <f>average(err_GDP_now!C19:C22)</f>
        <v>1.176508039</v>
      </c>
      <c r="D23" s="12">
        <f>average(err_GDP_now!D19:D22)</f>
        <v>0.768609</v>
      </c>
      <c r="E23" s="12">
        <f>average(err_GDP_now!E19:E22)</f>
        <v>0.70476825</v>
      </c>
      <c r="F23" s="12">
        <f>average(err_GDP_now!F19:F22)</f>
        <v>1.16692625</v>
      </c>
      <c r="G23" s="12"/>
      <c r="H23" s="12">
        <f>average(err_GDP_now!H19:H22)</f>
        <v>2.63005225</v>
      </c>
      <c r="I23" s="12">
        <f>average(err_GDP_now!I19:I22)</f>
        <v>0.7246499962</v>
      </c>
      <c r="J23" s="12">
        <f>average(err_GDP_now!J19:J22)</f>
        <v>1.187090752</v>
      </c>
      <c r="K23" s="12">
        <f>average(err_GDP_now!K19:K22)</f>
        <v>0.96201475</v>
      </c>
      <c r="L23" s="12">
        <f>average(err_GDP_now!L19:L22)</f>
        <v>0.6424740046</v>
      </c>
      <c r="M23" s="12">
        <f>average(err_GDP_now!M19:M22)</f>
        <v>1.430976715</v>
      </c>
      <c r="N23" s="12"/>
      <c r="O23" s="12">
        <f>average(err_GDP_now!O19:O22)</f>
        <v>1.195733873</v>
      </c>
      <c r="P23" s="12">
        <f>average(err_GDP_now!P19:P22)</f>
        <v>0.350431627</v>
      </c>
      <c r="Q23" s="12">
        <f>average(err_GDP_now!Q19:Q22)</f>
        <v>0.6362445</v>
      </c>
      <c r="R23" s="12"/>
      <c r="S23" s="12"/>
      <c r="T23" s="12"/>
      <c r="U23" s="12"/>
      <c r="V23" s="12"/>
      <c r="W23" s="12"/>
      <c r="X23" s="12"/>
      <c r="Y23" s="12"/>
      <c r="Z23" s="12"/>
      <c r="AA23" s="12">
        <f>average(err_GDP_now!AA19:AA22)</f>
        <v>2.63005225</v>
      </c>
      <c r="AB23" s="15" t="str">
        <f t="shared" si="1"/>
        <v>S-XGB</v>
      </c>
      <c r="AC23" s="13">
        <f t="shared" si="2"/>
        <v>0.350431627</v>
      </c>
    </row>
    <row r="24">
      <c r="A24" s="11">
        <v>202109.0</v>
      </c>
      <c r="B24" s="10">
        <v>0.1</v>
      </c>
      <c r="C24" s="12">
        <f>average(err_GDP_now!C20:C23)</f>
        <v>0.5886018643</v>
      </c>
      <c r="D24" s="12">
        <f>average(err_GDP_now!D20:D23)</f>
        <v>0.37042</v>
      </c>
      <c r="E24" s="12">
        <f>average(err_GDP_now!E20:E23)</f>
        <v>0.24910925</v>
      </c>
      <c r="F24" s="12">
        <f>average(err_GDP_now!F20:F23)</f>
        <v>0.54976575</v>
      </c>
      <c r="G24" s="12"/>
      <c r="H24" s="12">
        <f>average(err_GDP_now!H20:H23)</f>
        <v>1.613333</v>
      </c>
      <c r="I24" s="12">
        <f>average(err_GDP_now!I20:I23)</f>
        <v>0.4627470193</v>
      </c>
      <c r="J24" s="12">
        <f>average(err_GDP_now!J20:J23)</f>
        <v>0.4434834719</v>
      </c>
      <c r="K24" s="12">
        <f>average(err_GDP_now!K20:K23)</f>
        <v>0.67811625</v>
      </c>
      <c r="L24" s="12">
        <f>average(err_GDP_now!L20:L23)</f>
        <v>0.1139472588</v>
      </c>
      <c r="M24" s="12">
        <f>average(err_GDP_now!M20:M23)</f>
        <v>0.756773485</v>
      </c>
      <c r="N24" s="12"/>
      <c r="O24" s="12">
        <f>average(err_GDP_now!O20:O23)</f>
        <v>0.7118361088</v>
      </c>
      <c r="P24" s="12">
        <f>average(err_GDP_now!P20:P23)</f>
        <v>0.4120022953</v>
      </c>
      <c r="Q24" s="12">
        <f>average(err_GDP_now!Q20:Q23)</f>
        <v>0.5678325</v>
      </c>
      <c r="R24" s="12"/>
      <c r="S24" s="12"/>
      <c r="T24" s="12"/>
      <c r="U24" s="12"/>
      <c r="V24" s="12"/>
      <c r="W24" s="12"/>
      <c r="X24" s="12"/>
      <c r="Y24" s="12"/>
      <c r="Z24" s="12"/>
      <c r="AA24" s="12">
        <f>average(err_GDP_now!AA20:AA23)</f>
        <v>1.613333</v>
      </c>
      <c r="AB24" s="15" t="str">
        <f t="shared" si="1"/>
        <v>SVR-KNN</v>
      </c>
      <c r="AC24" s="13">
        <f t="shared" si="2"/>
        <v>0.1139472588</v>
      </c>
    </row>
    <row r="25">
      <c r="A25" s="11">
        <v>202112.0</v>
      </c>
      <c r="B25" s="10">
        <v>1.4</v>
      </c>
      <c r="C25" s="12">
        <f>average(err_GDP_now!C21:C24)</f>
        <v>0.7850229258</v>
      </c>
      <c r="D25" s="12">
        <f>average(err_GDP_now!D21:D24)</f>
        <v>0.376876</v>
      </c>
      <c r="E25" s="12">
        <f>average(err_GDP_now!E21:E24)</f>
        <v>0.33955525</v>
      </c>
      <c r="F25" s="12">
        <f>average(err_GDP_now!F21:F24)</f>
        <v>0.36586375</v>
      </c>
      <c r="G25" s="12"/>
      <c r="H25" s="12">
        <f>average(err_GDP_now!H21:H24)</f>
        <v>1.14804025</v>
      </c>
      <c r="I25" s="12">
        <f>average(err_GDP_now!I21:I24)</f>
        <v>0.6912497844</v>
      </c>
      <c r="J25" s="12">
        <f>average(err_GDP_now!J21:J24)</f>
        <v>0.4642685631</v>
      </c>
      <c r="K25" s="12">
        <f>average(err_GDP_now!K21:K24)</f>
        <v>0.6186335</v>
      </c>
      <c r="L25" s="12">
        <f>average(err_GDP_now!L21:L24)</f>
        <v>0.3308920024</v>
      </c>
      <c r="M25" s="12">
        <f>average(err_GDP_now!M21:M24)</f>
        <v>0.59389371</v>
      </c>
      <c r="N25" s="12"/>
      <c r="O25" s="12">
        <f>average(err_GDP_now!O21:O24)</f>
        <v>0.5617262411</v>
      </c>
      <c r="P25" s="12">
        <f>average(err_GDP_now!P21:P24)</f>
        <v>0.4128194243</v>
      </c>
      <c r="Q25" s="12">
        <f>average(err_GDP_now!Q21:Q24)</f>
        <v>0.319043</v>
      </c>
      <c r="R25" s="12"/>
      <c r="S25" s="12"/>
      <c r="T25" s="12"/>
      <c r="U25" s="12"/>
      <c r="V25" s="12"/>
      <c r="W25" s="12"/>
      <c r="X25" s="12"/>
      <c r="Y25" s="12"/>
      <c r="Z25" s="12"/>
      <c r="AA25" s="12">
        <f>average(err_GDP_now!AA21:AA24)</f>
        <v>1.14804025</v>
      </c>
      <c r="AB25" s="15" t="str">
        <f t="shared" si="1"/>
        <v>LQR</v>
      </c>
      <c r="AC25" s="13">
        <f t="shared" si="2"/>
        <v>0.319043</v>
      </c>
    </row>
    <row r="26">
      <c r="A26" s="11">
        <v>202203.0</v>
      </c>
      <c r="B26" s="10">
        <v>0.7</v>
      </c>
      <c r="C26" s="12">
        <f>average(err_GDP_now!C22:C25)</f>
        <v>0.8518226058</v>
      </c>
      <c r="D26" s="12">
        <f>average(err_GDP_now!D22:D25)</f>
        <v>0.34839125</v>
      </c>
      <c r="E26" s="12">
        <f>average(err_GDP_now!E22:E25)</f>
        <v>0.28661175</v>
      </c>
      <c r="F26" s="12">
        <f>average(err_GDP_now!F22:F25)</f>
        <v>0.365467</v>
      </c>
      <c r="G26" s="12"/>
      <c r="H26" s="12">
        <f>average(err_GDP_now!H22:H25)</f>
        <v>0.65908275</v>
      </c>
      <c r="I26" s="12">
        <f>average(err_GDP_now!I22:I25)</f>
        <v>0.7574420173</v>
      </c>
      <c r="J26" s="12">
        <f>average(err_GDP_now!J22:J25)</f>
        <v>0.6284635839</v>
      </c>
      <c r="K26" s="12">
        <f>average(err_GDP_now!K22:K25)</f>
        <v>0.53213325</v>
      </c>
      <c r="L26" s="12">
        <f>average(err_GDP_now!L22:L25)</f>
        <v>0.3100346113</v>
      </c>
      <c r="M26" s="12">
        <f>average(err_GDP_now!M22:M25)</f>
        <v>0.515458485</v>
      </c>
      <c r="N26" s="12"/>
      <c r="O26" s="12">
        <f>average(err_GDP_now!O22:O25)</f>
        <v>0.6274089772</v>
      </c>
      <c r="P26" s="12">
        <f>average(err_GDP_now!P22:P25)</f>
        <v>0.5130666822</v>
      </c>
      <c r="Q26" s="12">
        <f>average(err_GDP_now!Q22:Q25)</f>
        <v>0.241392</v>
      </c>
      <c r="R26" s="12"/>
      <c r="S26" s="12"/>
      <c r="T26" s="12"/>
      <c r="U26" s="12"/>
      <c r="V26" s="12"/>
      <c r="W26" s="12"/>
      <c r="X26" s="12"/>
      <c r="Y26" s="12"/>
      <c r="Z26" s="12"/>
      <c r="AA26" s="12">
        <f>average(err_GDP_now!AA22:AA25)</f>
        <v>0.65908275</v>
      </c>
      <c r="AB26" s="15" t="str">
        <f t="shared" si="1"/>
        <v>LQR</v>
      </c>
      <c r="AC26" s="13">
        <f t="shared" si="2"/>
        <v>0.241392</v>
      </c>
    </row>
    <row r="27">
      <c r="A27" s="11">
        <v>202206.0</v>
      </c>
      <c r="B27" s="10">
        <v>0.8</v>
      </c>
      <c r="C27" s="12">
        <f>average(err_GDP_now!C23:C26)</f>
        <v>0.7127338836</v>
      </c>
      <c r="D27" s="12">
        <f>average(err_GDP_now!D23:D26)</f>
        <v>0.2182065</v>
      </c>
      <c r="E27" s="12">
        <f>average(err_GDP_now!E23:E26)</f>
        <v>0.152209</v>
      </c>
      <c r="F27" s="12">
        <f>average(err_GDP_now!F23:F26)</f>
        <v>0.2239305</v>
      </c>
      <c r="G27" s="12"/>
      <c r="H27" s="12">
        <f>average(err_GDP_now!H23:H26)</f>
        <v>0.3393535</v>
      </c>
      <c r="I27" s="12">
        <f>average(err_GDP_now!I23:I26)</f>
        <v>0.7759972585</v>
      </c>
      <c r="J27" s="12">
        <f>average(err_GDP_now!J23:J26)</f>
        <v>0.4639037105</v>
      </c>
      <c r="K27" s="12">
        <f>average(err_GDP_now!K23:K26)</f>
        <v>0.59304875</v>
      </c>
      <c r="L27" s="12">
        <f>average(err_GDP_now!L23:L26)</f>
        <v>0.3009487595</v>
      </c>
      <c r="M27" s="12">
        <f>average(err_GDP_now!M23:M26)</f>
        <v>0.5107625475</v>
      </c>
      <c r="N27" s="12"/>
      <c r="O27" s="12">
        <f>average(err_GDP_now!O23:O26)</f>
        <v>0.3783205905</v>
      </c>
      <c r="P27" s="12">
        <f>average(err_GDP_now!P23:P26)</f>
        <v>0.4712688655</v>
      </c>
      <c r="Q27" s="12">
        <f>average(err_GDP_now!Q23:Q26)</f>
        <v>0.28462325</v>
      </c>
      <c r="R27" s="12"/>
      <c r="S27" s="12"/>
      <c r="T27" s="12"/>
      <c r="U27" s="12"/>
      <c r="V27" s="12"/>
      <c r="W27" s="12"/>
      <c r="X27" s="12"/>
      <c r="Y27" s="12"/>
      <c r="Z27" s="12"/>
      <c r="AA27" s="12">
        <f>average(err_GDP_now!AA23:AA26)</f>
        <v>0.3393535</v>
      </c>
      <c r="AB27" s="15" t="str">
        <f t="shared" si="1"/>
        <v>BEM2</v>
      </c>
      <c r="AC27" s="13">
        <f t="shared" si="2"/>
        <v>0.152209</v>
      </c>
    </row>
    <row r="28">
      <c r="A28" s="11">
        <v>202209.0</v>
      </c>
      <c r="B28" s="10">
        <v>0.2</v>
      </c>
      <c r="C28" s="12">
        <f>average(err_GDP_now!C24:C27)</f>
        <v>0.7911016645</v>
      </c>
      <c r="D28" s="12">
        <f>average(err_GDP_now!D24:D27)</f>
        <v>0.28646225</v>
      </c>
      <c r="E28" s="12">
        <f>average(err_GDP_now!E24:E27)</f>
        <v>0.250183</v>
      </c>
      <c r="F28" s="12">
        <f>average(err_GDP_now!F24:F27)</f>
        <v>0.30162775</v>
      </c>
      <c r="G28" s="12"/>
      <c r="H28" s="12">
        <f>average(err_GDP_now!H24:H27)</f>
        <v>0.22908225</v>
      </c>
      <c r="I28" s="12">
        <f>average(err_GDP_now!I24:I27)</f>
        <v>0.5181268476</v>
      </c>
      <c r="J28" s="12">
        <f>average(err_GDP_now!J24:J27)</f>
        <v>0.414879191</v>
      </c>
      <c r="K28" s="12">
        <f>average(err_GDP_now!K24:K27)</f>
        <v>0.6083645</v>
      </c>
      <c r="L28" s="12">
        <f>average(err_GDP_now!L24:L27)</f>
        <v>0.337832637</v>
      </c>
      <c r="M28" s="12">
        <f>average(err_GDP_now!M24:M27)</f>
        <v>0.35701044</v>
      </c>
      <c r="N28" s="12"/>
      <c r="O28" s="12">
        <f>average(err_GDP_now!O24:O27)</f>
        <v>0.5120238807</v>
      </c>
      <c r="P28" s="12">
        <f>average(err_GDP_now!P24:P27)</f>
        <v>0.4098956048</v>
      </c>
      <c r="Q28" s="12">
        <f>average(err_GDP_now!Q24:Q27)</f>
        <v>0.38552925</v>
      </c>
      <c r="R28" s="12"/>
      <c r="S28" s="12"/>
      <c r="T28" s="12"/>
      <c r="U28" s="12"/>
      <c r="V28" s="12"/>
      <c r="W28" s="12"/>
      <c r="X28" s="12"/>
      <c r="Y28" s="12"/>
      <c r="Z28" s="12"/>
      <c r="AA28" s="12">
        <f>average(err_GDP_now!AA24:AA27)</f>
        <v>0.22908225</v>
      </c>
      <c r="AB28" s="15" t="str">
        <f t="shared" si="1"/>
        <v>LBVAR</v>
      </c>
      <c r="AC28" s="13">
        <f t="shared" si="2"/>
        <v>0.22908225</v>
      </c>
    </row>
    <row r="29">
      <c r="A29" s="11">
        <v>202212.0</v>
      </c>
      <c r="B29" s="10">
        <v>-0.3</v>
      </c>
      <c r="C29" s="12">
        <f>average(err_GDP_now!C25:C28)</f>
        <v>0.4790928064</v>
      </c>
      <c r="D29" s="12">
        <f>average(err_GDP_now!D25:D28)</f>
        <v>0.16845875</v>
      </c>
      <c r="E29" s="12">
        <f>average(err_GDP_now!E25:E28)</f>
        <v>0.17410025</v>
      </c>
      <c r="F29" s="12">
        <f>average(err_GDP_now!F25:F28)</f>
        <v>0.21384625</v>
      </c>
      <c r="G29" s="12"/>
      <c r="H29" s="12">
        <f>average(err_GDP_now!H25:H28)</f>
        <v>0.39303975</v>
      </c>
      <c r="I29" s="12">
        <f>average(err_GDP_now!I25:I28)</f>
        <v>0.2815843999</v>
      </c>
      <c r="J29" s="12">
        <f>average(err_GDP_now!J25:J28)</f>
        <v>0.2874367267</v>
      </c>
      <c r="K29" s="12">
        <f>average(err_GDP_now!K25:K28)</f>
        <v>0.56464575</v>
      </c>
      <c r="L29" s="12">
        <f>average(err_GDP_now!L25:L28)</f>
        <v>0.2067311882</v>
      </c>
      <c r="M29" s="12">
        <f>average(err_GDP_now!M25:M28)</f>
        <v>0.4184214075</v>
      </c>
      <c r="N29" s="12"/>
      <c r="O29" s="12">
        <f>average(err_GDP_now!O25:O28)</f>
        <v>0.3462913973</v>
      </c>
      <c r="P29" s="12">
        <f>average(err_GDP_now!P25:P28)</f>
        <v>0.3186347902</v>
      </c>
      <c r="Q29" s="12">
        <f>average(err_GDP_now!Q25:Q28)</f>
        <v>0.3622715</v>
      </c>
      <c r="R29" s="12"/>
      <c r="S29" s="12"/>
      <c r="T29" s="12"/>
      <c r="U29" s="12"/>
      <c r="V29" s="12"/>
      <c r="W29" s="12"/>
      <c r="X29" s="12"/>
      <c r="Y29" s="12"/>
      <c r="Z29" s="12"/>
      <c r="AA29" s="12">
        <f>average(err_GDP_now!AA25:AA28)</f>
        <v>0.39303975</v>
      </c>
      <c r="AB29" s="15" t="str">
        <f t="shared" si="1"/>
        <v>BEM1</v>
      </c>
      <c r="AC29" s="13">
        <f t="shared" si="2"/>
        <v>0.16845875</v>
      </c>
    </row>
    <row r="30">
      <c r="A30" s="11">
        <v>202303.0</v>
      </c>
      <c r="B30" s="10">
        <v>0.3</v>
      </c>
      <c r="C30" s="12">
        <f>average(err_GDP_now!C26:C29)</f>
        <v>0.4240553207</v>
      </c>
      <c r="D30" s="12">
        <f>average(err_GDP_now!D26:D29)</f>
        <v>0.263844</v>
      </c>
      <c r="E30" s="12">
        <f>average(err_GDP_now!E26:E29)</f>
        <v>0.32046375</v>
      </c>
      <c r="F30" s="12">
        <f>average(err_GDP_now!F26:F29)</f>
        <v>0.2294765</v>
      </c>
      <c r="G30" s="12"/>
      <c r="H30" s="12">
        <f>average(err_GDP_now!H26:H29)</f>
        <v>0.4237145</v>
      </c>
      <c r="I30" s="12">
        <f>average(err_GDP_now!I26:I29)</f>
        <v>0.1510396902</v>
      </c>
      <c r="J30" s="12">
        <f>average(err_GDP_now!J26:J29)</f>
        <v>0.3073676433</v>
      </c>
      <c r="K30" s="12">
        <f>average(err_GDP_now!K26:K29)</f>
        <v>0.5253255</v>
      </c>
      <c r="L30" s="12">
        <f>average(err_GDP_now!L26:L29)</f>
        <v>0.2724934495</v>
      </c>
      <c r="M30" s="12">
        <f>average(err_GDP_now!M26:M29)</f>
        <v>0.308173985</v>
      </c>
      <c r="N30" s="12"/>
      <c r="O30" s="12">
        <f>average(err_GDP_now!O26:O29)</f>
        <v>0.2965634431</v>
      </c>
      <c r="P30" s="12">
        <f>average(err_GDP_now!P26:P29)</f>
        <v>0.3526482835</v>
      </c>
      <c r="Q30" s="12">
        <f>average(err_GDP_now!Q26:Q29)</f>
        <v>0.38207275</v>
      </c>
      <c r="R30" s="12"/>
      <c r="S30" s="12"/>
      <c r="T30" s="12"/>
      <c r="U30" s="12"/>
      <c r="V30" s="12"/>
      <c r="W30" s="12"/>
      <c r="X30" s="12"/>
      <c r="Y30" s="12"/>
      <c r="Z30" s="12"/>
      <c r="AA30" s="12">
        <f>average(err_GDP_now!AA26:AA29)</f>
        <v>0.4237145</v>
      </c>
    </row>
    <row r="32">
      <c r="B32" s="2" t="s">
        <v>118</v>
      </c>
      <c r="C32" s="13">
        <f t="shared" ref="C32:F32" si="3">AVERAGE(C2:C30)</f>
        <v>0.5826550452</v>
      </c>
      <c r="D32" s="13">
        <f t="shared" si="3"/>
        <v>0.4418673</v>
      </c>
      <c r="E32" s="13">
        <f t="shared" si="3"/>
        <v>0.42298773</v>
      </c>
      <c r="F32" s="13">
        <f t="shared" si="3"/>
        <v>0.50476696</v>
      </c>
      <c r="G32" s="13"/>
      <c r="H32" s="13">
        <f t="shared" ref="H32:M32" si="4">AVERAGE(H2:H30)</f>
        <v>0.86258969</v>
      </c>
      <c r="I32" s="13">
        <f t="shared" si="4"/>
        <v>0.5040539839</v>
      </c>
      <c r="J32" s="13">
        <f t="shared" si="4"/>
        <v>0.5463631049</v>
      </c>
      <c r="K32" s="13">
        <f t="shared" si="4"/>
        <v>0.54702894</v>
      </c>
      <c r="L32" s="13">
        <f t="shared" si="4"/>
        <v>0.3699798883</v>
      </c>
      <c r="M32" s="13">
        <f t="shared" si="4"/>
        <v>0.623728443</v>
      </c>
      <c r="N32" s="13"/>
      <c r="O32" s="13">
        <f t="shared" ref="O32:Q32" si="5">AVERAGE(O2:O30)</f>
        <v>0.5423839027</v>
      </c>
      <c r="P32" s="13">
        <f t="shared" si="5"/>
        <v>0.5151843441</v>
      </c>
      <c r="Q32" s="13">
        <f t="shared" si="5"/>
        <v>0.43255776</v>
      </c>
      <c r="R32" s="13"/>
      <c r="S32" s="13"/>
      <c r="T32" s="13"/>
      <c r="U32" s="13"/>
      <c r="V32" s="13"/>
      <c r="W32" s="13"/>
      <c r="X32" s="13"/>
      <c r="Y32" s="13"/>
      <c r="Z32" s="13"/>
      <c r="AA32" s="13">
        <f>AVERAGE(AA2:AA30)</f>
        <v>0.86258969</v>
      </c>
      <c r="AC32" s="13">
        <f>AVERAGE(AC2:AC30)</f>
        <v>0.2900085166</v>
      </c>
    </row>
    <row r="33">
      <c r="B33" s="2" t="s">
        <v>119</v>
      </c>
      <c r="C33" s="13">
        <f t="shared" ref="C33:F33" si="6">(sumsq(C2:C30)/count(C2:C30))^(0.5)</f>
        <v>0.6665930936</v>
      </c>
      <c r="D33" s="13">
        <f t="shared" si="6"/>
        <v>0.5193969814</v>
      </c>
      <c r="E33" s="13">
        <f t="shared" si="6"/>
        <v>0.4868154641</v>
      </c>
      <c r="F33" s="13">
        <f t="shared" si="6"/>
        <v>0.6323782303</v>
      </c>
      <c r="G33" s="13"/>
      <c r="H33" s="13">
        <f t="shared" ref="H33:M33" si="7">(sumsq(H2:H30)/count(H2:H30))^(0.5)</f>
        <v>1.136293617</v>
      </c>
      <c r="I33" s="13">
        <f t="shared" si="7"/>
        <v>0.5565759697</v>
      </c>
      <c r="J33" s="13">
        <f t="shared" si="7"/>
        <v>0.6678546573</v>
      </c>
      <c r="K33" s="13">
        <f t="shared" si="7"/>
        <v>0.6321021371</v>
      </c>
      <c r="L33" s="13">
        <f t="shared" si="7"/>
        <v>0.4639686052</v>
      </c>
      <c r="M33" s="13">
        <f t="shared" si="7"/>
        <v>0.7143188547</v>
      </c>
      <c r="N33" s="13"/>
      <c r="O33" s="13">
        <f t="shared" ref="O33:Q33" si="8">(sumsq(O2:O30)/count(O2:O30))^(0.5)</f>
        <v>0.6285003307</v>
      </c>
      <c r="P33" s="13">
        <f t="shared" si="8"/>
        <v>0.5456251486</v>
      </c>
      <c r="Q33" s="13">
        <f t="shared" si="8"/>
        <v>0.4821044208</v>
      </c>
      <c r="R33" s="13"/>
      <c r="S33" s="13"/>
      <c r="T33" s="13"/>
      <c r="U33" s="13"/>
      <c r="V33" s="13"/>
      <c r="W33" s="13"/>
      <c r="X33" s="13"/>
      <c r="Y33" s="13"/>
      <c r="Z33" s="13"/>
      <c r="AA33" s="13">
        <f>(sumsq(AA2:AA30)/count(AA2:AA30))^(0.5)</f>
        <v>1.136293617</v>
      </c>
      <c r="AC33" s="13">
        <f>(sumsq(AC2:AC30)/count(AC2:AC30))^(0.5)</f>
        <v>0.3585970306</v>
      </c>
    </row>
    <row r="34">
      <c r="B34" s="2" t="s">
        <v>120</v>
      </c>
      <c r="C34" s="13">
        <f t="shared" ref="C34:F34" si="9">MAX(C2:C30)</f>
        <v>1.25931439</v>
      </c>
      <c r="D34" s="13">
        <f t="shared" si="9"/>
        <v>1.01662425</v>
      </c>
      <c r="E34" s="13">
        <f t="shared" si="9"/>
        <v>0.92149</v>
      </c>
      <c r="F34" s="13">
        <f t="shared" si="9"/>
        <v>1.4480315</v>
      </c>
      <c r="G34" s="13"/>
      <c r="H34" s="13">
        <f t="shared" ref="H34:M34" si="10">MAX(H2:H30)</f>
        <v>2.63637475</v>
      </c>
      <c r="I34" s="13">
        <f t="shared" si="10"/>
        <v>1.016737301</v>
      </c>
      <c r="J34" s="13">
        <f t="shared" si="10"/>
        <v>1.475470894</v>
      </c>
      <c r="K34" s="13">
        <f t="shared" si="10"/>
        <v>1.35349225</v>
      </c>
      <c r="L34" s="13">
        <f t="shared" si="10"/>
        <v>1.048459098</v>
      </c>
      <c r="M34" s="13">
        <f t="shared" si="10"/>
        <v>1.474373375</v>
      </c>
      <c r="N34" s="13"/>
      <c r="O34" s="13">
        <f t="shared" ref="O34:Q34" si="11">MAX(O2:O30)</f>
        <v>1.307695676</v>
      </c>
      <c r="P34" s="13">
        <f t="shared" si="11"/>
        <v>0.9225918975</v>
      </c>
      <c r="Q34" s="13">
        <f t="shared" si="11"/>
        <v>0.996187</v>
      </c>
      <c r="R34" s="13"/>
      <c r="S34" s="13"/>
      <c r="T34" s="13"/>
      <c r="U34" s="13"/>
      <c r="V34" s="13"/>
      <c r="W34" s="13"/>
      <c r="X34" s="13"/>
      <c r="Y34" s="13"/>
      <c r="Z34" s="13"/>
      <c r="AA34" s="13">
        <f>MAX(AA2:AA30)</f>
        <v>2.63637475</v>
      </c>
      <c r="AC34" s="13">
        <f>MAX(AC2:AC30)</f>
        <v>0.921199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9"/>
      <c r="B1" s="10" t="s">
        <v>102</v>
      </c>
      <c r="C1" s="2" t="s">
        <v>121</v>
      </c>
      <c r="D1" s="2" t="s">
        <v>122</v>
      </c>
      <c r="E1" s="2" t="s">
        <v>123</v>
      </c>
      <c r="F1" s="2" t="s">
        <v>124</v>
      </c>
      <c r="H1" s="2" t="s">
        <v>76</v>
      </c>
      <c r="I1" s="2" t="s">
        <v>56</v>
      </c>
      <c r="J1" s="2" t="s">
        <v>125</v>
      </c>
      <c r="K1" s="2" t="s">
        <v>126</v>
      </c>
      <c r="L1" s="2" t="s">
        <v>127</v>
      </c>
      <c r="M1" s="2" t="s">
        <v>128</v>
      </c>
      <c r="O1" s="2" t="s">
        <v>129</v>
      </c>
      <c r="P1" s="2" t="s">
        <v>130</v>
      </c>
      <c r="Q1" s="2" t="s">
        <v>131</v>
      </c>
      <c r="R1" s="2" t="s">
        <v>132</v>
      </c>
      <c r="AA1" s="2" t="s">
        <v>87</v>
      </c>
      <c r="AB1" s="2" t="s">
        <v>133</v>
      </c>
      <c r="AC1" s="2" t="s">
        <v>134</v>
      </c>
    </row>
    <row r="2">
      <c r="A2" s="11">
        <v>201603.0</v>
      </c>
      <c r="B2" s="10">
        <v>0.3</v>
      </c>
      <c r="C2" s="12"/>
      <c r="D2" s="12"/>
      <c r="E2" s="12"/>
      <c r="F2" s="12"/>
      <c r="G2" s="12"/>
      <c r="H2" s="12"/>
      <c r="I2" s="12"/>
      <c r="J2" s="12"/>
      <c r="L2" s="13"/>
      <c r="M2" s="12"/>
      <c r="N2" s="12"/>
    </row>
    <row r="3">
      <c r="A3" s="11">
        <v>201606.0</v>
      </c>
      <c r="B3" s="10">
        <v>1.2</v>
      </c>
      <c r="C3" s="12"/>
      <c r="D3" s="12"/>
      <c r="E3" s="12"/>
      <c r="F3" s="12"/>
      <c r="G3" s="12"/>
      <c r="H3" s="12"/>
      <c r="I3" s="12"/>
      <c r="J3" s="12"/>
      <c r="L3" s="13"/>
      <c r="M3" s="12"/>
      <c r="N3" s="12"/>
    </row>
    <row r="4">
      <c r="A4" s="11">
        <v>201609.0</v>
      </c>
      <c r="B4" s="10">
        <v>0.4</v>
      </c>
      <c r="C4" s="12"/>
      <c r="D4" s="12"/>
      <c r="E4" s="12"/>
      <c r="F4" s="12"/>
      <c r="G4" s="12"/>
      <c r="H4" s="12"/>
      <c r="I4" s="12"/>
      <c r="J4" s="12"/>
      <c r="L4" s="13"/>
      <c r="M4" s="12"/>
      <c r="N4" s="12"/>
    </row>
    <row r="5">
      <c r="A5" s="11">
        <v>201612.0</v>
      </c>
      <c r="B5" s="10">
        <v>0.6</v>
      </c>
      <c r="C5" s="12"/>
      <c r="D5" s="12"/>
      <c r="E5" s="12"/>
      <c r="F5" s="12"/>
      <c r="G5" s="12"/>
      <c r="H5" s="12"/>
      <c r="I5" s="12"/>
      <c r="J5" s="12"/>
      <c r="L5" s="13"/>
      <c r="M5" s="12"/>
      <c r="N5" s="12"/>
    </row>
    <row r="6">
      <c r="A6" s="11">
        <v>201703.0</v>
      </c>
      <c r="B6" s="10">
        <v>1.0</v>
      </c>
      <c r="C6" s="16"/>
      <c r="D6" s="16"/>
      <c r="E6" s="16"/>
      <c r="F6" s="16"/>
      <c r="G6" s="16"/>
      <c r="H6" s="16"/>
      <c r="I6" s="16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>
        <f>average(err_GDP_now!AA2:AA5)</f>
        <v>0.464135</v>
      </c>
      <c r="AB6" s="15" t="str">
        <f t="shared" ref="AB6:AB29" si="1">index($C$1:$AA$1, match(min(C6:AA6),C6:AA6,0))</f>
        <v>TEXT</v>
      </c>
      <c r="AC6" s="17">
        <f t="shared" ref="AC6:AC29" si="2">min(C6:AA6)</f>
        <v>0.464135</v>
      </c>
    </row>
    <row r="7">
      <c r="A7" s="11">
        <v>201706.0</v>
      </c>
      <c r="B7" s="10">
        <v>0.8</v>
      </c>
      <c r="C7" s="12" t="str">
        <f>if(rank('Ens_now작업'!C6,'Ens_now작업'!$C6:$Z6,1)&lt;=5,pred_GDP_now!C7,"")</f>
        <v/>
      </c>
      <c r="D7" s="12">
        <f>if(rank('Ens_now작업'!D6,'Ens_now작업'!$C6:$Z6,1)&lt;=5,pred_GDP_now!D7,"")</f>
        <v>1.108525</v>
      </c>
      <c r="E7" s="12">
        <f>if(rank('Ens_now작업'!E6,'Ens_now작업'!$C6:$Z6,1)&lt;=5,pred_GDP_now!E7,"")</f>
        <v>1.126052</v>
      </c>
      <c r="F7" s="12">
        <f>if(rank('Ens_now작업'!F6,'Ens_now작업'!$C6:$Z6,1)&lt;=5,pred_GDP_now!F7,"")</f>
        <v>1.015314</v>
      </c>
      <c r="G7" s="12"/>
      <c r="H7" s="12" t="str">
        <f>if(rank('Ens_now작업'!H6,'Ens_now작업'!$C6:$Z6,1)&lt;=5,pred_GDP_now!H7,"")</f>
        <v/>
      </c>
      <c r="I7" s="12" t="str">
        <f>if(rank('Ens_now작업'!I6,'Ens_now작업'!$C6:$Z6,1)&lt;=5,pred_GDP_now!I7,"")</f>
        <v/>
      </c>
      <c r="J7" s="12" t="str">
        <f>if(rank('Ens_now작업'!J6,'Ens_now작업'!$C6:$Z6,1)&lt;=5,pred_GDP_now!J7,"")</f>
        <v/>
      </c>
      <c r="K7" s="12" t="str">
        <f>if(rank('Ens_now작업'!K6,'Ens_now작업'!$C6:$Z6,1)&lt;=5,pred_GDP_now!K7,"")</f>
        <v/>
      </c>
      <c r="L7" s="12">
        <f>if(rank('Ens_now작업'!L6,'Ens_now작업'!$C6:$Z6,1)&lt;=5,pred_GDP_now!L7,"")</f>
        <v>1.029632838</v>
      </c>
      <c r="M7" s="12" t="str">
        <f>if(rank('Ens_now작업'!M6,'Ens_now작업'!$C6:$Z6,1)&lt;=5,pred_GDP_now!M7,"")</f>
        <v/>
      </c>
      <c r="N7" s="12"/>
      <c r="O7" s="12" t="str">
        <f>if(rank('Ens_now작업'!O6,'Ens_now작업'!$C6:$Z6,1)&lt;=5,pred_GDP_now!O7,"")</f>
        <v/>
      </c>
      <c r="P7" s="12" t="str">
        <f>if(rank('Ens_now작업'!P6,'Ens_now작업'!$C6:$Z6,1)&lt;=5,pred_GDP_now!P7,"")</f>
        <v/>
      </c>
      <c r="Q7" s="12">
        <f>if(rank('Ens_now작업'!Q6,'Ens_now작업'!$C6:$Z6,1)&lt;=5,pred_GDP_now!Q7,"")</f>
        <v>0.945407</v>
      </c>
      <c r="R7" s="12"/>
      <c r="S7" s="12"/>
      <c r="T7" s="12"/>
      <c r="U7" s="12"/>
      <c r="V7" s="12"/>
      <c r="W7" s="12"/>
      <c r="X7" s="12"/>
      <c r="Y7" s="12"/>
      <c r="Z7" s="12"/>
      <c r="AA7" s="12">
        <f>average(err_GDP_now!AA3:AA6)</f>
        <v>0.440463</v>
      </c>
      <c r="AB7" s="15" t="str">
        <f t="shared" si="1"/>
        <v>TEXT</v>
      </c>
      <c r="AC7" s="13">
        <f t="shared" si="2"/>
        <v>0.440463</v>
      </c>
    </row>
    <row r="8">
      <c r="A8" s="11">
        <v>201709.0</v>
      </c>
      <c r="B8" s="10">
        <v>1.4</v>
      </c>
      <c r="C8" s="12" t="str">
        <f>if(rank('Ens_now작업'!C7,'Ens_now작업'!$C7:$Z7,1)&lt;=5,pred_GDP_now!C8,"")</f>
        <v/>
      </c>
      <c r="D8" s="12">
        <f>if(rank('Ens_now작업'!D7,'Ens_now작업'!$C7:$Z7,1)&lt;=5,pred_GDP_now!D8,"")</f>
        <v>0.287701</v>
      </c>
      <c r="E8" s="12">
        <f>if(rank('Ens_now작업'!E7,'Ens_now작업'!$C7:$Z7,1)&lt;=5,pred_GDP_now!E8,"")</f>
        <v>0.275753</v>
      </c>
      <c r="F8" s="12">
        <f>if(rank('Ens_now작업'!F7,'Ens_now작업'!$C7:$Z7,1)&lt;=5,pred_GDP_now!F8,"")</f>
        <v>0.399241</v>
      </c>
      <c r="G8" s="12"/>
      <c r="H8" s="12" t="str">
        <f>if(rank('Ens_now작업'!H7,'Ens_now작업'!$C7:$Z7,1)&lt;=5,pred_GDP_now!H8,"")</f>
        <v/>
      </c>
      <c r="I8" s="12" t="str">
        <f>if(rank('Ens_now작업'!I7,'Ens_now작업'!$C7:$Z7,1)&lt;=5,pred_GDP_now!I8,"")</f>
        <v/>
      </c>
      <c r="J8" s="12">
        <f>if(rank('Ens_now작업'!J7,'Ens_now작업'!$C7:$Z7,1)&lt;=5,pred_GDP_now!J8,"")</f>
        <v>0.8347323012</v>
      </c>
      <c r="K8" s="12" t="str">
        <f>if(rank('Ens_now작업'!K7,'Ens_now작업'!$C7:$Z7,1)&lt;=5,pred_GDP_now!K8,"")</f>
        <v/>
      </c>
      <c r="L8" s="12">
        <f>if(rank('Ens_now작업'!L7,'Ens_now작업'!$C7:$Z7,1)&lt;=5,pred_GDP_now!L8,"")</f>
        <v>0.9213298877</v>
      </c>
      <c r="M8" s="12" t="str">
        <f>if(rank('Ens_now작업'!M7,'Ens_now작업'!$C7:$Z7,1)&lt;=5,pred_GDP_now!M8,"")</f>
        <v/>
      </c>
      <c r="N8" s="12"/>
      <c r="O8" s="12" t="str">
        <f>if(rank('Ens_now작업'!O7,'Ens_now작업'!$C7:$Z7,1)&lt;=5,pred_GDP_now!O8,"")</f>
        <v/>
      </c>
      <c r="P8" s="12" t="str">
        <f>if(rank('Ens_now작업'!P7,'Ens_now작업'!$C7:$Z7,1)&lt;=5,pred_GDP_now!P8,"")</f>
        <v/>
      </c>
      <c r="Q8" s="12" t="str">
        <f>if(rank('Ens_now작업'!Q7,'Ens_now작업'!$C7:$Z7,1)&lt;=5,pred_GDP_now!Q8,"")</f>
        <v/>
      </c>
      <c r="R8" s="12"/>
      <c r="S8" s="12"/>
      <c r="T8" s="12"/>
      <c r="U8" s="12"/>
      <c r="V8" s="12"/>
      <c r="W8" s="12"/>
      <c r="X8" s="12"/>
      <c r="Y8" s="12"/>
      <c r="Z8" s="12"/>
      <c r="AA8" s="12">
        <f>average(err_GDP_now!AA4:AA7)</f>
        <v>0.2560005</v>
      </c>
      <c r="AB8" s="15" t="str">
        <f t="shared" si="1"/>
        <v>TEXT</v>
      </c>
      <c r="AC8" s="13">
        <f t="shared" si="2"/>
        <v>0.2560005</v>
      </c>
    </row>
    <row r="9">
      <c r="A9" s="11">
        <v>201712.0</v>
      </c>
      <c r="B9" s="10">
        <v>-0.3</v>
      </c>
      <c r="C9" s="12" t="str">
        <f>if(rank('Ens_now작업'!C8,'Ens_now작업'!$C8:$Z8,1)&lt;=5,pred_GDP_now!C9,"")</f>
        <v/>
      </c>
      <c r="D9" s="12">
        <f>if(rank('Ens_now작업'!D8,'Ens_now작업'!$C8:$Z8,1)&lt;=5,pred_GDP_now!D9,"")</f>
        <v>0.952379</v>
      </c>
      <c r="E9" s="12">
        <f>if(rank('Ens_now작업'!E8,'Ens_now작업'!$C8:$Z8,1)&lt;=5,pred_GDP_now!E9,"")</f>
        <v>0.673771</v>
      </c>
      <c r="F9" s="12">
        <f>if(rank('Ens_now작업'!F8,'Ens_now작업'!$C8:$Z8,1)&lt;=5,pred_GDP_now!F9,"")</f>
        <v>0.895778</v>
      </c>
      <c r="G9" s="12"/>
      <c r="H9" s="12" t="str">
        <f>if(rank('Ens_now작업'!H8,'Ens_now작업'!$C8:$Z8,1)&lt;=5,pred_GDP_now!H9,"")</f>
        <v/>
      </c>
      <c r="I9" s="12" t="str">
        <f>if(rank('Ens_now작업'!I8,'Ens_now작업'!$C8:$Z8,1)&lt;=5,pred_GDP_now!I9,"")</f>
        <v/>
      </c>
      <c r="J9" s="12" t="str">
        <f>if(rank('Ens_now작업'!J8,'Ens_now작업'!$C8:$Z8,1)&lt;=5,pred_GDP_now!J9,"")</f>
        <v/>
      </c>
      <c r="K9" s="12" t="str">
        <f>if(rank('Ens_now작업'!K8,'Ens_now작업'!$C8:$Z8,1)&lt;=5,pred_GDP_now!K9,"")</f>
        <v/>
      </c>
      <c r="L9" s="12" t="str">
        <f>if(rank('Ens_now작업'!L8,'Ens_now작업'!$C8:$Z8,1)&lt;=5,pred_GDP_now!L9,"")</f>
        <v/>
      </c>
      <c r="M9" s="12" t="str">
        <f>if(rank('Ens_now작업'!M8,'Ens_now작업'!$C8:$Z8,1)&lt;=5,pred_GDP_now!M9,"")</f>
        <v/>
      </c>
      <c r="N9" s="12"/>
      <c r="O9" s="12">
        <f>if(rank('Ens_now작업'!O8,'Ens_now작업'!$C8:$Z8,1)&lt;=5,pred_GDP_now!O9,"")</f>
        <v>0.7432521392</v>
      </c>
      <c r="P9" s="12" t="str">
        <f>if(rank('Ens_now작업'!P8,'Ens_now작업'!$C8:$Z8,1)&lt;=5,pred_GDP_now!P9,"")</f>
        <v/>
      </c>
      <c r="Q9" s="12">
        <f>if(rank('Ens_now작업'!Q8,'Ens_now작업'!$C8:$Z8,1)&lt;=5,pred_GDP_now!Q9,"")</f>
        <v>0.354928</v>
      </c>
      <c r="R9" s="12"/>
      <c r="S9" s="12"/>
      <c r="T9" s="12"/>
      <c r="U9" s="12"/>
      <c r="V9" s="12"/>
      <c r="W9" s="12"/>
      <c r="X9" s="12"/>
      <c r="Y9" s="12"/>
      <c r="Z9" s="12"/>
      <c r="AA9" s="12">
        <f>average(err_GDP_now!AA5:AA8)</f>
        <v>0.22943375</v>
      </c>
      <c r="AB9" s="15" t="str">
        <f t="shared" si="1"/>
        <v>TEXT</v>
      </c>
      <c r="AC9" s="13">
        <f t="shared" si="2"/>
        <v>0.22943375</v>
      </c>
    </row>
    <row r="10">
      <c r="A10" s="11">
        <v>201803.0</v>
      </c>
      <c r="B10" s="10">
        <v>1.3</v>
      </c>
      <c r="C10" s="12" t="str">
        <f>if(rank('Ens_now작업'!C9,'Ens_now작업'!$C9:$Z9,1)&lt;=5,pred_GDP_now!C10,"")</f>
        <v/>
      </c>
      <c r="D10" s="12" t="str">
        <f>if(rank('Ens_now작업'!D9,'Ens_now작업'!$C9:$Z9,1)&lt;=5,pred_GDP_now!D10,"")</f>
        <v/>
      </c>
      <c r="E10" s="12" t="str">
        <f>if(rank('Ens_now작업'!E9,'Ens_now작업'!$C9:$Z9,1)&lt;=5,pred_GDP_now!E10,"")</f>
        <v/>
      </c>
      <c r="F10" s="12" t="str">
        <f>if(rank('Ens_now작업'!F9,'Ens_now작업'!$C9:$Z9,1)&lt;=5,pred_GDP_now!F10,"")</f>
        <v/>
      </c>
      <c r="G10" s="12"/>
      <c r="H10" s="12">
        <f>if(rank('Ens_now작업'!H9,'Ens_now작업'!$C9:$Z9,1)&lt;=5,pred_GDP_now!H10,"")</f>
        <v>0.753485</v>
      </c>
      <c r="I10" s="12" t="str">
        <f>if(rank('Ens_now작업'!I9,'Ens_now작업'!$C9:$Z9,1)&lt;=5,pred_GDP_now!I10,"")</f>
        <v/>
      </c>
      <c r="J10" s="12">
        <f>if(rank('Ens_now작업'!J9,'Ens_now작업'!$C9:$Z9,1)&lt;=5,pred_GDP_now!J10,"")</f>
        <v>1.005437958</v>
      </c>
      <c r="K10" s="12">
        <f>if(rank('Ens_now작업'!K9,'Ens_now작업'!$C9:$Z9,1)&lt;=5,pred_GDP_now!K10,"")</f>
        <v>0.937068</v>
      </c>
      <c r="L10" s="12" t="str">
        <f>if(rank('Ens_now작업'!L9,'Ens_now작업'!$C9:$Z9,1)&lt;=5,pred_GDP_now!L10,"")</f>
        <v/>
      </c>
      <c r="M10" s="12" t="str">
        <f>if(rank('Ens_now작업'!M9,'Ens_now작업'!$C9:$Z9,1)&lt;=5,pred_GDP_now!M10,"")</f>
        <v/>
      </c>
      <c r="N10" s="12"/>
      <c r="O10" s="12">
        <f>if(rank('Ens_now작업'!O9,'Ens_now작업'!$C9:$Z9,1)&lt;=5,pred_GDP_now!O10,"")</f>
        <v>1.111777283</v>
      </c>
      <c r="P10" s="12" t="str">
        <f>if(rank('Ens_now작업'!P9,'Ens_now작업'!$C9:$Z9,1)&lt;=5,pred_GDP_now!P10,"")</f>
        <v/>
      </c>
      <c r="Q10" s="12">
        <f>if(rank('Ens_now작업'!Q9,'Ens_now작업'!$C9:$Z9,1)&lt;=5,pred_GDP_now!Q10,"")</f>
        <v>0.744322</v>
      </c>
      <c r="R10" s="12"/>
      <c r="S10" s="12"/>
      <c r="T10" s="12"/>
      <c r="U10" s="12"/>
      <c r="V10" s="12"/>
      <c r="W10" s="12"/>
      <c r="X10" s="12"/>
      <c r="Y10" s="12"/>
      <c r="Z10" s="12"/>
      <c r="AA10" s="12">
        <f>average(err_GDP_now!AA6:AA9)</f>
        <v>0.6452605</v>
      </c>
      <c r="AB10" s="15" t="str">
        <f t="shared" si="1"/>
        <v>TEXT</v>
      </c>
      <c r="AC10" s="13">
        <f t="shared" si="2"/>
        <v>0.6452605</v>
      </c>
    </row>
    <row r="11">
      <c r="A11" s="11">
        <v>201806.0</v>
      </c>
      <c r="B11" s="10">
        <v>0.7</v>
      </c>
      <c r="C11" s="12" t="str">
        <f>if(rank('Ens_now작업'!C10,'Ens_now작업'!$C10:$Z10,1)&lt;=5,pred_GDP_now!C11,"")</f>
        <v/>
      </c>
      <c r="D11" s="12" t="str">
        <f>if(rank('Ens_now작업'!D10,'Ens_now작업'!$C10:$Z10,1)&lt;=5,pred_GDP_now!D11,"")</f>
        <v/>
      </c>
      <c r="E11" s="12" t="str">
        <f>if(rank('Ens_now작업'!E10,'Ens_now작업'!$C10:$Z10,1)&lt;=5,pred_GDP_now!E11,"")</f>
        <v/>
      </c>
      <c r="F11" s="12" t="str">
        <f>if(rank('Ens_now작업'!F10,'Ens_now작업'!$C10:$Z10,1)&lt;=5,pred_GDP_now!F11,"")</f>
        <v/>
      </c>
      <c r="G11" s="12"/>
      <c r="H11" s="12" t="str">
        <f>if(rank('Ens_now작업'!H10,'Ens_now작업'!$C10:$Z10,1)&lt;=5,pred_GDP_now!H11,"")</f>
        <v/>
      </c>
      <c r="I11" s="12" t="str">
        <f>if(rank('Ens_now작업'!I10,'Ens_now작업'!$C10:$Z10,1)&lt;=5,pred_GDP_now!I11,"")</f>
        <v/>
      </c>
      <c r="J11" s="12">
        <f>if(rank('Ens_now작업'!J10,'Ens_now작업'!$C10:$Z10,1)&lt;=5,pred_GDP_now!J11,"")</f>
        <v>0.548930172</v>
      </c>
      <c r="K11" s="12">
        <f>if(rank('Ens_now작업'!K10,'Ens_now작업'!$C10:$Z10,1)&lt;=5,pred_GDP_now!K11,"")</f>
        <v>0.837201</v>
      </c>
      <c r="L11" s="12">
        <f>if(rank('Ens_now작업'!L10,'Ens_now작업'!$C10:$Z10,1)&lt;=5,pred_GDP_now!L11,"")</f>
        <v>0.5772622672</v>
      </c>
      <c r="M11" s="12" t="str">
        <f>if(rank('Ens_now작업'!M10,'Ens_now작업'!$C10:$Z10,1)&lt;=5,pred_GDP_now!M11,"")</f>
        <v/>
      </c>
      <c r="N11" s="12"/>
      <c r="O11" s="12">
        <f>if(rank('Ens_now작업'!O10,'Ens_now작업'!$C10:$Z10,1)&lt;=5,pred_GDP_now!O11,"")</f>
        <v>0.4999584003</v>
      </c>
      <c r="P11" s="12" t="str">
        <f>if(rank('Ens_now작업'!P10,'Ens_now작업'!$C10:$Z10,1)&lt;=5,pred_GDP_now!P11,"")</f>
        <v/>
      </c>
      <c r="Q11" s="12">
        <f>if(rank('Ens_now작업'!Q10,'Ens_now작업'!$C10:$Z10,1)&lt;=5,pred_GDP_now!Q11,"")</f>
        <v>0.687899</v>
      </c>
      <c r="R11" s="12"/>
      <c r="S11" s="12"/>
      <c r="T11" s="12"/>
      <c r="U11" s="12"/>
      <c r="V11" s="12"/>
      <c r="W11" s="12"/>
      <c r="X11" s="12"/>
      <c r="Y11" s="12"/>
      <c r="Z11" s="12"/>
      <c r="AA11" s="12">
        <f>average(err_GDP_now!AA7:AA10)</f>
        <v>0.693787</v>
      </c>
      <c r="AB11" s="15" t="str">
        <f t="shared" si="1"/>
        <v>RF-DVS</v>
      </c>
      <c r="AC11" s="13">
        <f t="shared" si="2"/>
        <v>0.4999584003</v>
      </c>
    </row>
    <row r="12">
      <c r="A12" s="11">
        <v>201809.0</v>
      </c>
      <c r="B12" s="10">
        <v>0.6</v>
      </c>
      <c r="C12" s="12">
        <f>if(rank('Ens_now작업'!C11,'Ens_now작업'!$C11:$Z11,1)&lt;=5,pred_GDP_now!C12,"")</f>
        <v>0.9710973926</v>
      </c>
      <c r="D12" s="12" t="str">
        <f>if(rank('Ens_now작업'!D11,'Ens_now작업'!$C11:$Z11,1)&lt;=5,pred_GDP_now!D12,"")</f>
        <v/>
      </c>
      <c r="E12" s="12" t="str">
        <f>if(rank('Ens_now작업'!E11,'Ens_now작업'!$C11:$Z11,1)&lt;=5,pred_GDP_now!E12,"")</f>
        <v/>
      </c>
      <c r="F12" s="12" t="str">
        <f>if(rank('Ens_now작업'!F11,'Ens_now작업'!$C11:$Z11,1)&lt;=5,pred_GDP_now!F12,"")</f>
        <v/>
      </c>
      <c r="G12" s="12"/>
      <c r="H12" s="12" t="str">
        <f>if(rank('Ens_now작업'!H11,'Ens_now작업'!$C11:$Z11,1)&lt;=5,pred_GDP_now!H12,"")</f>
        <v/>
      </c>
      <c r="I12" s="12" t="str">
        <f>if(rank('Ens_now작업'!I11,'Ens_now작업'!$C11:$Z11,1)&lt;=5,pred_GDP_now!I12,"")</f>
        <v/>
      </c>
      <c r="J12" s="12" t="str">
        <f>if(rank('Ens_now작업'!J11,'Ens_now작업'!$C11:$Z11,1)&lt;=5,pred_GDP_now!J12,"")</f>
        <v/>
      </c>
      <c r="K12" s="12">
        <f>if(rank('Ens_now작업'!K11,'Ens_now작업'!$C11:$Z11,1)&lt;=5,pred_GDP_now!K12,"")</f>
        <v>0.701816</v>
      </c>
      <c r="L12" s="12">
        <f>if(rank('Ens_now작업'!L11,'Ens_now작업'!$C11:$Z11,1)&lt;=5,pred_GDP_now!L12,"")</f>
        <v>0.604256361</v>
      </c>
      <c r="M12" s="12" t="str">
        <f>if(rank('Ens_now작업'!M11,'Ens_now작업'!$C11:$Z11,1)&lt;=5,pred_GDP_now!M12,"")</f>
        <v/>
      </c>
      <c r="N12" s="12"/>
      <c r="O12" s="12">
        <f>if(rank('Ens_now작업'!O11,'Ens_now작업'!$C11:$Z11,1)&lt;=5,pred_GDP_now!O12,"")</f>
        <v>0.5807562991</v>
      </c>
      <c r="P12" s="12" t="str">
        <f>if(rank('Ens_now작업'!P11,'Ens_now작업'!$C11:$Z11,1)&lt;=5,pred_GDP_now!P12,"")</f>
        <v/>
      </c>
      <c r="Q12" s="12">
        <f>if(rank('Ens_now작업'!Q11,'Ens_now작업'!$C11:$Z11,1)&lt;=5,pred_GDP_now!Q12,"")</f>
        <v>0.679213</v>
      </c>
      <c r="R12" s="12"/>
      <c r="S12" s="12"/>
      <c r="T12" s="12"/>
      <c r="U12" s="12"/>
      <c r="V12" s="12"/>
      <c r="W12" s="12"/>
      <c r="X12" s="12"/>
      <c r="Y12" s="12"/>
      <c r="Z12" s="12"/>
      <c r="AA12" s="12">
        <f>average(err_GDP_now!AA8:AA11)</f>
        <v>0.76204175</v>
      </c>
      <c r="AB12" s="15" t="str">
        <f t="shared" si="1"/>
        <v>RF-DVS</v>
      </c>
      <c r="AC12" s="13">
        <f t="shared" si="2"/>
        <v>0.5807562991</v>
      </c>
    </row>
    <row r="13">
      <c r="A13" s="11">
        <v>201812.0</v>
      </c>
      <c r="B13" s="10">
        <v>0.6</v>
      </c>
      <c r="C13" s="12">
        <f>if(rank('Ens_now작업'!C12,'Ens_now작업'!$C12:$Z12,1)&lt;=5,pred_GDP_now!C13,"")</f>
        <v>0.2658915263</v>
      </c>
      <c r="D13" s="12" t="str">
        <f>if(rank('Ens_now작업'!D12,'Ens_now작업'!$C12:$Z12,1)&lt;=5,pred_GDP_now!D13,"")</f>
        <v/>
      </c>
      <c r="E13" s="12" t="str">
        <f>if(rank('Ens_now작업'!E12,'Ens_now작업'!$C12:$Z12,1)&lt;=5,pred_GDP_now!E13,"")</f>
        <v/>
      </c>
      <c r="F13" s="12" t="str">
        <f>if(rank('Ens_now작업'!F12,'Ens_now작업'!$C12:$Z12,1)&lt;=5,pred_GDP_now!F13,"")</f>
        <v/>
      </c>
      <c r="G13" s="12"/>
      <c r="H13" s="12" t="str">
        <f>if(rank('Ens_now작업'!H12,'Ens_now작업'!$C12:$Z12,1)&lt;=5,pred_GDP_now!H13,"")</f>
        <v/>
      </c>
      <c r="I13" s="12" t="str">
        <f>if(rank('Ens_now작업'!I12,'Ens_now작업'!$C12:$Z12,1)&lt;=5,pred_GDP_now!I13,"")</f>
        <v/>
      </c>
      <c r="J13" s="12" t="str">
        <f>if(rank('Ens_now작업'!J12,'Ens_now작업'!$C12:$Z12,1)&lt;=5,pred_GDP_now!J13,"")</f>
        <v/>
      </c>
      <c r="K13" s="12">
        <f>if(rank('Ens_now작업'!K12,'Ens_now작업'!$C12:$Z12,1)&lt;=5,pred_GDP_now!K13,"")</f>
        <v>0.703083</v>
      </c>
      <c r="L13" s="12">
        <f>if(rank('Ens_now작업'!L12,'Ens_now작업'!$C12:$Z12,1)&lt;=5,pred_GDP_now!L13,"")</f>
        <v>0.4531182784</v>
      </c>
      <c r="M13" s="12" t="str">
        <f>if(rank('Ens_now작업'!M12,'Ens_now작업'!$C12:$Z12,1)&lt;=5,pred_GDP_now!M13,"")</f>
        <v/>
      </c>
      <c r="N13" s="12"/>
      <c r="O13" s="12">
        <f>if(rank('Ens_now작업'!O12,'Ens_now작업'!$C12:$Z12,1)&lt;=5,pred_GDP_now!O13,"")</f>
        <v>1.139971285</v>
      </c>
      <c r="P13" s="12" t="str">
        <f>if(rank('Ens_now작업'!P12,'Ens_now작업'!$C12:$Z12,1)&lt;=5,pred_GDP_now!P13,"")</f>
        <v/>
      </c>
      <c r="Q13" s="12">
        <f>if(rank('Ens_now작업'!Q12,'Ens_now작업'!$C12:$Z12,1)&lt;=5,pred_GDP_now!Q13,"")</f>
        <v>0.117679</v>
      </c>
      <c r="R13" s="12"/>
      <c r="S13" s="12"/>
      <c r="T13" s="12"/>
      <c r="U13" s="12"/>
      <c r="V13" s="12"/>
      <c r="W13" s="12"/>
      <c r="X13" s="12"/>
      <c r="Y13" s="12"/>
      <c r="Z13" s="12"/>
      <c r="AA13" s="12">
        <f>average(err_GDP_now!AA9:AA12)</f>
        <v>0.7140075</v>
      </c>
      <c r="AB13" s="15" t="str">
        <f t="shared" si="1"/>
        <v>LQR</v>
      </c>
      <c r="AC13" s="13">
        <f t="shared" si="2"/>
        <v>0.117679</v>
      </c>
    </row>
    <row r="14">
      <c r="A14" s="11">
        <v>201903.0</v>
      </c>
      <c r="B14" s="10">
        <v>-0.1</v>
      </c>
      <c r="C14" s="12" t="str">
        <f>if(rank('Ens_now작업'!C13,'Ens_now작업'!$C13:$Z13,1)&lt;=5,pred_GDP_now!C14,"")</f>
        <v/>
      </c>
      <c r="D14" s="12" t="str">
        <f>if(rank('Ens_now작업'!D13,'Ens_now작업'!$C13:$Z13,1)&lt;=5,pred_GDP_now!D14,"")</f>
        <v/>
      </c>
      <c r="E14" s="12">
        <f>if(rank('Ens_now작업'!E13,'Ens_now작업'!$C13:$Z13,1)&lt;=5,pred_GDP_now!E14,"")</f>
        <v>-0.32045</v>
      </c>
      <c r="F14" s="12" t="str">
        <f>if(rank('Ens_now작업'!F13,'Ens_now작업'!$C13:$Z13,1)&lt;=5,pred_GDP_now!F14,"")</f>
        <v/>
      </c>
      <c r="G14" s="12"/>
      <c r="H14" s="12" t="str">
        <f>if(rank('Ens_now작업'!H13,'Ens_now작업'!$C13:$Z13,1)&lt;=5,pred_GDP_now!H14,"")</f>
        <v/>
      </c>
      <c r="I14" s="12" t="str">
        <f>if(rank('Ens_now작업'!I13,'Ens_now작업'!$C13:$Z13,1)&lt;=5,pred_GDP_now!I14,"")</f>
        <v/>
      </c>
      <c r="J14" s="12" t="str">
        <f>if(rank('Ens_now작업'!J13,'Ens_now작업'!$C13:$Z13,1)&lt;=5,pred_GDP_now!J14,"")</f>
        <v/>
      </c>
      <c r="K14" s="12">
        <f>if(rank('Ens_now작업'!K13,'Ens_now작업'!$C13:$Z13,1)&lt;=5,pred_GDP_now!K14,"")</f>
        <v>0.361543</v>
      </c>
      <c r="L14" s="12">
        <f>if(rank('Ens_now작업'!L13,'Ens_now작업'!$C13:$Z13,1)&lt;=5,pred_GDP_now!L14,"")</f>
        <v>-0.08619005098</v>
      </c>
      <c r="M14" s="12" t="str">
        <f>if(rank('Ens_now작업'!M13,'Ens_now작업'!$C13:$Z13,1)&lt;=5,pred_GDP_now!M14,"")</f>
        <v/>
      </c>
      <c r="N14" s="12"/>
      <c r="O14" s="12">
        <f>if(rank('Ens_now작업'!O13,'Ens_now작업'!$C13:$Z13,1)&lt;=5,pred_GDP_now!O14,"")</f>
        <v>0.6133359215</v>
      </c>
      <c r="P14" s="12" t="str">
        <f>if(rank('Ens_now작업'!P13,'Ens_now작업'!$C13:$Z13,1)&lt;=5,pred_GDP_now!P14,"")</f>
        <v/>
      </c>
      <c r="Q14" s="12">
        <f>if(rank('Ens_now작업'!Q13,'Ens_now작업'!$C13:$Z13,1)&lt;=5,pred_GDP_now!Q14,"")</f>
        <v>-0.567977</v>
      </c>
      <c r="R14" s="12"/>
      <c r="S14" s="12"/>
      <c r="T14" s="12"/>
      <c r="U14" s="12"/>
      <c r="V14" s="12"/>
      <c r="W14" s="12"/>
      <c r="X14" s="12"/>
      <c r="Y14" s="12"/>
      <c r="Z14" s="12"/>
      <c r="AA14" s="12">
        <f>average(err_GDP_now!AA10:AA13)</f>
        <v>0.32951275</v>
      </c>
      <c r="AB14" s="15" t="str">
        <f t="shared" si="1"/>
        <v>LQR</v>
      </c>
      <c r="AC14" s="13">
        <f t="shared" si="2"/>
        <v>-0.567977</v>
      </c>
    </row>
    <row r="15">
      <c r="A15" s="11">
        <v>201906.0</v>
      </c>
      <c r="B15" s="10">
        <v>1.1</v>
      </c>
      <c r="C15" s="12" t="str">
        <f>if(rank('Ens_now작업'!C14,'Ens_now작업'!$C14:$Z14,1)&lt;=5,pred_GDP_now!C15,"")</f>
        <v/>
      </c>
      <c r="D15" s="12" t="str">
        <f>if(rank('Ens_now작업'!D14,'Ens_now작업'!$C14:$Z14,1)&lt;=5,pred_GDP_now!D15,"")</f>
        <v/>
      </c>
      <c r="E15" s="12" t="str">
        <f>if(rank('Ens_now작업'!E14,'Ens_now작업'!$C14:$Z14,1)&lt;=5,pred_GDP_now!E15,"")</f>
        <v/>
      </c>
      <c r="F15" s="12">
        <f>if(rank('Ens_now작업'!F14,'Ens_now작업'!$C14:$Z14,1)&lt;=5,pred_GDP_now!F15,"")</f>
        <v>0.803238</v>
      </c>
      <c r="G15" s="12"/>
      <c r="H15" s="12" t="str">
        <f>if(rank('Ens_now작업'!H14,'Ens_now작업'!$C14:$Z14,1)&lt;=5,pred_GDP_now!H15,"")</f>
        <v/>
      </c>
      <c r="I15" s="12" t="str">
        <f>if(rank('Ens_now작업'!I14,'Ens_now작업'!$C14:$Z14,1)&lt;=5,pred_GDP_now!I15,"")</f>
        <v/>
      </c>
      <c r="J15" s="12">
        <f>if(rank('Ens_now작업'!J14,'Ens_now작업'!$C14:$Z14,1)&lt;=5,pred_GDP_now!J15,"")</f>
        <v>0.9961824469</v>
      </c>
      <c r="K15" s="12">
        <f>if(rank('Ens_now작업'!K14,'Ens_now작업'!$C14:$Z14,1)&lt;=5,pred_GDP_now!K15,"")</f>
        <v>0.880991</v>
      </c>
      <c r="L15" s="12">
        <f>if(rank('Ens_now작업'!L14,'Ens_now작업'!$C14:$Z14,1)&lt;=5,pred_GDP_now!L15,"")</f>
        <v>0.8729794574</v>
      </c>
      <c r="M15" s="12" t="str">
        <f>if(rank('Ens_now작업'!M14,'Ens_now작업'!$C14:$Z14,1)&lt;=5,pred_GDP_now!M15,"")</f>
        <v/>
      </c>
      <c r="N15" s="12"/>
      <c r="O15" s="12">
        <f>if(rank('Ens_now작업'!O14,'Ens_now작업'!$C14:$Z14,1)&lt;=5,pred_GDP_now!O15,"")</f>
        <v>0.8647839085</v>
      </c>
      <c r="P15" s="12" t="str">
        <f>if(rank('Ens_now작업'!P14,'Ens_now작업'!$C14:$Z14,1)&lt;=5,pred_GDP_now!P15,"")</f>
        <v/>
      </c>
      <c r="Q15" s="12" t="str">
        <f>if(rank('Ens_now작업'!Q14,'Ens_now작업'!$C14:$Z14,1)&lt;=5,pred_GDP_now!Q15,"")</f>
        <v/>
      </c>
      <c r="R15" s="12"/>
      <c r="S15" s="12"/>
      <c r="T15" s="12"/>
      <c r="U15" s="12"/>
      <c r="V15" s="12"/>
      <c r="W15" s="12"/>
      <c r="X15" s="12"/>
      <c r="Y15" s="12"/>
      <c r="Z15" s="12"/>
      <c r="AA15" s="12">
        <f>average(err_GDP_now!AA11:AA14)</f>
        <v>0.406979</v>
      </c>
      <c r="AB15" s="15" t="str">
        <f t="shared" si="1"/>
        <v>TEXT</v>
      </c>
      <c r="AC15" s="13">
        <f t="shared" si="2"/>
        <v>0.406979</v>
      </c>
    </row>
    <row r="16">
      <c r="A16" s="11">
        <v>201909.0</v>
      </c>
      <c r="B16" s="10">
        <v>0.4</v>
      </c>
      <c r="C16" s="12" t="str">
        <f>if(rank('Ens_now작업'!C15,'Ens_now작업'!$C15:$Z15,1)&lt;=5,pred_GDP_now!C16,"")</f>
        <v/>
      </c>
      <c r="D16" s="12">
        <f>if(rank('Ens_now작업'!D15,'Ens_now작업'!$C15:$Z15,1)&lt;=5,pred_GDP_now!D16,"")</f>
        <v>0.44981</v>
      </c>
      <c r="E16" s="12" t="str">
        <f>if(rank('Ens_now작업'!E15,'Ens_now작업'!$C15:$Z15,1)&lt;=5,pred_GDP_now!E16,"")</f>
        <v/>
      </c>
      <c r="F16" s="12">
        <f>if(rank('Ens_now작업'!F15,'Ens_now작업'!$C15:$Z15,1)&lt;=5,pred_GDP_now!F16,"")</f>
        <v>0.511463</v>
      </c>
      <c r="G16" s="12"/>
      <c r="H16" s="12" t="str">
        <f>if(rank('Ens_now작업'!H15,'Ens_now작업'!$C15:$Z15,1)&lt;=5,pred_GDP_now!H16,"")</f>
        <v/>
      </c>
      <c r="I16" s="12" t="str">
        <f>if(rank('Ens_now작업'!I15,'Ens_now작업'!$C15:$Z15,1)&lt;=5,pred_GDP_now!I16,"")</f>
        <v/>
      </c>
      <c r="J16" s="12" t="str">
        <f>if(rank('Ens_now작업'!J15,'Ens_now작업'!$C15:$Z15,1)&lt;=5,pred_GDP_now!J16,"")</f>
        <v/>
      </c>
      <c r="K16" s="12">
        <f>if(rank('Ens_now작업'!K15,'Ens_now작업'!$C15:$Z15,1)&lt;=5,pred_GDP_now!K16,"")</f>
        <v>0.680312</v>
      </c>
      <c r="L16" s="12">
        <f>if(rank('Ens_now작업'!L15,'Ens_now작업'!$C15:$Z15,1)&lt;=5,pred_GDP_now!L16,"")</f>
        <v>0.4701582579</v>
      </c>
      <c r="M16" s="12" t="str">
        <f>if(rank('Ens_now작업'!M15,'Ens_now작업'!$C15:$Z15,1)&lt;=5,pred_GDP_now!M16,"")</f>
        <v/>
      </c>
      <c r="N16" s="12"/>
      <c r="O16" s="12" t="str">
        <f>if(rank('Ens_now작업'!O15,'Ens_now작업'!$C15:$Z15,1)&lt;=5,pred_GDP_now!O16,"")</f>
        <v/>
      </c>
      <c r="P16" s="12" t="str">
        <f>if(rank('Ens_now작업'!P15,'Ens_now작업'!$C15:$Z15,1)&lt;=5,pred_GDP_now!P16,"")</f>
        <v/>
      </c>
      <c r="Q16" s="12">
        <f>if(rank('Ens_now작업'!Q15,'Ens_now작업'!$C15:$Z15,1)&lt;=5,pred_GDP_now!Q16,"")</f>
        <v>0.807791</v>
      </c>
      <c r="R16" s="12"/>
      <c r="S16" s="12"/>
      <c r="T16" s="12"/>
      <c r="U16" s="12"/>
      <c r="V16" s="12"/>
      <c r="W16" s="12"/>
      <c r="X16" s="12"/>
      <c r="Y16" s="12"/>
      <c r="Z16" s="12"/>
      <c r="AA16" s="12">
        <f>average(err_GDP_now!AA12:AA15)</f>
        <v>0.349763</v>
      </c>
      <c r="AB16" s="15" t="str">
        <f t="shared" si="1"/>
        <v>TEXT</v>
      </c>
      <c r="AC16" s="13">
        <f t="shared" si="2"/>
        <v>0.349763</v>
      </c>
    </row>
    <row r="17">
      <c r="A17" s="11">
        <v>201912.0</v>
      </c>
      <c r="B17" s="10">
        <v>1.2</v>
      </c>
      <c r="C17" s="12">
        <f>if(rank('Ens_now작업'!C16,'Ens_now작업'!$C16:$Z16,1)&lt;=5,pred_GDP_now!C17,"")</f>
        <v>0.5759045255</v>
      </c>
      <c r="D17" s="12">
        <f>if(rank('Ens_now작업'!D16,'Ens_now작업'!$C16:$Z16,1)&lt;=5,pred_GDP_now!D17,"")</f>
        <v>0.620985</v>
      </c>
      <c r="E17" s="12" t="str">
        <f>if(rank('Ens_now작업'!E16,'Ens_now작업'!$C16:$Z16,1)&lt;=5,pred_GDP_now!E17,"")</f>
        <v/>
      </c>
      <c r="F17" s="12">
        <f>if(rank('Ens_now작업'!F16,'Ens_now작업'!$C16:$Z16,1)&lt;=5,pred_GDP_now!F17,"")</f>
        <v>0.623506</v>
      </c>
      <c r="G17" s="12"/>
      <c r="H17" s="12" t="str">
        <f>if(rank('Ens_now작업'!H16,'Ens_now작업'!$C16:$Z16,1)&lt;=5,pred_GDP_now!H17,"")</f>
        <v/>
      </c>
      <c r="I17" s="12" t="str">
        <f>if(rank('Ens_now작업'!I16,'Ens_now작업'!$C16:$Z16,1)&lt;=5,pred_GDP_now!I17,"")</f>
        <v/>
      </c>
      <c r="J17" s="12" t="str">
        <f>if(rank('Ens_now작업'!J16,'Ens_now작업'!$C16:$Z16,1)&lt;=5,pred_GDP_now!J17,"")</f>
        <v/>
      </c>
      <c r="K17" s="12">
        <f>if(rank('Ens_now작업'!K16,'Ens_now작업'!$C16:$Z16,1)&lt;=5,pred_GDP_now!K17,"")</f>
        <v>0.852092</v>
      </c>
      <c r="L17" s="12">
        <f>if(rank('Ens_now작업'!L16,'Ens_now작업'!$C16:$Z16,1)&lt;=5,pred_GDP_now!L17,"")</f>
        <v>0.8978015955</v>
      </c>
      <c r="M17" s="12" t="str">
        <f>if(rank('Ens_now작업'!M16,'Ens_now작업'!$C16:$Z16,1)&lt;=5,pred_GDP_now!M17,"")</f>
        <v/>
      </c>
      <c r="N17" s="12"/>
      <c r="O17" s="12" t="str">
        <f>if(rank('Ens_now작업'!O16,'Ens_now작업'!$C16:$Z16,1)&lt;=5,pred_GDP_now!O17,"")</f>
        <v/>
      </c>
      <c r="P17" s="12" t="str">
        <f>if(rank('Ens_now작업'!P16,'Ens_now작업'!$C16:$Z16,1)&lt;=5,pred_GDP_now!P17,"")</f>
        <v/>
      </c>
      <c r="Q17" s="12" t="str">
        <f>if(rank('Ens_now작업'!Q16,'Ens_now작업'!$C16:$Z16,1)&lt;=5,pred_GDP_now!Q17,"")</f>
        <v/>
      </c>
      <c r="R17" s="12"/>
      <c r="S17" s="12"/>
      <c r="T17" s="12"/>
      <c r="U17" s="12"/>
      <c r="V17" s="12"/>
      <c r="W17" s="12"/>
      <c r="X17" s="12"/>
      <c r="Y17" s="12"/>
      <c r="Z17" s="12"/>
      <c r="AA17" s="12">
        <f>average(err_GDP_now!AA13:AA16)</f>
        <v>0.4402365</v>
      </c>
      <c r="AB17" s="15" t="str">
        <f t="shared" si="1"/>
        <v>TEXT</v>
      </c>
      <c r="AC17" s="13">
        <f t="shared" si="2"/>
        <v>0.4402365</v>
      </c>
    </row>
    <row r="18">
      <c r="A18" s="11">
        <v>202003.0</v>
      </c>
      <c r="B18" s="10">
        <v>-1.3</v>
      </c>
      <c r="C18" s="12">
        <f>if(rank('Ens_now작업'!C17,'Ens_now작업'!$C17:$Z17,1)&lt;=5,pred_GDP_now!C18,"")</f>
        <v>-0.03938874808</v>
      </c>
      <c r="D18" s="12">
        <f>if(rank('Ens_now작업'!D17,'Ens_now작업'!$C17:$Z17,1)&lt;=5,pred_GDP_now!D18,"")</f>
        <v>-0.00475</v>
      </c>
      <c r="E18" s="12" t="str">
        <f>if(rank('Ens_now작업'!E17,'Ens_now작업'!$C17:$Z17,1)&lt;=5,pred_GDP_now!E18,"")</f>
        <v/>
      </c>
      <c r="F18" s="12">
        <f>if(rank('Ens_now작업'!F17,'Ens_now작업'!$C17:$Z17,1)&lt;=5,pred_GDP_now!F18,"")</f>
        <v>0.180169</v>
      </c>
      <c r="G18" s="12"/>
      <c r="H18" s="12" t="str">
        <f>if(rank('Ens_now작업'!H17,'Ens_now작업'!$C17:$Z17,1)&lt;=5,pred_GDP_now!H18,"")</f>
        <v/>
      </c>
      <c r="I18" s="12">
        <f>if(rank('Ens_now작업'!I17,'Ens_now작업'!$C17:$Z17,1)&lt;=5,pred_GDP_now!I18,"")</f>
        <v>-0.03601615003</v>
      </c>
      <c r="J18" s="12" t="str">
        <f>if(rank('Ens_now작업'!J17,'Ens_now작업'!$C17:$Z17,1)&lt;=5,pred_GDP_now!J18,"")</f>
        <v/>
      </c>
      <c r="K18" s="12" t="str">
        <f>if(rank('Ens_now작업'!K17,'Ens_now작업'!$C17:$Z17,1)&lt;=5,pred_GDP_now!K18,"")</f>
        <v/>
      </c>
      <c r="L18" s="12">
        <f>if(rank('Ens_now작업'!L17,'Ens_now작업'!$C17:$Z17,1)&lt;=5,pred_GDP_now!L18,"")</f>
        <v>0.231873809</v>
      </c>
      <c r="M18" s="12" t="str">
        <f>if(rank('Ens_now작업'!M17,'Ens_now작업'!$C17:$Z17,1)&lt;=5,pred_GDP_now!M18,"")</f>
        <v/>
      </c>
      <c r="N18" s="12"/>
      <c r="O18" s="12" t="str">
        <f>if(rank('Ens_now작업'!O17,'Ens_now작업'!$C17:$Z17,1)&lt;=5,pred_GDP_now!O18,"")</f>
        <v/>
      </c>
      <c r="P18" s="12" t="str">
        <f>if(rank('Ens_now작업'!P17,'Ens_now작업'!$C17:$Z17,1)&lt;=5,pred_GDP_now!P18,"")</f>
        <v/>
      </c>
      <c r="Q18" s="12" t="str">
        <f>if(rank('Ens_now작업'!Q17,'Ens_now작업'!$C17:$Z17,1)&lt;=5,pred_GDP_now!Q18,"")</f>
        <v/>
      </c>
      <c r="R18" s="12"/>
      <c r="S18" s="12"/>
      <c r="T18" s="12"/>
      <c r="U18" s="12"/>
      <c r="V18" s="12"/>
      <c r="W18" s="12"/>
      <c r="X18" s="12"/>
      <c r="Y18" s="12"/>
      <c r="Z18" s="12"/>
      <c r="AA18" s="12">
        <f>average(err_GDP_now!AA14:AA17)</f>
        <v>0.63064575</v>
      </c>
      <c r="AB18" s="15" t="str">
        <f t="shared" si="1"/>
        <v>DFM</v>
      </c>
      <c r="AC18" s="13">
        <f t="shared" si="2"/>
        <v>-0.03938874808</v>
      </c>
    </row>
    <row r="19">
      <c r="A19" s="11">
        <v>202006.0</v>
      </c>
      <c r="B19" s="10">
        <v>-3.0</v>
      </c>
      <c r="C19" s="12">
        <f>if(rank('Ens_now작업'!C18,'Ens_now작업'!$C18:$Z18,1)&lt;=5,pred_GDP_now!C19,"")</f>
        <v>-0.5449824379</v>
      </c>
      <c r="D19" s="12">
        <f>if(rank('Ens_now작업'!D18,'Ens_now작업'!$C18:$Z18,1)&lt;=5,pred_GDP_now!D19,"")</f>
        <v>-1.25403</v>
      </c>
      <c r="E19" s="12" t="str">
        <f>if(rank('Ens_now작업'!E18,'Ens_now작업'!$C18:$Z18,1)&lt;=5,pred_GDP_now!E19,"")</f>
        <v/>
      </c>
      <c r="F19" s="12" t="str">
        <f>if(rank('Ens_now작업'!F18,'Ens_now작업'!$C18:$Z18,1)&lt;=5,pred_GDP_now!F19,"")</f>
        <v/>
      </c>
      <c r="G19" s="12"/>
      <c r="H19" s="12" t="str">
        <f>if(rank('Ens_now작업'!H18,'Ens_now작업'!$C18:$Z18,1)&lt;=5,pred_GDP_now!H19,"")</f>
        <v/>
      </c>
      <c r="I19" s="12">
        <f>if(rank('Ens_now작업'!I18,'Ens_now작업'!$C18:$Z18,1)&lt;=5,pred_GDP_now!I19,"")</f>
        <v>-0.8808484391</v>
      </c>
      <c r="J19" s="12">
        <f>if(rank('Ens_now작업'!J18,'Ens_now작업'!$C18:$Z18,1)&lt;=5,pred_GDP_now!J19,"")</f>
        <v>0.253357557</v>
      </c>
      <c r="K19" s="12" t="str">
        <f>if(rank('Ens_now작업'!K18,'Ens_now작업'!$C18:$Z18,1)&lt;=5,pred_GDP_now!K19,"")</f>
        <v/>
      </c>
      <c r="L19" s="12">
        <f>if(rank('Ens_now작업'!L18,'Ens_now작업'!$C18:$Z18,1)&lt;=5,pred_GDP_now!L19,"")</f>
        <v>-0.7169095865</v>
      </c>
      <c r="M19" s="12" t="str">
        <f>if(rank('Ens_now작업'!M18,'Ens_now작업'!$C18:$Z18,1)&lt;=5,pred_GDP_now!M19,"")</f>
        <v/>
      </c>
      <c r="N19" s="12"/>
      <c r="O19" s="12" t="str">
        <f>if(rank('Ens_now작업'!O18,'Ens_now작업'!$C18:$Z18,1)&lt;=5,pred_GDP_now!O19,"")</f>
        <v/>
      </c>
      <c r="P19" s="12" t="str">
        <f>if(rank('Ens_now작업'!P18,'Ens_now작업'!$C18:$Z18,1)&lt;=5,pred_GDP_now!P19,"")</f>
        <v/>
      </c>
      <c r="Q19" s="12" t="str">
        <f>if(rank('Ens_now작업'!Q18,'Ens_now작업'!$C18:$Z18,1)&lt;=5,pred_GDP_now!Q19,"")</f>
        <v/>
      </c>
      <c r="R19" s="12"/>
      <c r="S19" s="12"/>
      <c r="T19" s="12"/>
      <c r="U19" s="12"/>
      <c r="V19" s="12"/>
      <c r="W19" s="12"/>
      <c r="X19" s="12"/>
      <c r="Y19" s="12"/>
      <c r="Z19" s="12"/>
      <c r="AA19" s="12">
        <f>average(err_GDP_now!AA15:AA18)</f>
        <v>0.8113925</v>
      </c>
      <c r="AB19" s="15" t="str">
        <f t="shared" si="1"/>
        <v>BEM1</v>
      </c>
      <c r="AC19" s="13">
        <f t="shared" si="2"/>
        <v>-1.25403</v>
      </c>
    </row>
    <row r="20">
      <c r="A20" s="11">
        <v>202009.0</v>
      </c>
      <c r="B20" s="10">
        <v>2.3</v>
      </c>
      <c r="C20" s="12">
        <f>if(rank('Ens_now작업'!C19,'Ens_now작업'!$C19:$Z19,1)&lt;=5,pred_GDP_now!C20,"")</f>
        <v>1.602466728</v>
      </c>
      <c r="D20" s="12">
        <f>if(rank('Ens_now작업'!D19,'Ens_now작업'!$C19:$Z19,1)&lt;=5,pred_GDP_now!D20,"")</f>
        <v>1.853738</v>
      </c>
      <c r="E20" s="12">
        <f>if(rank('Ens_now작업'!E19,'Ens_now작업'!$C19:$Z19,1)&lt;=5,pred_GDP_now!E20,"")</f>
        <v>2.347293</v>
      </c>
      <c r="F20" s="12" t="str">
        <f>if(rank('Ens_now작업'!F19,'Ens_now작업'!$C19:$Z19,1)&lt;=5,pred_GDP_now!F20,"")</f>
        <v/>
      </c>
      <c r="G20" s="12"/>
      <c r="H20" s="12" t="str">
        <f>if(rank('Ens_now작업'!H19,'Ens_now작업'!$C19:$Z19,1)&lt;=5,pred_GDP_now!H20,"")</f>
        <v/>
      </c>
      <c r="I20" s="12">
        <f>if(rank('Ens_now작업'!I19,'Ens_now작업'!$C19:$Z19,1)&lt;=5,pred_GDP_now!I20,"")</f>
        <v>2.4220965</v>
      </c>
      <c r="J20" s="12" t="str">
        <f>if(rank('Ens_now작업'!J19,'Ens_now작업'!$C19:$Z19,1)&lt;=5,pred_GDP_now!J20,"")</f>
        <v/>
      </c>
      <c r="K20" s="12" t="str">
        <f>if(rank('Ens_now작업'!K19,'Ens_now작업'!$C19:$Z19,1)&lt;=5,pred_GDP_now!K20,"")</f>
        <v/>
      </c>
      <c r="L20" s="12">
        <f>if(rank('Ens_now작업'!L19,'Ens_now작업'!$C19:$Z19,1)&lt;=5,pred_GDP_now!L20,"")</f>
        <v>2.223326237</v>
      </c>
      <c r="M20" s="12" t="str">
        <f>if(rank('Ens_now작업'!M19,'Ens_now작업'!$C19:$Z19,1)&lt;=5,pred_GDP_now!M20,"")</f>
        <v/>
      </c>
      <c r="N20" s="12"/>
      <c r="O20" s="12" t="str">
        <f>if(rank('Ens_now작업'!O19,'Ens_now작업'!$C19:$Z19,1)&lt;=5,pred_GDP_now!O20,"")</f>
        <v/>
      </c>
      <c r="P20" s="12" t="str">
        <f>if(rank('Ens_now작업'!P19,'Ens_now작업'!$C19:$Z19,1)&lt;=5,pred_GDP_now!P20,"")</f>
        <v/>
      </c>
      <c r="Q20" s="12" t="str">
        <f>if(rank('Ens_now작업'!Q19,'Ens_now작업'!$C19:$Z19,1)&lt;=5,pred_GDP_now!Q20,"")</f>
        <v/>
      </c>
      <c r="R20" s="12"/>
      <c r="S20" s="12"/>
      <c r="T20" s="12"/>
      <c r="U20" s="12"/>
      <c r="V20" s="12"/>
      <c r="W20" s="12"/>
      <c r="X20" s="12"/>
      <c r="Y20" s="12"/>
      <c r="Z20" s="12"/>
      <c r="AA20" s="12">
        <f>average(err_GDP_now!AA16:AA19)</f>
        <v>1.978706</v>
      </c>
      <c r="AB20" s="15" t="str">
        <f t="shared" si="1"/>
        <v>DFM</v>
      </c>
      <c r="AC20" s="13">
        <f t="shared" si="2"/>
        <v>1.602466728</v>
      </c>
    </row>
    <row r="21">
      <c r="A21" s="11">
        <v>202012.0</v>
      </c>
      <c r="B21" s="10">
        <v>1.3</v>
      </c>
      <c r="C21" s="12" t="str">
        <f>if(rank('Ens_now작업'!C20,'Ens_now작업'!$C20:$Z20,1)&lt;=5,pred_GDP_now!C21,"")</f>
        <v/>
      </c>
      <c r="D21" s="12">
        <f>if(rank('Ens_now작업'!D20,'Ens_now작업'!$C20:$Z20,1)&lt;=5,pred_GDP_now!D21,"")</f>
        <v>1.517258</v>
      </c>
      <c r="E21" s="12">
        <f>if(rank('Ens_now작업'!E20,'Ens_now작업'!$C20:$Z20,1)&lt;=5,pred_GDP_now!E21,"")</f>
        <v>1.55885</v>
      </c>
      <c r="F21" s="12" t="str">
        <f>if(rank('Ens_now작업'!F20,'Ens_now작업'!$C20:$Z20,1)&lt;=5,pred_GDP_now!F21,"")</f>
        <v/>
      </c>
      <c r="G21" s="12"/>
      <c r="H21" s="12" t="str">
        <f>if(rank('Ens_now작업'!H20,'Ens_now작업'!$C20:$Z20,1)&lt;=5,pred_GDP_now!H21,"")</f>
        <v/>
      </c>
      <c r="I21" s="12">
        <f>if(rank('Ens_now작업'!I20,'Ens_now작업'!$C20:$Z20,1)&lt;=5,pred_GDP_now!I21,"")</f>
        <v>1.861717294</v>
      </c>
      <c r="J21" s="12" t="str">
        <f>if(rank('Ens_now작업'!J20,'Ens_now작업'!$C20:$Z20,1)&lt;=5,pred_GDP_now!J21,"")</f>
        <v/>
      </c>
      <c r="K21" s="12" t="str">
        <f>if(rank('Ens_now작업'!K20,'Ens_now작업'!$C20:$Z20,1)&lt;=5,pred_GDP_now!K21,"")</f>
        <v/>
      </c>
      <c r="L21" s="12" t="str">
        <f>if(rank('Ens_now작업'!L20,'Ens_now작업'!$C20:$Z20,1)&lt;=5,pred_GDP_now!L21,"")</f>
        <v/>
      </c>
      <c r="M21" s="12" t="str">
        <f>if(rank('Ens_now작업'!M20,'Ens_now작업'!$C20:$Z20,1)&lt;=5,pred_GDP_now!M21,"")</f>
        <v/>
      </c>
      <c r="N21" s="12"/>
      <c r="O21" s="12" t="str">
        <f>if(rank('Ens_now작업'!O20,'Ens_now작업'!$C20:$Z20,1)&lt;=5,pred_GDP_now!O21,"")</f>
        <v/>
      </c>
      <c r="P21" s="12">
        <f>if(rank('Ens_now작업'!P20,'Ens_now작업'!$C20:$Z20,1)&lt;=5,pred_GDP_now!P21,"")</f>
        <v>1.255289674</v>
      </c>
      <c r="Q21" s="12">
        <f>if(rank('Ens_now작업'!Q20,'Ens_now작업'!$C20:$Z20,1)&lt;=5,pred_GDP_now!Q21,"")</f>
        <v>1.946373</v>
      </c>
      <c r="R21" s="12"/>
      <c r="S21" s="12"/>
      <c r="T21" s="12"/>
      <c r="U21" s="12"/>
      <c r="V21" s="12"/>
      <c r="W21" s="12"/>
      <c r="X21" s="12"/>
      <c r="Y21" s="12"/>
      <c r="Z21" s="12"/>
      <c r="AA21" s="12">
        <f>average(err_GDP_now!AA17:AA20)</f>
        <v>2.34030475</v>
      </c>
      <c r="AB21" s="15" t="str">
        <f t="shared" si="1"/>
        <v>S-XGB</v>
      </c>
      <c r="AC21" s="13">
        <f t="shared" si="2"/>
        <v>1.255289674</v>
      </c>
    </row>
    <row r="22">
      <c r="A22" s="11">
        <v>202103.0</v>
      </c>
      <c r="B22" s="10">
        <v>1.8</v>
      </c>
      <c r="C22" s="12" t="str">
        <f>if(rank('Ens_now작업'!C21,'Ens_now작업'!$C21:$Z21,1)&lt;=5,pred_GDP_now!C22,"")</f>
        <v/>
      </c>
      <c r="D22" s="12">
        <f>if(rank('Ens_now작업'!D21,'Ens_now작업'!$C21:$Z21,1)&lt;=5,pred_GDP_now!D22,"")</f>
        <v>1.135054</v>
      </c>
      <c r="E22" s="12">
        <f>if(rank('Ens_now작업'!E21,'Ens_now작업'!$C21:$Z21,1)&lt;=5,pred_GDP_now!E22,"")</f>
        <v>1.12586</v>
      </c>
      <c r="F22" s="12" t="str">
        <f>if(rank('Ens_now작업'!F21,'Ens_now작업'!$C21:$Z21,1)&lt;=5,pred_GDP_now!F22,"")</f>
        <v/>
      </c>
      <c r="G22" s="12"/>
      <c r="H22" s="12" t="str">
        <f>if(rank('Ens_now작업'!H21,'Ens_now작업'!$C21:$Z21,1)&lt;=5,pred_GDP_now!H22,"")</f>
        <v/>
      </c>
      <c r="I22" s="12">
        <f>if(rank('Ens_now작업'!I21,'Ens_now작업'!$C21:$Z21,1)&lt;=5,pred_GDP_now!I22,"")</f>
        <v>1.70436537</v>
      </c>
      <c r="J22" s="12" t="str">
        <f>if(rank('Ens_now작업'!J21,'Ens_now작업'!$C21:$Z21,1)&lt;=5,pred_GDP_now!J22,"")</f>
        <v/>
      </c>
      <c r="K22" s="12" t="str">
        <f>if(rank('Ens_now작업'!K21,'Ens_now작업'!$C21:$Z21,1)&lt;=5,pred_GDP_now!K22,"")</f>
        <v/>
      </c>
      <c r="L22" s="12" t="str">
        <f>if(rank('Ens_now작업'!L21,'Ens_now작업'!$C21:$Z21,1)&lt;=5,pred_GDP_now!L22,"")</f>
        <v/>
      </c>
      <c r="M22" s="12" t="str">
        <f>if(rank('Ens_now작업'!M21,'Ens_now작업'!$C21:$Z21,1)&lt;=5,pred_GDP_now!M22,"")</f>
        <v/>
      </c>
      <c r="N22" s="12"/>
      <c r="O22" s="12" t="str">
        <f>if(rank('Ens_now작업'!O21,'Ens_now작업'!$C21:$Z21,1)&lt;=5,pred_GDP_now!O22,"")</f>
        <v/>
      </c>
      <c r="P22" s="12">
        <f>if(rank('Ens_now작업'!P21,'Ens_now작업'!$C21:$Z21,1)&lt;=5,pred_GDP_now!P22,"")</f>
        <v>1.410161138</v>
      </c>
      <c r="Q22" s="12">
        <f>if(rank('Ens_now작업'!Q21,'Ens_now작업'!$C21:$Z21,1)&lt;=5,pred_GDP_now!Q22,"")</f>
        <v>1.820096</v>
      </c>
      <c r="R22" s="12"/>
      <c r="S22" s="12"/>
      <c r="T22" s="12"/>
      <c r="U22" s="12"/>
      <c r="V22" s="12"/>
      <c r="W22" s="12"/>
      <c r="X22" s="12"/>
      <c r="Y22" s="12"/>
      <c r="Z22" s="12"/>
      <c r="AA22" s="12">
        <f>average(err_GDP_now!AA18:AA21)</f>
        <v>2.63637475</v>
      </c>
      <c r="AB22" s="15" t="str">
        <f t="shared" si="1"/>
        <v>BEM2</v>
      </c>
      <c r="AC22" s="13">
        <f t="shared" si="2"/>
        <v>1.12586</v>
      </c>
    </row>
    <row r="23">
      <c r="A23" s="11">
        <v>202106.0</v>
      </c>
      <c r="B23" s="10">
        <v>0.9</v>
      </c>
      <c r="C23" s="12" t="str">
        <f>if(rank('Ens_now작업'!C22,'Ens_now작업'!$C22:$Z22,1)&lt;=5,pred_GDP_now!C23,"")</f>
        <v/>
      </c>
      <c r="D23" s="12">
        <f>if(rank('Ens_now작업'!D22,'Ens_now작업'!$C22:$Z22,1)&lt;=5,pred_GDP_now!D23,"")</f>
        <v>1.053214</v>
      </c>
      <c r="E23" s="12">
        <f>if(rank('Ens_now작업'!E22,'Ens_now작업'!$C22:$Z22,1)&lt;=5,pred_GDP_now!E23,"")</f>
        <v>0.916154</v>
      </c>
      <c r="F23" s="12" t="str">
        <f>if(rank('Ens_now작업'!F22,'Ens_now작업'!$C22:$Z22,1)&lt;=5,pred_GDP_now!F23,"")</f>
        <v/>
      </c>
      <c r="G23" s="12"/>
      <c r="H23" s="12" t="str">
        <f>if(rank('Ens_now작업'!H22,'Ens_now작업'!$C22:$Z22,1)&lt;=5,pred_GDP_now!H23,"")</f>
        <v/>
      </c>
      <c r="I23" s="12" t="str">
        <f>if(rank('Ens_now작업'!I22,'Ens_now작업'!$C22:$Z22,1)&lt;=5,pred_GDP_now!I23,"")</f>
        <v/>
      </c>
      <c r="J23" s="12" t="str">
        <f>if(rank('Ens_now작업'!J22,'Ens_now작업'!$C22:$Z22,1)&lt;=5,pred_GDP_now!J23,"")</f>
        <v/>
      </c>
      <c r="K23" s="12" t="str">
        <f>if(rank('Ens_now작업'!K22,'Ens_now작업'!$C22:$Z22,1)&lt;=5,pred_GDP_now!K23,"")</f>
        <v/>
      </c>
      <c r="L23" s="12">
        <f>if(rank('Ens_now작업'!L22,'Ens_now작업'!$C22:$Z22,1)&lt;=5,pred_GDP_now!L23,"")</f>
        <v>1.06898343</v>
      </c>
      <c r="M23" s="12" t="str">
        <f>if(rank('Ens_now작업'!M22,'Ens_now작업'!$C22:$Z22,1)&lt;=5,pred_GDP_now!M23,"")</f>
        <v/>
      </c>
      <c r="N23" s="12"/>
      <c r="O23" s="12" t="str">
        <f>if(rank('Ens_now작업'!O22,'Ens_now작업'!$C22:$Z22,1)&lt;=5,pred_GDP_now!O23,"")</f>
        <v/>
      </c>
      <c r="P23" s="12">
        <f>if(rank('Ens_now작업'!P22,'Ens_now작업'!$C22:$Z22,1)&lt;=5,pred_GDP_now!P23,"")</f>
        <v>1.310709</v>
      </c>
      <c r="Q23" s="12">
        <f>if(rank('Ens_now작업'!Q22,'Ens_now작업'!$C22:$Z22,1)&lt;=5,pred_GDP_now!Q23,"")</f>
        <v>0.772235</v>
      </c>
      <c r="R23" s="12"/>
      <c r="S23" s="12"/>
      <c r="T23" s="12"/>
      <c r="U23" s="12"/>
      <c r="V23" s="12"/>
      <c r="W23" s="12"/>
      <c r="X23" s="12"/>
      <c r="Y23" s="12"/>
      <c r="Z23" s="12"/>
      <c r="AA23" s="12">
        <f>average(err_GDP_now!AA19:AA22)</f>
        <v>2.63005225</v>
      </c>
      <c r="AB23" s="15" t="str">
        <f t="shared" si="1"/>
        <v>LQR</v>
      </c>
      <c r="AC23" s="13">
        <f t="shared" si="2"/>
        <v>0.772235</v>
      </c>
    </row>
    <row r="24">
      <c r="A24" s="11">
        <v>202109.0</v>
      </c>
      <c r="B24" s="10">
        <v>0.1</v>
      </c>
      <c r="C24" s="12" t="str">
        <f>if(rank('Ens_now작업'!C23,'Ens_now작업'!$C23:$Z23,1)&lt;=5,pred_GDP_now!C24,"")</f>
        <v/>
      </c>
      <c r="D24" s="12" t="str">
        <f>if(rank('Ens_now작업'!D23,'Ens_now작업'!$C23:$Z23,1)&lt;=5,pred_GDP_now!D24,"")</f>
        <v/>
      </c>
      <c r="E24" s="12">
        <f>if(rank('Ens_now작업'!E23,'Ens_now작업'!$C23:$Z23,1)&lt;=5,pred_GDP_now!E24,"")</f>
        <v>0.509077</v>
      </c>
      <c r="F24" s="12" t="str">
        <f>if(rank('Ens_now작업'!F23,'Ens_now작업'!$C23:$Z23,1)&lt;=5,pred_GDP_now!F24,"")</f>
        <v/>
      </c>
      <c r="G24" s="12"/>
      <c r="H24" s="12" t="str">
        <f>if(rank('Ens_now작업'!H23,'Ens_now작업'!$C23:$Z23,1)&lt;=5,pred_GDP_now!H24,"")</f>
        <v/>
      </c>
      <c r="I24" s="12">
        <f>if(rank('Ens_now작업'!I23,'Ens_now작업'!$C23:$Z23,1)&lt;=5,pred_GDP_now!I24,"")</f>
        <v>1.13610756</v>
      </c>
      <c r="J24" s="12" t="str">
        <f>if(rank('Ens_now작업'!J23,'Ens_now작업'!$C23:$Z23,1)&lt;=5,pred_GDP_now!J24,"")</f>
        <v/>
      </c>
      <c r="K24" s="12" t="str">
        <f>if(rank('Ens_now작업'!K23,'Ens_now작업'!$C23:$Z23,1)&lt;=5,pred_GDP_now!K24,"")</f>
        <v/>
      </c>
      <c r="L24" s="12">
        <f>if(rank('Ens_now작업'!L23,'Ens_now작업'!$C23:$Z23,1)&lt;=5,pred_GDP_now!L24,"")</f>
        <v>1.044452737</v>
      </c>
      <c r="M24" s="12" t="str">
        <f>if(rank('Ens_now작업'!M23,'Ens_now작업'!$C23:$Z23,1)&lt;=5,pred_GDP_now!M24,"")</f>
        <v/>
      </c>
      <c r="N24" s="12"/>
      <c r="O24" s="12" t="str">
        <f>if(rank('Ens_now작업'!O23,'Ens_now작업'!$C23:$Z23,1)&lt;=5,pred_GDP_now!O24,"")</f>
        <v/>
      </c>
      <c r="P24" s="12">
        <f>if(rank('Ens_now작업'!P23,'Ens_now작업'!$C23:$Z23,1)&lt;=5,pred_GDP_now!P24,"")</f>
        <v>0.9060195088</v>
      </c>
      <c r="Q24" s="12">
        <f>if(rank('Ens_now작업'!Q23,'Ens_now작업'!$C23:$Z23,1)&lt;=5,pred_GDP_now!Q24,"")</f>
        <v>0.581938</v>
      </c>
      <c r="R24" s="12"/>
      <c r="S24" s="12"/>
      <c r="T24" s="12"/>
      <c r="U24" s="12"/>
      <c r="V24" s="12"/>
      <c r="W24" s="12"/>
      <c r="X24" s="12"/>
      <c r="Y24" s="12"/>
      <c r="Z24" s="12"/>
      <c r="AA24" s="12">
        <f>average(err_GDP_now!AA20:AA23)</f>
        <v>1.613333</v>
      </c>
      <c r="AB24" s="15" t="str">
        <f t="shared" si="1"/>
        <v>BEM2</v>
      </c>
      <c r="AC24" s="13">
        <f t="shared" si="2"/>
        <v>0.509077</v>
      </c>
    </row>
    <row r="25">
      <c r="A25" s="11">
        <v>202112.0</v>
      </c>
      <c r="B25" s="10">
        <v>1.4</v>
      </c>
      <c r="C25" s="12" t="str">
        <f>if(rank('Ens_now작업'!C24,'Ens_now작업'!$C24:$Z24,1)&lt;=5,pred_GDP_now!C25,"")</f>
        <v/>
      </c>
      <c r="D25" s="12">
        <f>if(rank('Ens_now작업'!D24,'Ens_now작업'!$C24:$Z24,1)&lt;=5,pred_GDP_now!D25,"")</f>
        <v>1.296681</v>
      </c>
      <c r="E25" s="12">
        <f>if(rank('Ens_now작업'!E24,'Ens_now작업'!$C24:$Z24,1)&lt;=5,pred_GDP_now!E25,"")</f>
        <v>1.352924</v>
      </c>
      <c r="F25" s="12" t="str">
        <f>if(rank('Ens_now작업'!F24,'Ens_now작업'!$C24:$Z24,1)&lt;=5,pred_GDP_now!F25,"")</f>
        <v/>
      </c>
      <c r="G25" s="12"/>
      <c r="H25" s="12" t="str">
        <f>if(rank('Ens_now작업'!H24,'Ens_now작업'!$C24:$Z24,1)&lt;=5,pred_GDP_now!H25,"")</f>
        <v/>
      </c>
      <c r="I25" s="12" t="str">
        <f>if(rank('Ens_now작업'!I24,'Ens_now작업'!$C24:$Z24,1)&lt;=5,pred_GDP_now!I25,"")</f>
        <v/>
      </c>
      <c r="J25" s="12">
        <f>if(rank('Ens_now작업'!J24,'Ens_now작업'!$C24:$Z24,1)&lt;=5,pred_GDP_now!J25,"")</f>
        <v>0.7208680155</v>
      </c>
      <c r="K25" s="12" t="str">
        <f>if(rank('Ens_now작업'!K24,'Ens_now작업'!$C24:$Z24,1)&lt;=5,pred_GDP_now!K25,"")</f>
        <v/>
      </c>
      <c r="L25" s="12">
        <f>if(rank('Ens_now작업'!L24,'Ens_now작업'!$C24:$Z24,1)&lt;=5,pred_GDP_now!L25,"")</f>
        <v>1.317399612</v>
      </c>
      <c r="M25" s="12" t="str">
        <f>if(rank('Ens_now작업'!M24,'Ens_now작업'!$C24:$Z24,1)&lt;=5,pred_GDP_now!M25,"")</f>
        <v/>
      </c>
      <c r="N25" s="12"/>
      <c r="O25" s="12" t="str">
        <f>if(rank('Ens_now작업'!O24,'Ens_now작업'!$C24:$Z24,1)&lt;=5,pred_GDP_now!O25,"")</f>
        <v/>
      </c>
      <c r="P25" s="12">
        <f>if(rank('Ens_now작업'!P24,'Ens_now작업'!$C24:$Z24,1)&lt;=5,pred_GDP_now!P25,"")</f>
        <v>0.954300642</v>
      </c>
      <c r="Q25" s="12" t="str">
        <f>if(rank('Ens_now작업'!Q24,'Ens_now작업'!$C24:$Z24,1)&lt;=5,pred_GDP_now!Q25,"")</f>
        <v/>
      </c>
      <c r="R25" s="12"/>
      <c r="S25" s="12"/>
      <c r="T25" s="12"/>
      <c r="U25" s="12"/>
      <c r="V25" s="12"/>
      <c r="W25" s="12"/>
      <c r="X25" s="12"/>
      <c r="Y25" s="12"/>
      <c r="Z25" s="12"/>
      <c r="AA25" s="12">
        <f>average(err_GDP_now!AA21:AA24)</f>
        <v>1.14804025</v>
      </c>
      <c r="AB25" s="15" t="str">
        <f t="shared" si="1"/>
        <v>T-M</v>
      </c>
      <c r="AC25" s="13">
        <f t="shared" si="2"/>
        <v>0.7208680155</v>
      </c>
    </row>
    <row r="26">
      <c r="A26" s="11">
        <v>202203.0</v>
      </c>
      <c r="B26" s="10">
        <v>0.7</v>
      </c>
      <c r="C26" s="12" t="str">
        <f>if(rank('Ens_now작업'!C25,'Ens_now작업'!$C25:$Z25,1)&lt;=5,pred_GDP_now!C26,"")</f>
        <v/>
      </c>
      <c r="D26" s="12">
        <f>if(rank('Ens_now작업'!D25,'Ens_now작업'!$C25:$Z25,1)&lt;=5,pred_GDP_now!D26,"")</f>
        <v>0.844207</v>
      </c>
      <c r="E26" s="12">
        <f>if(rank('Ens_now작업'!E25,'Ens_now작업'!$C25:$Z25,1)&lt;=5,pred_GDP_now!E26,"")</f>
        <v>0.836529</v>
      </c>
      <c r="F26" s="12">
        <f>if(rank('Ens_now작업'!F25,'Ens_now작업'!$C25:$Z25,1)&lt;=5,pred_GDP_now!F26,"")</f>
        <v>0.87667</v>
      </c>
      <c r="G26" s="12"/>
      <c r="H26" s="12" t="str">
        <f>if(rank('Ens_now작업'!H25,'Ens_now작업'!$C25:$Z25,1)&lt;=5,pred_GDP_now!H26,"")</f>
        <v/>
      </c>
      <c r="I26" s="12" t="str">
        <f>if(rank('Ens_now작업'!I25,'Ens_now작업'!$C25:$Z25,1)&lt;=5,pred_GDP_now!I26,"")</f>
        <v/>
      </c>
      <c r="J26" s="12" t="str">
        <f>if(rank('Ens_now작업'!J25,'Ens_now작업'!$C25:$Z25,1)&lt;=5,pred_GDP_now!J26,"")</f>
        <v/>
      </c>
      <c r="K26" s="12" t="str">
        <f>if(rank('Ens_now작업'!K25,'Ens_now작업'!$C25:$Z25,1)&lt;=5,pred_GDP_now!K26,"")</f>
        <v/>
      </c>
      <c r="L26" s="12">
        <f>if(rank('Ens_now작업'!L25,'Ens_now작업'!$C25:$Z25,1)&lt;=5,pred_GDP_now!L26,"")</f>
        <v>0.707758482</v>
      </c>
      <c r="M26" s="12" t="str">
        <f>if(rank('Ens_now작업'!M25,'Ens_now작업'!$C25:$Z25,1)&lt;=5,pred_GDP_now!M26,"")</f>
        <v/>
      </c>
      <c r="N26" s="12"/>
      <c r="O26" s="12" t="str">
        <f>if(rank('Ens_now작업'!O25,'Ens_now작업'!$C25:$Z25,1)&lt;=5,pred_GDP_now!O26,"")</f>
        <v/>
      </c>
      <c r="P26" s="12" t="str">
        <f>if(rank('Ens_now작업'!P25,'Ens_now작업'!$C25:$Z25,1)&lt;=5,pred_GDP_now!P26,"")</f>
        <v/>
      </c>
      <c r="Q26" s="12">
        <f>if(rank('Ens_now작업'!Q25,'Ens_now작업'!$C25:$Z25,1)&lt;=5,pred_GDP_now!Q26,"")</f>
        <v>0.893021</v>
      </c>
      <c r="R26" s="12"/>
      <c r="S26" s="12"/>
      <c r="T26" s="12"/>
      <c r="U26" s="12"/>
      <c r="V26" s="12"/>
      <c r="W26" s="12"/>
      <c r="X26" s="12"/>
      <c r="Y26" s="12"/>
      <c r="Z26" s="12"/>
      <c r="AA26" s="12">
        <f>average(err_GDP_now!AA22:AA25)</f>
        <v>0.65908275</v>
      </c>
      <c r="AB26" s="15" t="str">
        <f t="shared" si="1"/>
        <v>TEXT</v>
      </c>
      <c r="AC26" s="13">
        <f t="shared" si="2"/>
        <v>0.65908275</v>
      </c>
    </row>
    <row r="27">
      <c r="A27" s="11">
        <v>202206.0</v>
      </c>
      <c r="B27" s="10">
        <v>0.8</v>
      </c>
      <c r="C27" s="12" t="str">
        <f>if(rank('Ens_now작업'!C26,'Ens_now작업'!$C26:$Z26,1)&lt;=5,pred_GDP_now!C27,"")</f>
        <v/>
      </c>
      <c r="D27" s="12">
        <f>if(rank('Ens_now작업'!D26,'Ens_now작업'!$C26:$Z26,1)&lt;=5,pred_GDP_now!D27,"")</f>
        <v>0.373763</v>
      </c>
      <c r="E27" s="12">
        <f>if(rank('Ens_now작업'!E26,'Ens_now작업'!$C26:$Z26,1)&lt;=5,pred_GDP_now!E27,"")</f>
        <v>0.39195</v>
      </c>
      <c r="F27" s="12">
        <f>if(rank('Ens_now작업'!F26,'Ens_now작업'!$C26:$Z26,1)&lt;=5,pred_GDP_now!F27,"")</f>
        <v>0.449743</v>
      </c>
      <c r="G27" s="12"/>
      <c r="H27" s="12" t="str">
        <f>if(rank('Ens_now작업'!H26,'Ens_now작업'!$C26:$Z26,1)&lt;=5,pred_GDP_now!H27,"")</f>
        <v/>
      </c>
      <c r="I27" s="12" t="str">
        <f>if(rank('Ens_now작업'!I26,'Ens_now작업'!$C26:$Z26,1)&lt;=5,pred_GDP_now!I27,"")</f>
        <v/>
      </c>
      <c r="J27" s="12" t="str">
        <f>if(rank('Ens_now작업'!J26,'Ens_now작업'!$C26:$Z26,1)&lt;=5,pred_GDP_now!J27,"")</f>
        <v/>
      </c>
      <c r="K27" s="12" t="str">
        <f>if(rank('Ens_now작업'!K26,'Ens_now작업'!$C26:$Z26,1)&lt;=5,pred_GDP_now!K27,"")</f>
        <v/>
      </c>
      <c r="L27" s="12">
        <f>if(rank('Ens_now작업'!L26,'Ens_now작업'!$C26:$Z26,1)&lt;=5,pred_GDP_now!L27,"")</f>
        <v>0.4834810597</v>
      </c>
      <c r="M27" s="12" t="str">
        <f>if(rank('Ens_now작업'!M26,'Ens_now작업'!$C26:$Z26,1)&lt;=5,pred_GDP_now!M27,"")</f>
        <v/>
      </c>
      <c r="N27" s="12"/>
      <c r="O27" s="12" t="str">
        <f>if(rank('Ens_now작업'!O26,'Ens_now작업'!$C26:$Z26,1)&lt;=5,pred_GDP_now!O27,"")</f>
        <v/>
      </c>
      <c r="P27" s="12" t="str">
        <f>if(rank('Ens_now작업'!P26,'Ens_now작업'!$C26:$Z26,1)&lt;=5,pred_GDP_now!P27,"")</f>
        <v/>
      </c>
      <c r="Q27" s="12">
        <f>if(rank('Ens_now작업'!Q26,'Ens_now작업'!$C26:$Z26,1)&lt;=5,pred_GDP_now!Q27,"")</f>
        <v>0.268611</v>
      </c>
      <c r="R27" s="12"/>
      <c r="S27" s="12"/>
      <c r="T27" s="12"/>
      <c r="U27" s="12"/>
      <c r="V27" s="12"/>
      <c r="W27" s="12"/>
      <c r="X27" s="12"/>
      <c r="Y27" s="12"/>
      <c r="Z27" s="12"/>
      <c r="AA27" s="12">
        <f>average(err_GDP_now!AA23:AA26)</f>
        <v>0.3393535</v>
      </c>
      <c r="AB27" s="15" t="str">
        <f t="shared" si="1"/>
        <v>LQR</v>
      </c>
      <c r="AC27" s="13">
        <f t="shared" si="2"/>
        <v>0.268611</v>
      </c>
    </row>
    <row r="28">
      <c r="A28" s="11">
        <v>202209.0</v>
      </c>
      <c r="B28" s="10">
        <v>0.2</v>
      </c>
      <c r="C28" s="12" t="str">
        <f>if(rank('Ens_now작업'!C27,'Ens_now작업'!$C27:$Z27,1)&lt;=5,pred_GDP_now!C28,"")</f>
        <v/>
      </c>
      <c r="D28" s="12">
        <f>if(rank('Ens_now작업'!D27,'Ens_now작업'!$C27:$Z27,1)&lt;=5,pred_GDP_now!D28,"")</f>
        <v>0.199928</v>
      </c>
      <c r="E28" s="12">
        <f>if(rank('Ens_now작업'!E27,'Ens_now작업'!$C27:$Z27,1)&lt;=5,pred_GDP_now!E28,"")</f>
        <v>0.095254</v>
      </c>
      <c r="F28" s="12">
        <f>if(rank('Ens_now작업'!F27,'Ens_now작업'!$C27:$Z27,1)&lt;=5,pred_GDP_now!F28,"")</f>
        <v>0.340619</v>
      </c>
      <c r="G28" s="12"/>
      <c r="H28" s="12" t="str">
        <f>if(rank('Ens_now작업'!H27,'Ens_now작업'!$C27:$Z27,1)&lt;=5,pred_GDP_now!H28,"")</f>
        <v/>
      </c>
      <c r="I28" s="12" t="str">
        <f>if(rank('Ens_now작업'!I27,'Ens_now작업'!$C27:$Z27,1)&lt;=5,pred_GDP_now!I28,"")</f>
        <v/>
      </c>
      <c r="J28" s="12" t="str">
        <f>if(rank('Ens_now작업'!J27,'Ens_now작업'!$C27:$Z27,1)&lt;=5,pred_GDP_now!J28,"")</f>
        <v/>
      </c>
      <c r="K28" s="12" t="str">
        <f>if(rank('Ens_now작업'!K27,'Ens_now작업'!$C27:$Z27,1)&lt;=5,pred_GDP_now!K28,"")</f>
        <v/>
      </c>
      <c r="L28" s="12">
        <f>if(rank('Ens_now작업'!L27,'Ens_now작업'!$C27:$Z27,1)&lt;=5,pred_GDP_now!L28,"")</f>
        <v>0.6200469423</v>
      </c>
      <c r="M28" s="12" t="str">
        <f>if(rank('Ens_now작업'!M27,'Ens_now작업'!$C27:$Z27,1)&lt;=5,pred_GDP_now!M28,"")</f>
        <v/>
      </c>
      <c r="N28" s="12"/>
      <c r="O28" s="12" t="str">
        <f>if(rank('Ens_now작업'!O27,'Ens_now작업'!$C27:$Z27,1)&lt;=5,pred_GDP_now!O28,"")</f>
        <v/>
      </c>
      <c r="P28" s="12" t="str">
        <f>if(rank('Ens_now작업'!P27,'Ens_now작업'!$C27:$Z27,1)&lt;=5,pred_GDP_now!P28,"")</f>
        <v/>
      </c>
      <c r="Q28" s="12">
        <f>if(rank('Ens_now작업'!Q27,'Ens_now작업'!$C27:$Z27,1)&lt;=5,pred_GDP_now!Q28,"")</f>
        <v>0.588907</v>
      </c>
      <c r="R28" s="12"/>
      <c r="S28" s="12"/>
      <c r="T28" s="12"/>
      <c r="U28" s="12"/>
      <c r="V28" s="12"/>
      <c r="W28" s="12"/>
      <c r="X28" s="12"/>
      <c r="Y28" s="12"/>
      <c r="Z28" s="12"/>
      <c r="AA28" s="12">
        <f>average(err_GDP_now!AA24:AA27)</f>
        <v>0.22908225</v>
      </c>
      <c r="AB28" s="15" t="str">
        <f t="shared" si="1"/>
        <v>BEM2</v>
      </c>
      <c r="AC28" s="13">
        <f t="shared" si="2"/>
        <v>0.095254</v>
      </c>
    </row>
    <row r="29">
      <c r="A29" s="11">
        <v>202212.0</v>
      </c>
      <c r="B29" s="10">
        <v>-0.3</v>
      </c>
      <c r="C29" s="12" t="str">
        <f>if(rank('Ens_now작업'!C28,'Ens_now작업'!$C28:$Z28,1)&lt;=5,pred_GDP_now!C29,"")</f>
        <v/>
      </c>
      <c r="D29" s="12">
        <f>if(rank('Ens_now작업'!D28,'Ens_now작업'!$C28:$Z28,1)&lt;=5,pred_GDP_now!D29,"")</f>
        <v>-0.78486</v>
      </c>
      <c r="E29" s="12">
        <f>if(rank('Ens_now작업'!E28,'Ens_now작업'!$C28:$Z28,1)&lt;=5,pred_GDP_now!E29,"")</f>
        <v>-0.93253</v>
      </c>
      <c r="F29" s="12">
        <f>if(rank('Ens_now작업'!F28,'Ens_now작업'!$C28:$Z28,1)&lt;=5,pred_GDP_now!F29,"")</f>
        <v>-0.55036</v>
      </c>
      <c r="G29" s="12"/>
      <c r="H29" s="12">
        <f>if(rank('Ens_now작업'!H28,'Ens_now작업'!$C28:$Z28,1)&lt;=5,pred_GDP_now!H29,"")</f>
        <v>-0.03764</v>
      </c>
      <c r="I29" s="12" t="str">
        <f>if(rank('Ens_now작업'!I28,'Ens_now작업'!$C28:$Z28,1)&lt;=5,pred_GDP_now!I29,"")</f>
        <v/>
      </c>
      <c r="J29" s="12" t="str">
        <f>if(rank('Ens_now작업'!J28,'Ens_now작업'!$C28:$Z28,1)&lt;=5,pred_GDP_now!J29,"")</f>
        <v/>
      </c>
      <c r="K29" s="12" t="str">
        <f>if(rank('Ens_now작업'!K28,'Ens_now작업'!$C28:$Z28,1)&lt;=5,pred_GDP_now!K29,"")</f>
        <v/>
      </c>
      <c r="L29" s="12">
        <f>if(rank('Ens_now작업'!L28,'Ens_now작업'!$C28:$Z28,1)&lt;=5,pred_GDP_now!L29,"")</f>
        <v>0.04564943353</v>
      </c>
      <c r="M29" s="12" t="str">
        <f>if(rank('Ens_now작업'!M28,'Ens_now작업'!$C28:$Z28,1)&lt;=5,pred_GDP_now!M29,"")</f>
        <v/>
      </c>
      <c r="N29" s="12"/>
      <c r="O29" s="12" t="str">
        <f>if(rank('Ens_now작업'!O28,'Ens_now작업'!$C28:$Z28,1)&lt;=5,pred_GDP_now!O29,"")</f>
        <v/>
      </c>
      <c r="P29" s="12" t="str">
        <f>if(rank('Ens_now작업'!P28,'Ens_now작업'!$C28:$Z28,1)&lt;=5,pred_GDP_now!P29,"")</f>
        <v/>
      </c>
      <c r="Q29" s="12" t="str">
        <f>if(rank('Ens_now작업'!Q28,'Ens_now작업'!$C28:$Z28,1)&lt;=5,pred_GDP_now!Q29,"")</f>
        <v/>
      </c>
      <c r="R29" s="12"/>
      <c r="S29" s="12"/>
      <c r="T29" s="12"/>
      <c r="U29" s="12"/>
      <c r="V29" s="12"/>
      <c r="W29" s="12"/>
      <c r="X29" s="12"/>
      <c r="Y29" s="12"/>
      <c r="Z29" s="12"/>
      <c r="AA29" s="12">
        <f>average(err_GDP_now!AA25:AA28)</f>
        <v>0.39303975</v>
      </c>
      <c r="AB29" s="15" t="str">
        <f t="shared" si="1"/>
        <v>BEM2</v>
      </c>
      <c r="AC29" s="13">
        <f t="shared" si="2"/>
        <v>-0.93253</v>
      </c>
    </row>
    <row r="30">
      <c r="A30" s="11">
        <v>202303.0</v>
      </c>
      <c r="B30" s="10">
        <v>0.3</v>
      </c>
      <c r="C30" s="12" t="str">
        <f>if(rank('Ens_now작업'!C29,'Ens_now작업'!$C29:$Z29,1)&lt;=5,pred_GDP_now!C30,"")</f>
        <v/>
      </c>
      <c r="D30" s="12">
        <f>if(rank('Ens_now작업'!D29,'Ens_now작업'!$C29:$Z29,1)&lt;=5,pred_GDP_now!D30,"")</f>
        <v>0.32618</v>
      </c>
      <c r="E30" s="12">
        <f>if(rank('Ens_now작업'!E29,'Ens_now작업'!$C29:$Z29,1)&lt;=5,pred_GDP_now!E30,"")</f>
        <v>0.190789</v>
      </c>
      <c r="F30" s="12">
        <f>if(rank('Ens_now작업'!F29,'Ens_now작업'!$C29:$Z29,1)&lt;=5,pred_GDP_now!F30,"")</f>
        <v>0.426876</v>
      </c>
      <c r="G30" s="12"/>
      <c r="H30" s="12" t="str">
        <f>if(rank('Ens_now작업'!H29,'Ens_now작업'!$C29:$Z29,1)&lt;=5,pred_GDP_now!H30,"")</f>
        <v/>
      </c>
      <c r="I30" s="12" t="str">
        <f>if(rank('Ens_now작업'!I29,'Ens_now작업'!$C29:$Z29,1)&lt;=5,pred_GDP_now!I30,"")</f>
        <v/>
      </c>
      <c r="J30" s="12" t="str">
        <f>if(rank('Ens_now작업'!J29,'Ens_now작업'!$C29:$Z29,1)&lt;=5,pred_GDP_now!J30,"")</f>
        <v/>
      </c>
      <c r="K30" s="12" t="str">
        <f>if(rank('Ens_now작업'!K29,'Ens_now작업'!$C29:$Z29,1)&lt;=5,pred_GDP_now!K30,"")</f>
        <v/>
      </c>
      <c r="L30" s="12">
        <f>if(rank('Ens_now작업'!L29,'Ens_now작업'!$C29:$Z29,1)&lt;=5,pred_GDP_now!L30,"")</f>
        <v>0.4547666388</v>
      </c>
      <c r="M30" s="12" t="str">
        <f>if(rank('Ens_now작업'!M29,'Ens_now작업'!$C29:$Z29,1)&lt;=5,pred_GDP_now!M30,"")</f>
        <v/>
      </c>
      <c r="N30" s="12"/>
      <c r="O30" s="12" t="str">
        <f>if(rank('Ens_now작업'!O29,'Ens_now작업'!$C29:$Z29,1)&lt;=5,pred_GDP_now!O30,"")</f>
        <v/>
      </c>
      <c r="P30" s="12" t="str">
        <f>if(rank('Ens_now작업'!P29,'Ens_now작업'!$C29:$Z29,1)&lt;=5,pred_GDP_now!P30,"")</f>
        <v/>
      </c>
      <c r="Q30" s="12" t="str">
        <f>if(rank('Ens_now작업'!Q29,'Ens_now작업'!$C29:$Z29,1)&lt;=5,pred_GDP_now!Q30,"")</f>
        <v/>
      </c>
      <c r="R30" s="12"/>
      <c r="S30" s="12"/>
      <c r="T30" s="12"/>
      <c r="U30" s="12"/>
      <c r="V30" s="12"/>
      <c r="W30" s="12"/>
      <c r="X30" s="12"/>
      <c r="Y30" s="12"/>
      <c r="Z30" s="12"/>
      <c r="AA30" s="12">
        <f>average(err_GDP_now!AA26:AA29)</f>
        <v>0.4237145</v>
      </c>
    </row>
    <row r="32">
      <c r="B32" s="2" t="s">
        <v>118</v>
      </c>
      <c r="C32" s="13">
        <f t="shared" ref="C32:F32" si="3">AVERAGE(C2:C30)</f>
        <v>0.4718314977</v>
      </c>
      <c r="D32" s="13">
        <f t="shared" si="3"/>
        <v>0.5868107647</v>
      </c>
      <c r="E32" s="13">
        <f t="shared" si="3"/>
        <v>0.6764850667</v>
      </c>
      <c r="F32" s="13">
        <f t="shared" si="3"/>
        <v>0.4976880833</v>
      </c>
      <c r="G32" s="13"/>
      <c r="H32" s="13">
        <f t="shared" ref="H32:M32" si="4">AVERAGE(H2:H30)</f>
        <v>0.3579225</v>
      </c>
      <c r="I32" s="13">
        <f t="shared" si="4"/>
        <v>1.034570356</v>
      </c>
      <c r="J32" s="13">
        <f t="shared" si="4"/>
        <v>0.7265847417</v>
      </c>
      <c r="K32" s="13">
        <f t="shared" si="4"/>
        <v>0.74426325</v>
      </c>
      <c r="L32" s="13">
        <f t="shared" si="4"/>
        <v>0.6610588844</v>
      </c>
      <c r="M32" s="13" t="str">
        <f t="shared" si="4"/>
        <v>#DIV/0!</v>
      </c>
      <c r="N32" s="13"/>
      <c r="O32" s="13">
        <f t="shared" ref="O32:Q32" si="5">AVERAGE(O2:O30)</f>
        <v>0.7934050339</v>
      </c>
      <c r="P32" s="13">
        <f t="shared" si="5"/>
        <v>1.167295992</v>
      </c>
      <c r="Q32" s="13">
        <f t="shared" si="5"/>
        <v>0.7093628667</v>
      </c>
      <c r="R32" s="13"/>
      <c r="S32" s="13"/>
      <c r="T32" s="13"/>
      <c r="U32" s="13"/>
      <c r="V32" s="13"/>
      <c r="W32" s="13"/>
      <c r="X32" s="13"/>
      <c r="Y32" s="13"/>
      <c r="Z32" s="13"/>
      <c r="AA32" s="13">
        <f>AVERAGE(AA2:AA30)</f>
        <v>0.86258969</v>
      </c>
      <c r="AC32" s="13">
        <f>AVERAGE(AC2:AC30)</f>
        <v>0.3602284737</v>
      </c>
    </row>
    <row r="33">
      <c r="B33" s="2" t="s">
        <v>119</v>
      </c>
      <c r="C33" s="13">
        <f t="shared" ref="C33:F33" si="6">(sumsq(C2:C30)/count(C2:C30))^(0.5)</f>
        <v>0.8378396243</v>
      </c>
      <c r="D33" s="13">
        <f t="shared" si="6"/>
        <v>0.9644062454</v>
      </c>
      <c r="E33" s="13">
        <f t="shared" si="6"/>
        <v>1.026496933</v>
      </c>
      <c r="F33" s="13">
        <f t="shared" si="6"/>
        <v>0.6385295616</v>
      </c>
      <c r="G33" s="13"/>
      <c r="H33" s="13">
        <f t="shared" ref="H33:M33" si="7">(sumsq(H2:H30)/count(H2:H30))^(0.5)</f>
        <v>0.5334587214</v>
      </c>
      <c r="I33" s="13">
        <f t="shared" si="7"/>
        <v>1.544092807</v>
      </c>
      <c r="J33" s="13">
        <f t="shared" si="7"/>
        <v>0.7730058269</v>
      </c>
      <c r="K33" s="13">
        <f t="shared" si="7"/>
        <v>0.7633492836</v>
      </c>
      <c r="L33" s="13">
        <f t="shared" si="7"/>
        <v>0.8779911313</v>
      </c>
      <c r="M33" s="13" t="str">
        <f t="shared" si="7"/>
        <v>#DIV/0!</v>
      </c>
      <c r="N33" s="13"/>
      <c r="O33" s="13">
        <f t="shared" ref="O33:Q33" si="8">(sumsq(O2:O30)/count(O2:O30))^(0.5)</f>
        <v>0.8280161699</v>
      </c>
      <c r="P33" s="13">
        <f t="shared" si="8"/>
        <v>1.184383869</v>
      </c>
      <c r="Q33" s="13">
        <f t="shared" si="8"/>
        <v>0.9219492842</v>
      </c>
      <c r="R33" s="13"/>
      <c r="S33" s="13"/>
      <c r="T33" s="13"/>
      <c r="U33" s="13"/>
      <c r="V33" s="13"/>
      <c r="W33" s="13"/>
      <c r="X33" s="13"/>
      <c r="Y33" s="13"/>
      <c r="Z33" s="13"/>
      <c r="AA33" s="13">
        <f>(sumsq(AA2:AA30)/count(AA2:AA30))^(0.5)</f>
        <v>1.136293617</v>
      </c>
      <c r="AC33" s="13">
        <f>(sumsq(AC2:AC30)/count(AC2:AC30))^(0.5)</f>
        <v>0.7099049991</v>
      </c>
    </row>
    <row r="34">
      <c r="B34" s="2" t="s">
        <v>120</v>
      </c>
      <c r="C34" s="13">
        <f t="shared" ref="C34:F34" si="9">MAX(C2:C30)</f>
        <v>1.602466728</v>
      </c>
      <c r="D34" s="13">
        <f t="shared" si="9"/>
        <v>1.853738</v>
      </c>
      <c r="E34" s="13">
        <f t="shared" si="9"/>
        <v>2.347293</v>
      </c>
      <c r="F34" s="13">
        <f t="shared" si="9"/>
        <v>1.015314</v>
      </c>
      <c r="G34" s="13"/>
      <c r="H34" s="13">
        <f t="shared" ref="H34:M34" si="10">MAX(H2:H30)</f>
        <v>0.753485</v>
      </c>
      <c r="I34" s="13">
        <f t="shared" si="10"/>
        <v>2.4220965</v>
      </c>
      <c r="J34" s="13">
        <f t="shared" si="10"/>
        <v>1.005437958</v>
      </c>
      <c r="K34" s="13">
        <f t="shared" si="10"/>
        <v>0.937068</v>
      </c>
      <c r="L34" s="13">
        <f t="shared" si="10"/>
        <v>2.223326237</v>
      </c>
      <c r="M34" s="13">
        <f t="shared" si="10"/>
        <v>0</v>
      </c>
      <c r="N34" s="13"/>
      <c r="O34" s="13">
        <f t="shared" ref="O34:Q34" si="11">MAX(O2:O30)</f>
        <v>1.139971285</v>
      </c>
      <c r="P34" s="13">
        <f t="shared" si="11"/>
        <v>1.410161138</v>
      </c>
      <c r="Q34" s="13">
        <f t="shared" si="11"/>
        <v>1.946373</v>
      </c>
      <c r="R34" s="13"/>
      <c r="S34" s="13"/>
      <c r="T34" s="13"/>
      <c r="U34" s="13"/>
      <c r="V34" s="13"/>
      <c r="W34" s="13"/>
      <c r="X34" s="13"/>
      <c r="Y34" s="13"/>
      <c r="Z34" s="13"/>
      <c r="AA34" s="13">
        <f>MAX(AA2:AA30)</f>
        <v>2.63637475</v>
      </c>
      <c r="AC34" s="13">
        <f>MAX(AC2:AC30)</f>
        <v>1.602466728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9"/>
      <c r="B1" s="10" t="s">
        <v>102</v>
      </c>
      <c r="C1" s="2" t="s">
        <v>121</v>
      </c>
      <c r="D1" s="2" t="s">
        <v>122</v>
      </c>
      <c r="E1" s="2" t="s">
        <v>123</v>
      </c>
      <c r="F1" s="2" t="s">
        <v>124</v>
      </c>
      <c r="H1" s="2" t="s">
        <v>76</v>
      </c>
      <c r="I1" s="2" t="s">
        <v>56</v>
      </c>
      <c r="J1" s="2" t="s">
        <v>125</v>
      </c>
      <c r="K1" s="2" t="s">
        <v>126</v>
      </c>
      <c r="L1" s="2" t="s">
        <v>127</v>
      </c>
      <c r="M1" s="2" t="s">
        <v>128</v>
      </c>
      <c r="O1" s="2" t="s">
        <v>129</v>
      </c>
      <c r="P1" s="2" t="s">
        <v>130</v>
      </c>
      <c r="Q1" s="2" t="s">
        <v>131</v>
      </c>
      <c r="R1" s="2" t="s">
        <v>132</v>
      </c>
      <c r="AA1" s="2" t="s">
        <v>87</v>
      </c>
      <c r="AB1" s="2" t="s">
        <v>133</v>
      </c>
      <c r="AC1" s="2" t="s">
        <v>134</v>
      </c>
    </row>
    <row r="2">
      <c r="A2" s="11">
        <v>201603.0</v>
      </c>
      <c r="B2" s="10">
        <v>0.3</v>
      </c>
      <c r="C2" s="12"/>
      <c r="D2" s="12"/>
      <c r="E2" s="12"/>
      <c r="F2" s="12"/>
      <c r="G2" s="12"/>
      <c r="H2" s="12"/>
      <c r="I2" s="12"/>
      <c r="J2" s="12"/>
      <c r="L2" s="13"/>
      <c r="M2" s="12"/>
      <c r="N2" s="12"/>
    </row>
    <row r="3">
      <c r="A3" s="11">
        <v>201606.0</v>
      </c>
      <c r="B3" s="10">
        <v>1.2</v>
      </c>
      <c r="C3" s="12"/>
      <c r="D3" s="12"/>
      <c r="E3" s="12"/>
      <c r="F3" s="12"/>
      <c r="G3" s="12"/>
      <c r="H3" s="12"/>
      <c r="I3" s="12"/>
      <c r="J3" s="12"/>
      <c r="L3" s="13"/>
      <c r="M3" s="12"/>
      <c r="N3" s="12"/>
    </row>
    <row r="4">
      <c r="A4" s="11">
        <v>201609.0</v>
      </c>
      <c r="B4" s="10">
        <v>0.4</v>
      </c>
      <c r="C4" s="12"/>
      <c r="D4" s="12"/>
      <c r="E4" s="12"/>
      <c r="F4" s="12"/>
      <c r="G4" s="12"/>
      <c r="H4" s="12"/>
      <c r="I4" s="12"/>
      <c r="J4" s="12"/>
      <c r="L4" s="13"/>
      <c r="M4" s="12"/>
      <c r="N4" s="12"/>
    </row>
    <row r="5">
      <c r="A5" s="11">
        <v>201612.0</v>
      </c>
      <c r="B5" s="10">
        <v>0.6</v>
      </c>
      <c r="C5" s="12"/>
      <c r="D5" s="12"/>
      <c r="E5" s="12"/>
      <c r="F5" s="12"/>
      <c r="G5" s="12"/>
      <c r="H5" s="12"/>
      <c r="I5" s="12"/>
      <c r="J5" s="12"/>
      <c r="L5" s="13"/>
      <c r="M5" s="12"/>
      <c r="N5" s="12"/>
    </row>
    <row r="6">
      <c r="A6" s="11">
        <v>201703.0</v>
      </c>
      <c r="B6" s="10">
        <v>1.0</v>
      </c>
      <c r="C6" s="16"/>
      <c r="D6" s="16"/>
      <c r="E6" s="16"/>
      <c r="F6" s="16"/>
      <c r="G6" s="16"/>
      <c r="H6" s="16"/>
      <c r="I6" s="16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>
        <f>average(err_GDP_now!AA2:AA5)</f>
        <v>0.464135</v>
      </c>
      <c r="AB6" s="15" t="str">
        <f t="shared" ref="AB6:AB29" si="1">index($C$1:$AA$1, match(min(C6:AA6),C6:AA6,0))</f>
        <v>TEXT</v>
      </c>
      <c r="AC6" s="17">
        <f t="shared" ref="AC6:AC29" si="2">min(C6:AA6)</f>
        <v>0.464135</v>
      </c>
    </row>
    <row r="7">
      <c r="A7" s="11">
        <v>201706.0</v>
      </c>
      <c r="B7" s="10">
        <v>0.8</v>
      </c>
      <c r="C7" s="12" t="str">
        <f>if(rank('Ens_now작업'!C6,'Ens_now작업'!$C6:$Z6,1)&lt;=3,pred_GDP_now!C7,"")</f>
        <v/>
      </c>
      <c r="D7" s="12">
        <f>if(rank('Ens_now작업'!D6,'Ens_now작업'!$C6:$Z6,1)&lt;=3,pred_GDP_now!D7,"")</f>
        <v>1.108525</v>
      </c>
      <c r="E7" s="12">
        <f>if(rank('Ens_now작업'!E6,'Ens_now작업'!$C6:$Z6,1)&lt;=3,pred_GDP_now!E7,"")</f>
        <v>1.126052</v>
      </c>
      <c r="F7" s="12">
        <f>if(rank('Ens_now작업'!F6,'Ens_now작업'!$C6:$Z6,1)&lt;=3,pred_GDP_now!F7,"")</f>
        <v>1.015314</v>
      </c>
      <c r="G7" s="12"/>
      <c r="H7" s="12" t="str">
        <f>if(rank('Ens_now작업'!H6,'Ens_now작업'!$C6:$Z6,1)&lt;=3,pred_GDP_now!H7,"")</f>
        <v/>
      </c>
      <c r="I7" s="12" t="str">
        <f>if(rank('Ens_now작업'!I6,'Ens_now작업'!$C6:$Z6,1)&lt;=3,pred_GDP_now!I7,"")</f>
        <v/>
      </c>
      <c r="J7" s="12" t="str">
        <f>if(rank('Ens_now작업'!J6,'Ens_now작업'!$C6:$Z6,1)&lt;=3,pred_GDP_now!J7,"")</f>
        <v/>
      </c>
      <c r="K7" s="12" t="str">
        <f>if(rank('Ens_now작업'!K6,'Ens_now작업'!$C6:$Z6,1)&lt;=3,pred_GDP_now!K7,"")</f>
        <v/>
      </c>
      <c r="L7" s="12" t="str">
        <f>if(rank('Ens_now작업'!L6,'Ens_now작업'!$C6:$Z6,1)&lt;=3,pred_GDP_now!L7,"")</f>
        <v/>
      </c>
      <c r="M7" s="12" t="str">
        <f>if(rank('Ens_now작업'!M6,'Ens_now작업'!$C6:$Z6,1)&lt;=3,pred_GDP_now!M7,"")</f>
        <v/>
      </c>
      <c r="N7" s="12"/>
      <c r="O7" s="12" t="str">
        <f>if(rank('Ens_now작업'!O6,'Ens_now작업'!$C6:$Z6,1)&lt;=3,pred_GDP_now!O7,"")</f>
        <v/>
      </c>
      <c r="P7" s="12" t="str">
        <f>if(rank('Ens_now작업'!P6,'Ens_now작업'!$C6:$Z6,1)&lt;=3,pred_GDP_now!P7,"")</f>
        <v/>
      </c>
      <c r="Q7" s="12" t="str">
        <f>if(rank('Ens_now작업'!Q6,'Ens_now작업'!$C6:$Z6,1)&lt;=3,pred_GDP_now!Q7,"")</f>
        <v/>
      </c>
      <c r="R7" s="12"/>
      <c r="S7" s="12"/>
      <c r="T7" s="12"/>
      <c r="U7" s="12"/>
      <c r="V7" s="12"/>
      <c r="W7" s="12"/>
      <c r="X7" s="12"/>
      <c r="Y7" s="12"/>
      <c r="Z7" s="12"/>
      <c r="AA7" s="12">
        <f>average(err_GDP_now!AA3:AA6)</f>
        <v>0.440463</v>
      </c>
      <c r="AB7" s="15" t="str">
        <f t="shared" si="1"/>
        <v>TEXT</v>
      </c>
      <c r="AC7" s="13">
        <f t="shared" si="2"/>
        <v>0.440463</v>
      </c>
    </row>
    <row r="8">
      <c r="A8" s="11">
        <v>201709.0</v>
      </c>
      <c r="B8" s="10">
        <v>1.4</v>
      </c>
      <c r="C8" s="12" t="str">
        <f>if(rank('Ens_now작업'!C7,'Ens_now작업'!$C7:$Z7,1)&lt;=3,pred_GDP_now!C8,"")</f>
        <v/>
      </c>
      <c r="D8" s="12">
        <f>if(rank('Ens_now작업'!D7,'Ens_now작업'!$C7:$Z7,1)&lt;=3,pred_GDP_now!D8,"")</f>
        <v>0.287701</v>
      </c>
      <c r="E8" s="12">
        <f>if(rank('Ens_now작업'!E7,'Ens_now작업'!$C7:$Z7,1)&lt;=3,pred_GDP_now!E8,"")</f>
        <v>0.275753</v>
      </c>
      <c r="F8" s="12">
        <f>if(rank('Ens_now작업'!F7,'Ens_now작업'!$C7:$Z7,1)&lt;=3,pred_GDP_now!F8,"")</f>
        <v>0.399241</v>
      </c>
      <c r="G8" s="12"/>
      <c r="H8" s="12" t="str">
        <f>if(rank('Ens_now작업'!H7,'Ens_now작업'!$C7:$Z7,1)&lt;=3,pred_GDP_now!H8,"")</f>
        <v/>
      </c>
      <c r="I8" s="12" t="str">
        <f>if(rank('Ens_now작업'!I7,'Ens_now작업'!$C7:$Z7,1)&lt;=3,pred_GDP_now!I8,"")</f>
        <v/>
      </c>
      <c r="J8" s="12" t="str">
        <f>if(rank('Ens_now작업'!J7,'Ens_now작업'!$C7:$Z7,1)&lt;=3,pred_GDP_now!J8,"")</f>
        <v/>
      </c>
      <c r="K8" s="12" t="str">
        <f>if(rank('Ens_now작업'!K7,'Ens_now작업'!$C7:$Z7,1)&lt;=3,pred_GDP_now!K8,"")</f>
        <v/>
      </c>
      <c r="L8" s="12" t="str">
        <f>if(rank('Ens_now작업'!L7,'Ens_now작업'!$C7:$Z7,1)&lt;=3,pred_GDP_now!L8,"")</f>
        <v/>
      </c>
      <c r="M8" s="12" t="str">
        <f>if(rank('Ens_now작업'!M7,'Ens_now작업'!$C7:$Z7,1)&lt;=3,pred_GDP_now!M8,"")</f>
        <v/>
      </c>
      <c r="N8" s="12"/>
      <c r="O8" s="12" t="str">
        <f>if(rank('Ens_now작업'!O7,'Ens_now작업'!$C7:$Z7,1)&lt;=3,pred_GDP_now!O8,"")</f>
        <v/>
      </c>
      <c r="P8" s="12" t="str">
        <f>if(rank('Ens_now작업'!P7,'Ens_now작업'!$C7:$Z7,1)&lt;=3,pred_GDP_now!P8,"")</f>
        <v/>
      </c>
      <c r="Q8" s="12" t="str">
        <f>if(rank('Ens_now작업'!Q7,'Ens_now작업'!$C7:$Z7,1)&lt;=3,pred_GDP_now!Q8,"")</f>
        <v/>
      </c>
      <c r="R8" s="12"/>
      <c r="S8" s="12"/>
      <c r="T8" s="12"/>
      <c r="U8" s="12"/>
      <c r="V8" s="12"/>
      <c r="W8" s="12"/>
      <c r="X8" s="12"/>
      <c r="Y8" s="12"/>
      <c r="Z8" s="12"/>
      <c r="AA8" s="12">
        <f>average(err_GDP_now!AA4:AA7)</f>
        <v>0.2560005</v>
      </c>
      <c r="AB8" s="15" t="str">
        <f t="shared" si="1"/>
        <v>TEXT</v>
      </c>
      <c r="AC8" s="13">
        <f t="shared" si="2"/>
        <v>0.2560005</v>
      </c>
    </row>
    <row r="9">
      <c r="A9" s="11">
        <v>201712.0</v>
      </c>
      <c r="B9" s="10">
        <v>-0.3</v>
      </c>
      <c r="C9" s="12" t="str">
        <f>if(rank('Ens_now작업'!C8,'Ens_now작업'!$C8:$Z8,1)&lt;=3,pred_GDP_now!C9,"")</f>
        <v/>
      </c>
      <c r="D9" s="12" t="str">
        <f>if(rank('Ens_now작업'!D8,'Ens_now작업'!$C8:$Z8,1)&lt;=3,pred_GDP_now!D9,"")</f>
        <v/>
      </c>
      <c r="E9" s="12">
        <f>if(rank('Ens_now작업'!E8,'Ens_now작업'!$C8:$Z8,1)&lt;=3,pred_GDP_now!E9,"")</f>
        <v>0.673771</v>
      </c>
      <c r="F9" s="12">
        <f>if(rank('Ens_now작업'!F8,'Ens_now작업'!$C8:$Z8,1)&lt;=3,pred_GDP_now!F9,"")</f>
        <v>0.895778</v>
      </c>
      <c r="G9" s="12"/>
      <c r="H9" s="12" t="str">
        <f>if(rank('Ens_now작업'!H8,'Ens_now작업'!$C8:$Z8,1)&lt;=3,pred_GDP_now!H9,"")</f>
        <v/>
      </c>
      <c r="I9" s="12" t="str">
        <f>if(rank('Ens_now작업'!I8,'Ens_now작업'!$C8:$Z8,1)&lt;=3,pred_GDP_now!I9,"")</f>
        <v/>
      </c>
      <c r="J9" s="12" t="str">
        <f>if(rank('Ens_now작업'!J8,'Ens_now작업'!$C8:$Z8,1)&lt;=3,pred_GDP_now!J9,"")</f>
        <v/>
      </c>
      <c r="K9" s="12" t="str">
        <f>if(rank('Ens_now작업'!K8,'Ens_now작업'!$C8:$Z8,1)&lt;=3,pred_GDP_now!K9,"")</f>
        <v/>
      </c>
      <c r="L9" s="12" t="str">
        <f>if(rank('Ens_now작업'!L8,'Ens_now작업'!$C8:$Z8,1)&lt;=3,pred_GDP_now!L9,"")</f>
        <v/>
      </c>
      <c r="M9" s="12" t="str">
        <f>if(rank('Ens_now작업'!M8,'Ens_now작업'!$C8:$Z8,1)&lt;=3,pred_GDP_now!M9,"")</f>
        <v/>
      </c>
      <c r="N9" s="12"/>
      <c r="O9" s="12" t="str">
        <f>if(rank('Ens_now작업'!O8,'Ens_now작업'!$C8:$Z8,1)&lt;=3,pred_GDP_now!O9,"")</f>
        <v/>
      </c>
      <c r="P9" s="12" t="str">
        <f>if(rank('Ens_now작업'!P8,'Ens_now작업'!$C8:$Z8,1)&lt;=3,pred_GDP_now!P9,"")</f>
        <v/>
      </c>
      <c r="Q9" s="12">
        <f>if(rank('Ens_now작업'!Q8,'Ens_now작업'!$C8:$Z8,1)&lt;=3,pred_GDP_now!Q9,"")</f>
        <v>0.354928</v>
      </c>
      <c r="R9" s="12"/>
      <c r="S9" s="12"/>
      <c r="T9" s="12"/>
      <c r="U9" s="12"/>
      <c r="V9" s="12"/>
      <c r="W9" s="12"/>
      <c r="X9" s="12"/>
      <c r="Y9" s="12"/>
      <c r="Z9" s="12"/>
      <c r="AA9" s="12">
        <f>average(err_GDP_now!AA5:AA8)</f>
        <v>0.22943375</v>
      </c>
      <c r="AB9" s="15" t="str">
        <f t="shared" si="1"/>
        <v>TEXT</v>
      </c>
      <c r="AC9" s="13">
        <f t="shared" si="2"/>
        <v>0.22943375</v>
      </c>
    </row>
    <row r="10">
      <c r="A10" s="11">
        <v>201803.0</v>
      </c>
      <c r="B10" s="10">
        <v>1.3</v>
      </c>
      <c r="C10" s="12" t="str">
        <f>if(rank('Ens_now작업'!C9,'Ens_now작업'!$C9:$Z9,1)&lt;=3,pred_GDP_now!C10,"")</f>
        <v/>
      </c>
      <c r="D10" s="12" t="str">
        <f>if(rank('Ens_now작업'!D9,'Ens_now작업'!$C9:$Z9,1)&lt;=3,pred_GDP_now!D10,"")</f>
        <v/>
      </c>
      <c r="E10" s="12" t="str">
        <f>if(rank('Ens_now작업'!E9,'Ens_now작업'!$C9:$Z9,1)&lt;=3,pred_GDP_now!E10,"")</f>
        <v/>
      </c>
      <c r="F10" s="12" t="str">
        <f>if(rank('Ens_now작업'!F9,'Ens_now작업'!$C9:$Z9,1)&lt;=3,pred_GDP_now!F10,"")</f>
        <v/>
      </c>
      <c r="G10" s="12"/>
      <c r="H10" s="12">
        <f>if(rank('Ens_now작업'!H9,'Ens_now작업'!$C9:$Z9,1)&lt;=3,pred_GDP_now!H10,"")</f>
        <v>0.753485</v>
      </c>
      <c r="I10" s="12" t="str">
        <f>if(rank('Ens_now작업'!I9,'Ens_now작업'!$C9:$Z9,1)&lt;=3,pred_GDP_now!I10,"")</f>
        <v/>
      </c>
      <c r="J10" s="12" t="str">
        <f>if(rank('Ens_now작업'!J9,'Ens_now작업'!$C9:$Z9,1)&lt;=3,pred_GDP_now!J10,"")</f>
        <v/>
      </c>
      <c r="K10" s="12">
        <f>if(rank('Ens_now작업'!K9,'Ens_now작업'!$C9:$Z9,1)&lt;=3,pred_GDP_now!K10,"")</f>
        <v>0.937068</v>
      </c>
      <c r="L10" s="12" t="str">
        <f>if(rank('Ens_now작업'!L9,'Ens_now작업'!$C9:$Z9,1)&lt;=3,pred_GDP_now!L10,"")</f>
        <v/>
      </c>
      <c r="M10" s="12" t="str">
        <f>if(rank('Ens_now작업'!M9,'Ens_now작업'!$C9:$Z9,1)&lt;=3,pred_GDP_now!M10,"")</f>
        <v/>
      </c>
      <c r="N10" s="12"/>
      <c r="O10" s="12">
        <f>if(rank('Ens_now작업'!O9,'Ens_now작업'!$C9:$Z9,1)&lt;=3,pred_GDP_now!O10,"")</f>
        <v>1.111777283</v>
      </c>
      <c r="P10" s="12" t="str">
        <f>if(rank('Ens_now작업'!P9,'Ens_now작업'!$C9:$Z9,1)&lt;=3,pred_GDP_now!P10,"")</f>
        <v/>
      </c>
      <c r="Q10" s="12" t="str">
        <f>if(rank('Ens_now작업'!Q9,'Ens_now작업'!$C9:$Z9,1)&lt;=3,pred_GDP_now!Q10,"")</f>
        <v/>
      </c>
      <c r="R10" s="12"/>
      <c r="S10" s="12"/>
      <c r="T10" s="12"/>
      <c r="U10" s="12"/>
      <c r="V10" s="12"/>
      <c r="W10" s="12"/>
      <c r="X10" s="12"/>
      <c r="Y10" s="12"/>
      <c r="Z10" s="12"/>
      <c r="AA10" s="12">
        <f>average(err_GDP_now!AA6:AA9)</f>
        <v>0.6452605</v>
      </c>
      <c r="AB10" s="15" t="str">
        <f t="shared" si="1"/>
        <v>TEXT</v>
      </c>
      <c r="AC10" s="13">
        <f t="shared" si="2"/>
        <v>0.6452605</v>
      </c>
    </row>
    <row r="11">
      <c r="A11" s="11">
        <v>201806.0</v>
      </c>
      <c r="B11" s="10">
        <v>0.7</v>
      </c>
      <c r="C11" s="12" t="str">
        <f>if(rank('Ens_now작업'!C10,'Ens_now작업'!$C10:$Z10,1)&lt;=3,pred_GDP_now!C11,"")</f>
        <v/>
      </c>
      <c r="D11" s="12" t="str">
        <f>if(rank('Ens_now작업'!D10,'Ens_now작업'!$C10:$Z10,1)&lt;=3,pred_GDP_now!D11,"")</f>
        <v/>
      </c>
      <c r="E11" s="12" t="str">
        <f>if(rank('Ens_now작업'!E10,'Ens_now작업'!$C10:$Z10,1)&lt;=3,pred_GDP_now!E11,"")</f>
        <v/>
      </c>
      <c r="F11" s="12" t="str">
        <f>if(rank('Ens_now작업'!F10,'Ens_now작업'!$C10:$Z10,1)&lt;=3,pred_GDP_now!F11,"")</f>
        <v/>
      </c>
      <c r="G11" s="12"/>
      <c r="H11" s="12" t="str">
        <f>if(rank('Ens_now작업'!H10,'Ens_now작업'!$C10:$Z10,1)&lt;=3,pred_GDP_now!H11,"")</f>
        <v/>
      </c>
      <c r="I11" s="12" t="str">
        <f>if(rank('Ens_now작업'!I10,'Ens_now작업'!$C10:$Z10,1)&lt;=3,pred_GDP_now!I11,"")</f>
        <v/>
      </c>
      <c r="J11" s="12" t="str">
        <f>if(rank('Ens_now작업'!J10,'Ens_now작업'!$C10:$Z10,1)&lt;=3,pred_GDP_now!J11,"")</f>
        <v/>
      </c>
      <c r="K11" s="12">
        <f>if(rank('Ens_now작업'!K10,'Ens_now작업'!$C10:$Z10,1)&lt;=3,pred_GDP_now!K11,"")</f>
        <v>0.837201</v>
      </c>
      <c r="L11" s="12">
        <f>if(rank('Ens_now작업'!L10,'Ens_now작업'!$C10:$Z10,1)&lt;=3,pred_GDP_now!L11,"")</f>
        <v>0.5772622672</v>
      </c>
      <c r="M11" s="12" t="str">
        <f>if(rank('Ens_now작업'!M10,'Ens_now작업'!$C10:$Z10,1)&lt;=3,pred_GDP_now!M11,"")</f>
        <v/>
      </c>
      <c r="N11" s="12"/>
      <c r="O11" s="12" t="str">
        <f>if(rank('Ens_now작업'!O10,'Ens_now작업'!$C10:$Z10,1)&lt;=3,pred_GDP_now!O11,"")</f>
        <v/>
      </c>
      <c r="P11" s="12" t="str">
        <f>if(rank('Ens_now작업'!P10,'Ens_now작업'!$C10:$Z10,1)&lt;=3,pred_GDP_now!P11,"")</f>
        <v/>
      </c>
      <c r="Q11" s="12">
        <f>if(rank('Ens_now작업'!Q10,'Ens_now작업'!$C10:$Z10,1)&lt;=3,pred_GDP_now!Q11,"")</f>
        <v>0.687899</v>
      </c>
      <c r="R11" s="12"/>
      <c r="S11" s="12"/>
      <c r="T11" s="12"/>
      <c r="U11" s="12"/>
      <c r="V11" s="12"/>
      <c r="W11" s="12"/>
      <c r="X11" s="12"/>
      <c r="Y11" s="12"/>
      <c r="Z11" s="12"/>
      <c r="AA11" s="12">
        <f>average(err_GDP_now!AA7:AA10)</f>
        <v>0.693787</v>
      </c>
      <c r="AB11" s="15" t="str">
        <f t="shared" si="1"/>
        <v>SVR-KNN</v>
      </c>
      <c r="AC11" s="13">
        <f t="shared" si="2"/>
        <v>0.5772622672</v>
      </c>
    </row>
    <row r="12">
      <c r="A12" s="11">
        <v>201809.0</v>
      </c>
      <c r="B12" s="10">
        <v>0.6</v>
      </c>
      <c r="C12" s="12" t="str">
        <f>if(rank('Ens_now작업'!C11,'Ens_now작업'!$C11:$Z11,1)&lt;=3,pred_GDP_now!C12,"")</f>
        <v/>
      </c>
      <c r="D12" s="12" t="str">
        <f>if(rank('Ens_now작업'!D11,'Ens_now작업'!$C11:$Z11,1)&lt;=3,pred_GDP_now!D12,"")</f>
        <v/>
      </c>
      <c r="E12" s="12" t="str">
        <f>if(rank('Ens_now작업'!E11,'Ens_now작업'!$C11:$Z11,1)&lt;=3,pred_GDP_now!E12,"")</f>
        <v/>
      </c>
      <c r="F12" s="12" t="str">
        <f>if(rank('Ens_now작업'!F11,'Ens_now작업'!$C11:$Z11,1)&lt;=3,pred_GDP_now!F12,"")</f>
        <v/>
      </c>
      <c r="G12" s="12"/>
      <c r="H12" s="12" t="str">
        <f>if(rank('Ens_now작업'!H11,'Ens_now작업'!$C11:$Z11,1)&lt;=3,pred_GDP_now!H12,"")</f>
        <v/>
      </c>
      <c r="I12" s="12" t="str">
        <f>if(rank('Ens_now작업'!I11,'Ens_now작업'!$C11:$Z11,1)&lt;=3,pred_GDP_now!I12,"")</f>
        <v/>
      </c>
      <c r="J12" s="12" t="str">
        <f>if(rank('Ens_now작업'!J11,'Ens_now작업'!$C11:$Z11,1)&lt;=3,pred_GDP_now!J12,"")</f>
        <v/>
      </c>
      <c r="K12" s="12">
        <f>if(rank('Ens_now작업'!K11,'Ens_now작업'!$C11:$Z11,1)&lt;=3,pred_GDP_now!K12,"")</f>
        <v>0.701816</v>
      </c>
      <c r="L12" s="12">
        <f>if(rank('Ens_now작업'!L11,'Ens_now작업'!$C11:$Z11,1)&lt;=3,pred_GDP_now!L12,"")</f>
        <v>0.604256361</v>
      </c>
      <c r="M12" s="12" t="str">
        <f>if(rank('Ens_now작업'!M11,'Ens_now작업'!$C11:$Z11,1)&lt;=3,pred_GDP_now!M12,"")</f>
        <v/>
      </c>
      <c r="N12" s="12"/>
      <c r="O12" s="12">
        <f>if(rank('Ens_now작업'!O11,'Ens_now작업'!$C11:$Z11,1)&lt;=3,pred_GDP_now!O12,"")</f>
        <v>0.5807562991</v>
      </c>
      <c r="P12" s="12" t="str">
        <f>if(rank('Ens_now작업'!P11,'Ens_now작업'!$C11:$Z11,1)&lt;=3,pred_GDP_now!P12,"")</f>
        <v/>
      </c>
      <c r="Q12" s="12" t="str">
        <f>if(rank('Ens_now작업'!Q11,'Ens_now작업'!$C11:$Z11,1)&lt;=3,pred_GDP_now!Q12,"")</f>
        <v/>
      </c>
      <c r="R12" s="12"/>
      <c r="S12" s="12"/>
      <c r="T12" s="12"/>
      <c r="U12" s="12"/>
      <c r="V12" s="12"/>
      <c r="W12" s="12"/>
      <c r="X12" s="12"/>
      <c r="Y12" s="12"/>
      <c r="Z12" s="12"/>
      <c r="AA12" s="12">
        <f>average(err_GDP_now!AA8:AA11)</f>
        <v>0.76204175</v>
      </c>
      <c r="AB12" s="15" t="str">
        <f t="shared" si="1"/>
        <v>RF-DVS</v>
      </c>
      <c r="AC12" s="13">
        <f t="shared" si="2"/>
        <v>0.5807562991</v>
      </c>
    </row>
    <row r="13">
      <c r="A13" s="11">
        <v>201812.0</v>
      </c>
      <c r="B13" s="10">
        <v>0.6</v>
      </c>
      <c r="C13" s="12" t="str">
        <f>if(rank('Ens_now작업'!C12,'Ens_now작업'!$C12:$Z12,1)&lt;=3,pred_GDP_now!C13,"")</f>
        <v/>
      </c>
      <c r="D13" s="12" t="str">
        <f>if(rank('Ens_now작업'!D12,'Ens_now작업'!$C12:$Z12,1)&lt;=3,pred_GDP_now!D13,"")</f>
        <v/>
      </c>
      <c r="E13" s="12" t="str">
        <f>if(rank('Ens_now작업'!E12,'Ens_now작업'!$C12:$Z12,1)&lt;=3,pred_GDP_now!E13,"")</f>
        <v/>
      </c>
      <c r="F13" s="12" t="str">
        <f>if(rank('Ens_now작업'!F12,'Ens_now작업'!$C12:$Z12,1)&lt;=3,pred_GDP_now!F13,"")</f>
        <v/>
      </c>
      <c r="G13" s="12"/>
      <c r="H13" s="12" t="str">
        <f>if(rank('Ens_now작업'!H12,'Ens_now작업'!$C12:$Z12,1)&lt;=3,pred_GDP_now!H13,"")</f>
        <v/>
      </c>
      <c r="I13" s="12" t="str">
        <f>if(rank('Ens_now작업'!I12,'Ens_now작업'!$C12:$Z12,1)&lt;=3,pred_GDP_now!I13,"")</f>
        <v/>
      </c>
      <c r="J13" s="12" t="str">
        <f>if(rank('Ens_now작업'!J12,'Ens_now작업'!$C12:$Z12,1)&lt;=3,pred_GDP_now!J13,"")</f>
        <v/>
      </c>
      <c r="K13" s="12">
        <f>if(rank('Ens_now작업'!K12,'Ens_now작업'!$C12:$Z12,1)&lt;=3,pred_GDP_now!K13,"")</f>
        <v>0.703083</v>
      </c>
      <c r="L13" s="12">
        <f>if(rank('Ens_now작업'!L12,'Ens_now작업'!$C12:$Z12,1)&lt;=3,pred_GDP_now!L13,"")</f>
        <v>0.4531182784</v>
      </c>
      <c r="M13" s="12" t="str">
        <f>if(rank('Ens_now작업'!M12,'Ens_now작업'!$C12:$Z12,1)&lt;=3,pred_GDP_now!M13,"")</f>
        <v/>
      </c>
      <c r="N13" s="12"/>
      <c r="O13" s="12" t="str">
        <f>if(rank('Ens_now작업'!O12,'Ens_now작업'!$C12:$Z12,1)&lt;=3,pred_GDP_now!O13,"")</f>
        <v/>
      </c>
      <c r="P13" s="12" t="str">
        <f>if(rank('Ens_now작업'!P12,'Ens_now작업'!$C12:$Z12,1)&lt;=3,pred_GDP_now!P13,"")</f>
        <v/>
      </c>
      <c r="Q13" s="12">
        <f>if(rank('Ens_now작업'!Q12,'Ens_now작업'!$C12:$Z12,1)&lt;=3,pred_GDP_now!Q13,"")</f>
        <v>0.117679</v>
      </c>
      <c r="R13" s="12"/>
      <c r="S13" s="12"/>
      <c r="T13" s="12"/>
      <c r="U13" s="12"/>
      <c r="V13" s="12"/>
      <c r="W13" s="12"/>
      <c r="X13" s="12"/>
      <c r="Y13" s="12"/>
      <c r="Z13" s="12"/>
      <c r="AA13" s="12">
        <f>average(err_GDP_now!AA9:AA12)</f>
        <v>0.7140075</v>
      </c>
      <c r="AB13" s="15" t="str">
        <f t="shared" si="1"/>
        <v>LQR</v>
      </c>
      <c r="AC13" s="13">
        <f t="shared" si="2"/>
        <v>0.117679</v>
      </c>
    </row>
    <row r="14">
      <c r="A14" s="11">
        <v>201903.0</v>
      </c>
      <c r="B14" s="10">
        <v>-0.1</v>
      </c>
      <c r="C14" s="12" t="str">
        <f>if(rank('Ens_now작업'!C13,'Ens_now작업'!$C13:$Z13,1)&lt;=3,pred_GDP_now!C14,"")</f>
        <v/>
      </c>
      <c r="D14" s="12" t="str">
        <f>if(rank('Ens_now작업'!D13,'Ens_now작업'!$C13:$Z13,1)&lt;=3,pred_GDP_now!D14,"")</f>
        <v/>
      </c>
      <c r="E14" s="12" t="str">
        <f>if(rank('Ens_now작업'!E13,'Ens_now작업'!$C13:$Z13,1)&lt;=3,pred_GDP_now!E14,"")</f>
        <v/>
      </c>
      <c r="F14" s="12" t="str">
        <f>if(rank('Ens_now작업'!F13,'Ens_now작업'!$C13:$Z13,1)&lt;=3,pred_GDP_now!F14,"")</f>
        <v/>
      </c>
      <c r="G14" s="12"/>
      <c r="H14" s="12" t="str">
        <f>if(rank('Ens_now작업'!H13,'Ens_now작업'!$C13:$Z13,1)&lt;=3,pred_GDP_now!H14,"")</f>
        <v/>
      </c>
      <c r="I14" s="12" t="str">
        <f>if(rank('Ens_now작업'!I13,'Ens_now작업'!$C13:$Z13,1)&lt;=3,pred_GDP_now!I14,"")</f>
        <v/>
      </c>
      <c r="J14" s="12" t="str">
        <f>if(rank('Ens_now작업'!J13,'Ens_now작업'!$C13:$Z13,1)&lt;=3,pred_GDP_now!J14,"")</f>
        <v/>
      </c>
      <c r="K14" s="12" t="str">
        <f>if(rank('Ens_now작업'!K13,'Ens_now작업'!$C13:$Z13,1)&lt;=3,pred_GDP_now!K14,"")</f>
        <v/>
      </c>
      <c r="L14" s="12">
        <f>if(rank('Ens_now작업'!L13,'Ens_now작업'!$C13:$Z13,1)&lt;=3,pred_GDP_now!L14,"")</f>
        <v>-0.08619005098</v>
      </c>
      <c r="M14" s="12" t="str">
        <f>if(rank('Ens_now작업'!M13,'Ens_now작업'!$C13:$Z13,1)&lt;=3,pred_GDP_now!M14,"")</f>
        <v/>
      </c>
      <c r="N14" s="12"/>
      <c r="O14" s="12">
        <f>if(rank('Ens_now작업'!O13,'Ens_now작업'!$C13:$Z13,1)&lt;=3,pred_GDP_now!O14,"")</f>
        <v>0.6133359215</v>
      </c>
      <c r="P14" s="12" t="str">
        <f>if(rank('Ens_now작업'!P13,'Ens_now작업'!$C13:$Z13,1)&lt;=3,pred_GDP_now!P14,"")</f>
        <v/>
      </c>
      <c r="Q14" s="12">
        <f>if(rank('Ens_now작업'!Q13,'Ens_now작업'!$C13:$Z13,1)&lt;=3,pred_GDP_now!Q14,"")</f>
        <v>-0.567977</v>
      </c>
      <c r="R14" s="12"/>
      <c r="S14" s="12"/>
      <c r="T14" s="12"/>
      <c r="U14" s="12"/>
      <c r="V14" s="12"/>
      <c r="W14" s="12"/>
      <c r="X14" s="12"/>
      <c r="Y14" s="12"/>
      <c r="Z14" s="12"/>
      <c r="AA14" s="12">
        <f>average(err_GDP_now!AA10:AA13)</f>
        <v>0.32951275</v>
      </c>
      <c r="AB14" s="15" t="str">
        <f t="shared" si="1"/>
        <v>LQR</v>
      </c>
      <c r="AC14" s="13">
        <f t="shared" si="2"/>
        <v>-0.567977</v>
      </c>
    </row>
    <row r="15">
      <c r="A15" s="11">
        <v>201906.0</v>
      </c>
      <c r="B15" s="10">
        <v>1.1</v>
      </c>
      <c r="C15" s="12" t="str">
        <f>if(rank('Ens_now작업'!C14,'Ens_now작업'!$C14:$Z14,1)&lt;=3,pred_GDP_now!C15,"")</f>
        <v/>
      </c>
      <c r="D15" s="12" t="str">
        <f>if(rank('Ens_now작업'!D14,'Ens_now작업'!$C14:$Z14,1)&lt;=3,pred_GDP_now!D15,"")</f>
        <v/>
      </c>
      <c r="E15" s="12" t="str">
        <f>if(rank('Ens_now작업'!E14,'Ens_now작업'!$C14:$Z14,1)&lt;=3,pred_GDP_now!E15,"")</f>
        <v/>
      </c>
      <c r="F15" s="12" t="str">
        <f>if(rank('Ens_now작업'!F14,'Ens_now작업'!$C14:$Z14,1)&lt;=3,pred_GDP_now!F15,"")</f>
        <v/>
      </c>
      <c r="G15" s="12"/>
      <c r="H15" s="12" t="str">
        <f>if(rank('Ens_now작업'!H14,'Ens_now작업'!$C14:$Z14,1)&lt;=3,pred_GDP_now!H15,"")</f>
        <v/>
      </c>
      <c r="I15" s="12" t="str">
        <f>if(rank('Ens_now작업'!I14,'Ens_now작업'!$C14:$Z14,1)&lt;=3,pred_GDP_now!I15,"")</f>
        <v/>
      </c>
      <c r="J15" s="12" t="str">
        <f>if(rank('Ens_now작업'!J14,'Ens_now작업'!$C14:$Z14,1)&lt;=3,pred_GDP_now!J15,"")</f>
        <v/>
      </c>
      <c r="K15" s="12">
        <f>if(rank('Ens_now작업'!K14,'Ens_now작업'!$C14:$Z14,1)&lt;=3,pred_GDP_now!K15,"")</f>
        <v>0.880991</v>
      </c>
      <c r="L15" s="12">
        <f>if(rank('Ens_now작업'!L14,'Ens_now작업'!$C14:$Z14,1)&lt;=3,pred_GDP_now!L15,"")</f>
        <v>0.8729794574</v>
      </c>
      <c r="M15" s="12" t="str">
        <f>if(rank('Ens_now작업'!M14,'Ens_now작업'!$C14:$Z14,1)&lt;=3,pred_GDP_now!M15,"")</f>
        <v/>
      </c>
      <c r="N15" s="12"/>
      <c r="O15" s="12">
        <f>if(rank('Ens_now작업'!O14,'Ens_now작업'!$C14:$Z14,1)&lt;=3,pred_GDP_now!O15,"")</f>
        <v>0.8647839085</v>
      </c>
      <c r="P15" s="12" t="str">
        <f>if(rank('Ens_now작업'!P14,'Ens_now작업'!$C14:$Z14,1)&lt;=3,pred_GDP_now!P15,"")</f>
        <v/>
      </c>
      <c r="Q15" s="12" t="str">
        <f>if(rank('Ens_now작업'!Q14,'Ens_now작업'!$C14:$Z14,1)&lt;=3,pred_GDP_now!Q15,"")</f>
        <v/>
      </c>
      <c r="R15" s="12"/>
      <c r="S15" s="12"/>
      <c r="T15" s="12"/>
      <c r="U15" s="12"/>
      <c r="V15" s="12"/>
      <c r="W15" s="12"/>
      <c r="X15" s="12"/>
      <c r="Y15" s="12"/>
      <c r="Z15" s="12"/>
      <c r="AA15" s="12">
        <f>average(err_GDP_now!AA11:AA14)</f>
        <v>0.406979</v>
      </c>
      <c r="AB15" s="15" t="str">
        <f t="shared" si="1"/>
        <v>TEXT</v>
      </c>
      <c r="AC15" s="13">
        <f t="shared" si="2"/>
        <v>0.406979</v>
      </c>
    </row>
    <row r="16">
      <c r="A16" s="11">
        <v>201909.0</v>
      </c>
      <c r="B16" s="10">
        <v>0.4</v>
      </c>
      <c r="C16" s="12" t="str">
        <f>if(rank('Ens_now작업'!C15,'Ens_now작업'!$C15:$Z15,1)&lt;=3,pred_GDP_now!C16,"")</f>
        <v/>
      </c>
      <c r="D16" s="12">
        <f>if(rank('Ens_now작업'!D15,'Ens_now작업'!$C15:$Z15,1)&lt;=3,pred_GDP_now!D16,"")</f>
        <v>0.44981</v>
      </c>
      <c r="E16" s="12" t="str">
        <f>if(rank('Ens_now작업'!E15,'Ens_now작업'!$C15:$Z15,1)&lt;=3,pred_GDP_now!E16,"")</f>
        <v/>
      </c>
      <c r="F16" s="12">
        <f>if(rank('Ens_now작업'!F15,'Ens_now작업'!$C15:$Z15,1)&lt;=3,pred_GDP_now!F16,"")</f>
        <v>0.511463</v>
      </c>
      <c r="G16" s="12"/>
      <c r="H16" s="12" t="str">
        <f>if(rank('Ens_now작업'!H15,'Ens_now작업'!$C15:$Z15,1)&lt;=3,pred_GDP_now!H16,"")</f>
        <v/>
      </c>
      <c r="I16" s="12" t="str">
        <f>if(rank('Ens_now작업'!I15,'Ens_now작업'!$C15:$Z15,1)&lt;=3,pred_GDP_now!I16,"")</f>
        <v/>
      </c>
      <c r="J16" s="12" t="str">
        <f>if(rank('Ens_now작업'!J15,'Ens_now작업'!$C15:$Z15,1)&lt;=3,pred_GDP_now!J16,"")</f>
        <v/>
      </c>
      <c r="K16" s="12" t="str">
        <f>if(rank('Ens_now작업'!K15,'Ens_now작업'!$C15:$Z15,1)&lt;=3,pred_GDP_now!K16,"")</f>
        <v/>
      </c>
      <c r="L16" s="12">
        <f>if(rank('Ens_now작업'!L15,'Ens_now작업'!$C15:$Z15,1)&lt;=3,pred_GDP_now!L16,"")</f>
        <v>0.4701582579</v>
      </c>
      <c r="M16" s="12" t="str">
        <f>if(rank('Ens_now작업'!M15,'Ens_now작업'!$C15:$Z15,1)&lt;=3,pred_GDP_now!M16,"")</f>
        <v/>
      </c>
      <c r="N16" s="12"/>
      <c r="O16" s="12" t="str">
        <f>if(rank('Ens_now작업'!O15,'Ens_now작업'!$C15:$Z15,1)&lt;=3,pred_GDP_now!O16,"")</f>
        <v/>
      </c>
      <c r="P16" s="12" t="str">
        <f>if(rank('Ens_now작업'!P15,'Ens_now작업'!$C15:$Z15,1)&lt;=3,pred_GDP_now!P16,"")</f>
        <v/>
      </c>
      <c r="Q16" s="12" t="str">
        <f>if(rank('Ens_now작업'!Q15,'Ens_now작업'!$C15:$Z15,1)&lt;=3,pred_GDP_now!Q16,"")</f>
        <v/>
      </c>
      <c r="R16" s="12"/>
      <c r="S16" s="12"/>
      <c r="T16" s="12"/>
      <c r="U16" s="12"/>
      <c r="V16" s="12"/>
      <c r="W16" s="12"/>
      <c r="X16" s="12"/>
      <c r="Y16" s="12"/>
      <c r="Z16" s="12"/>
      <c r="AA16" s="12">
        <f>average(err_GDP_now!AA12:AA15)</f>
        <v>0.349763</v>
      </c>
      <c r="AB16" s="15" t="str">
        <f t="shared" si="1"/>
        <v>TEXT</v>
      </c>
      <c r="AC16" s="13">
        <f t="shared" si="2"/>
        <v>0.349763</v>
      </c>
    </row>
    <row r="17">
      <c r="A17" s="11">
        <v>201912.0</v>
      </c>
      <c r="B17" s="10">
        <v>1.2</v>
      </c>
      <c r="C17" s="12" t="str">
        <f>if(rank('Ens_now작업'!C16,'Ens_now작업'!$C16:$Z16,1)&lt;=3,pred_GDP_now!C17,"")</f>
        <v/>
      </c>
      <c r="D17" s="12">
        <f>if(rank('Ens_now작업'!D16,'Ens_now작업'!$C16:$Z16,1)&lt;=3,pred_GDP_now!D17,"")</f>
        <v>0.620985</v>
      </c>
      <c r="E17" s="12" t="str">
        <f>if(rank('Ens_now작업'!E16,'Ens_now작업'!$C16:$Z16,1)&lt;=3,pred_GDP_now!E17,"")</f>
        <v/>
      </c>
      <c r="F17" s="12" t="str">
        <f>if(rank('Ens_now작업'!F16,'Ens_now작업'!$C16:$Z16,1)&lt;=3,pred_GDP_now!F17,"")</f>
        <v/>
      </c>
      <c r="G17" s="12"/>
      <c r="H17" s="12" t="str">
        <f>if(rank('Ens_now작업'!H16,'Ens_now작업'!$C16:$Z16,1)&lt;=3,pred_GDP_now!H17,"")</f>
        <v/>
      </c>
      <c r="I17" s="12" t="str">
        <f>if(rank('Ens_now작업'!I16,'Ens_now작업'!$C16:$Z16,1)&lt;=3,pred_GDP_now!I17,"")</f>
        <v/>
      </c>
      <c r="J17" s="12" t="str">
        <f>if(rank('Ens_now작업'!J16,'Ens_now작업'!$C16:$Z16,1)&lt;=3,pred_GDP_now!J17,"")</f>
        <v/>
      </c>
      <c r="K17" s="12">
        <f>if(rank('Ens_now작업'!K16,'Ens_now작업'!$C16:$Z16,1)&lt;=3,pred_GDP_now!K17,"")</f>
        <v>0.852092</v>
      </c>
      <c r="L17" s="12">
        <f>if(rank('Ens_now작업'!L16,'Ens_now작업'!$C16:$Z16,1)&lt;=3,pred_GDP_now!L17,"")</f>
        <v>0.8978015955</v>
      </c>
      <c r="M17" s="12" t="str">
        <f>if(rank('Ens_now작업'!M16,'Ens_now작업'!$C16:$Z16,1)&lt;=3,pred_GDP_now!M17,"")</f>
        <v/>
      </c>
      <c r="N17" s="12"/>
      <c r="O17" s="12" t="str">
        <f>if(rank('Ens_now작업'!O16,'Ens_now작업'!$C16:$Z16,1)&lt;=3,pred_GDP_now!O17,"")</f>
        <v/>
      </c>
      <c r="P17" s="12" t="str">
        <f>if(rank('Ens_now작업'!P16,'Ens_now작업'!$C16:$Z16,1)&lt;=3,pred_GDP_now!P17,"")</f>
        <v/>
      </c>
      <c r="Q17" s="12" t="str">
        <f>if(rank('Ens_now작업'!Q16,'Ens_now작업'!$C16:$Z16,1)&lt;=3,pred_GDP_now!Q17,"")</f>
        <v/>
      </c>
      <c r="R17" s="12"/>
      <c r="S17" s="12"/>
      <c r="T17" s="12"/>
      <c r="U17" s="12"/>
      <c r="V17" s="12"/>
      <c r="W17" s="12"/>
      <c r="X17" s="12"/>
      <c r="Y17" s="12"/>
      <c r="Z17" s="12"/>
      <c r="AA17" s="12">
        <f>average(err_GDP_now!AA13:AA16)</f>
        <v>0.4402365</v>
      </c>
      <c r="AB17" s="15" t="str">
        <f t="shared" si="1"/>
        <v>TEXT</v>
      </c>
      <c r="AC17" s="13">
        <f t="shared" si="2"/>
        <v>0.4402365</v>
      </c>
    </row>
    <row r="18">
      <c r="A18" s="11">
        <v>202003.0</v>
      </c>
      <c r="B18" s="10">
        <v>-1.3</v>
      </c>
      <c r="C18" s="12">
        <f>if(rank('Ens_now작업'!C17,'Ens_now작업'!$C17:$Z17,1)&lt;=3,pred_GDP_now!C18,"")</f>
        <v>-0.03938874808</v>
      </c>
      <c r="D18" s="12">
        <f>if(rank('Ens_now작업'!D17,'Ens_now작업'!$C17:$Z17,1)&lt;=3,pred_GDP_now!D18,"")</f>
        <v>-0.00475</v>
      </c>
      <c r="E18" s="12" t="str">
        <f>if(rank('Ens_now작업'!E17,'Ens_now작업'!$C17:$Z17,1)&lt;=3,pred_GDP_now!E18,"")</f>
        <v/>
      </c>
      <c r="F18" s="12" t="str">
        <f>if(rank('Ens_now작업'!F17,'Ens_now작업'!$C17:$Z17,1)&lt;=3,pred_GDP_now!F18,"")</f>
        <v/>
      </c>
      <c r="G18" s="12"/>
      <c r="H18" s="12" t="str">
        <f>if(rank('Ens_now작업'!H17,'Ens_now작업'!$C17:$Z17,1)&lt;=3,pred_GDP_now!H18,"")</f>
        <v/>
      </c>
      <c r="I18" s="12" t="str">
        <f>if(rank('Ens_now작업'!I17,'Ens_now작업'!$C17:$Z17,1)&lt;=3,pred_GDP_now!I18,"")</f>
        <v/>
      </c>
      <c r="J18" s="12" t="str">
        <f>if(rank('Ens_now작업'!J17,'Ens_now작업'!$C17:$Z17,1)&lt;=3,pred_GDP_now!J18,"")</f>
        <v/>
      </c>
      <c r="K18" s="12" t="str">
        <f>if(rank('Ens_now작업'!K17,'Ens_now작업'!$C17:$Z17,1)&lt;=3,pred_GDP_now!K18,"")</f>
        <v/>
      </c>
      <c r="L18" s="12">
        <f>if(rank('Ens_now작업'!L17,'Ens_now작업'!$C17:$Z17,1)&lt;=3,pred_GDP_now!L18,"")</f>
        <v>0.231873809</v>
      </c>
      <c r="M18" s="12" t="str">
        <f>if(rank('Ens_now작업'!M17,'Ens_now작업'!$C17:$Z17,1)&lt;=3,pred_GDP_now!M18,"")</f>
        <v/>
      </c>
      <c r="N18" s="12"/>
      <c r="O18" s="12" t="str">
        <f>if(rank('Ens_now작업'!O17,'Ens_now작업'!$C17:$Z17,1)&lt;=3,pred_GDP_now!O18,"")</f>
        <v/>
      </c>
      <c r="P18" s="12" t="str">
        <f>if(rank('Ens_now작업'!P17,'Ens_now작업'!$C17:$Z17,1)&lt;=3,pred_GDP_now!P18,"")</f>
        <v/>
      </c>
      <c r="Q18" s="12" t="str">
        <f>if(rank('Ens_now작업'!Q17,'Ens_now작업'!$C17:$Z17,1)&lt;=3,pred_GDP_now!Q18,"")</f>
        <v/>
      </c>
      <c r="R18" s="12"/>
      <c r="S18" s="12"/>
      <c r="T18" s="12"/>
      <c r="U18" s="12"/>
      <c r="V18" s="12"/>
      <c r="W18" s="12"/>
      <c r="X18" s="12"/>
      <c r="Y18" s="12"/>
      <c r="Z18" s="12"/>
      <c r="AA18" s="12">
        <f>average(err_GDP_now!AA14:AA17)</f>
        <v>0.63064575</v>
      </c>
      <c r="AB18" s="15" t="str">
        <f t="shared" si="1"/>
        <v>DFM</v>
      </c>
      <c r="AC18" s="13">
        <f t="shared" si="2"/>
        <v>-0.03938874808</v>
      </c>
    </row>
    <row r="19">
      <c r="A19" s="11">
        <v>202006.0</v>
      </c>
      <c r="B19" s="10">
        <v>-3.0</v>
      </c>
      <c r="C19" s="12" t="str">
        <f>if(rank('Ens_now작업'!C18,'Ens_now작업'!$C18:$Z18,1)&lt;=3,pred_GDP_now!C19,"")</f>
        <v/>
      </c>
      <c r="D19" s="12">
        <f>if(rank('Ens_now작업'!D18,'Ens_now작업'!$C18:$Z18,1)&lt;=3,pred_GDP_now!D19,"")</f>
        <v>-1.25403</v>
      </c>
      <c r="E19" s="12" t="str">
        <f>if(rank('Ens_now작업'!E18,'Ens_now작업'!$C18:$Z18,1)&lt;=3,pred_GDP_now!E19,"")</f>
        <v/>
      </c>
      <c r="F19" s="12" t="str">
        <f>if(rank('Ens_now작업'!F18,'Ens_now작업'!$C18:$Z18,1)&lt;=3,pred_GDP_now!F19,"")</f>
        <v/>
      </c>
      <c r="G19" s="12"/>
      <c r="H19" s="12" t="str">
        <f>if(rank('Ens_now작업'!H18,'Ens_now작업'!$C18:$Z18,1)&lt;=3,pred_GDP_now!H19,"")</f>
        <v/>
      </c>
      <c r="I19" s="12">
        <f>if(rank('Ens_now작업'!I18,'Ens_now작업'!$C18:$Z18,1)&lt;=3,pred_GDP_now!I19,"")</f>
        <v>-0.8808484391</v>
      </c>
      <c r="J19" s="12" t="str">
        <f>if(rank('Ens_now작업'!J18,'Ens_now작업'!$C18:$Z18,1)&lt;=3,pred_GDP_now!J19,"")</f>
        <v/>
      </c>
      <c r="K19" s="12" t="str">
        <f>if(rank('Ens_now작업'!K18,'Ens_now작업'!$C18:$Z18,1)&lt;=3,pred_GDP_now!K19,"")</f>
        <v/>
      </c>
      <c r="L19" s="12">
        <f>if(rank('Ens_now작업'!L18,'Ens_now작업'!$C18:$Z18,1)&lt;=3,pred_GDP_now!L19,"")</f>
        <v>-0.7169095865</v>
      </c>
      <c r="M19" s="12" t="str">
        <f>if(rank('Ens_now작업'!M18,'Ens_now작업'!$C18:$Z18,1)&lt;=3,pred_GDP_now!M19,"")</f>
        <v/>
      </c>
      <c r="N19" s="12"/>
      <c r="O19" s="12" t="str">
        <f>if(rank('Ens_now작업'!O18,'Ens_now작업'!$C18:$Z18,1)&lt;=3,pred_GDP_now!O19,"")</f>
        <v/>
      </c>
      <c r="P19" s="12" t="str">
        <f>if(rank('Ens_now작업'!P18,'Ens_now작업'!$C18:$Z18,1)&lt;=3,pred_GDP_now!P19,"")</f>
        <v/>
      </c>
      <c r="Q19" s="12" t="str">
        <f>if(rank('Ens_now작업'!Q18,'Ens_now작업'!$C18:$Z18,1)&lt;=3,pred_GDP_now!Q19,"")</f>
        <v/>
      </c>
      <c r="R19" s="12"/>
      <c r="S19" s="12"/>
      <c r="T19" s="12"/>
      <c r="U19" s="12"/>
      <c r="V19" s="12"/>
      <c r="W19" s="12"/>
      <c r="X19" s="12"/>
      <c r="Y19" s="12"/>
      <c r="Z19" s="12"/>
      <c r="AA19" s="12">
        <f>average(err_GDP_now!AA15:AA18)</f>
        <v>0.8113925</v>
      </c>
      <c r="AB19" s="15" t="str">
        <f t="shared" si="1"/>
        <v>BEM1</v>
      </c>
      <c r="AC19" s="13">
        <f t="shared" si="2"/>
        <v>-1.25403</v>
      </c>
    </row>
    <row r="20">
      <c r="A20" s="11">
        <v>202009.0</v>
      </c>
      <c r="B20" s="10">
        <v>2.3</v>
      </c>
      <c r="C20" s="12" t="str">
        <f>if(rank('Ens_now작업'!C19,'Ens_now작업'!$C19:$Z19,1)&lt;=3,pred_GDP_now!C20,"")</f>
        <v/>
      </c>
      <c r="D20" s="12" t="str">
        <f>if(rank('Ens_now작업'!D19,'Ens_now작업'!$C19:$Z19,1)&lt;=3,pred_GDP_now!D20,"")</f>
        <v/>
      </c>
      <c r="E20" s="12">
        <f>if(rank('Ens_now작업'!E19,'Ens_now작업'!$C19:$Z19,1)&lt;=3,pred_GDP_now!E20,"")</f>
        <v>2.347293</v>
      </c>
      <c r="F20" s="12" t="str">
        <f>if(rank('Ens_now작업'!F19,'Ens_now작업'!$C19:$Z19,1)&lt;=3,pred_GDP_now!F20,"")</f>
        <v/>
      </c>
      <c r="G20" s="12"/>
      <c r="H20" s="12" t="str">
        <f>if(rank('Ens_now작업'!H19,'Ens_now작업'!$C19:$Z19,1)&lt;=3,pred_GDP_now!H20,"")</f>
        <v/>
      </c>
      <c r="I20" s="12">
        <f>if(rank('Ens_now작업'!I19,'Ens_now작업'!$C19:$Z19,1)&lt;=3,pred_GDP_now!I20,"")</f>
        <v>2.4220965</v>
      </c>
      <c r="J20" s="12" t="str">
        <f>if(rank('Ens_now작업'!J19,'Ens_now작업'!$C19:$Z19,1)&lt;=3,pred_GDP_now!J20,"")</f>
        <v/>
      </c>
      <c r="K20" s="12" t="str">
        <f>if(rank('Ens_now작업'!K19,'Ens_now작업'!$C19:$Z19,1)&lt;=3,pred_GDP_now!K20,"")</f>
        <v/>
      </c>
      <c r="L20" s="12">
        <f>if(rank('Ens_now작업'!L19,'Ens_now작업'!$C19:$Z19,1)&lt;=3,pred_GDP_now!L20,"")</f>
        <v>2.223326237</v>
      </c>
      <c r="M20" s="12" t="str">
        <f>if(rank('Ens_now작업'!M19,'Ens_now작업'!$C19:$Z19,1)&lt;=3,pred_GDP_now!M20,"")</f>
        <v/>
      </c>
      <c r="N20" s="12"/>
      <c r="O20" s="12" t="str">
        <f>if(rank('Ens_now작업'!O19,'Ens_now작업'!$C19:$Z19,1)&lt;=3,pred_GDP_now!O20,"")</f>
        <v/>
      </c>
      <c r="P20" s="12" t="str">
        <f>if(rank('Ens_now작업'!P19,'Ens_now작업'!$C19:$Z19,1)&lt;=3,pred_GDP_now!P20,"")</f>
        <v/>
      </c>
      <c r="Q20" s="12" t="str">
        <f>if(rank('Ens_now작업'!Q19,'Ens_now작업'!$C19:$Z19,1)&lt;=3,pred_GDP_now!Q20,"")</f>
        <v/>
      </c>
      <c r="R20" s="12"/>
      <c r="S20" s="12"/>
      <c r="T20" s="12"/>
      <c r="U20" s="12"/>
      <c r="V20" s="12"/>
      <c r="W20" s="12"/>
      <c r="X20" s="12"/>
      <c r="Y20" s="12"/>
      <c r="Z20" s="12"/>
      <c r="AA20" s="12">
        <f>average(err_GDP_now!AA16:AA19)</f>
        <v>1.978706</v>
      </c>
      <c r="AB20" s="15" t="str">
        <f t="shared" si="1"/>
        <v>TEXT</v>
      </c>
      <c r="AC20" s="13">
        <f t="shared" si="2"/>
        <v>1.978706</v>
      </c>
    </row>
    <row r="21">
      <c r="A21" s="11">
        <v>202012.0</v>
      </c>
      <c r="B21" s="10">
        <v>1.3</v>
      </c>
      <c r="C21" s="12" t="str">
        <f>if(rank('Ens_now작업'!C20,'Ens_now작업'!$C20:$Z20,1)&lt;=3,pred_GDP_now!C21,"")</f>
        <v/>
      </c>
      <c r="D21" s="12">
        <f>if(rank('Ens_now작업'!D20,'Ens_now작업'!$C20:$Z20,1)&lt;=3,pred_GDP_now!D21,"")</f>
        <v>1.517258</v>
      </c>
      <c r="E21" s="12" t="str">
        <f>if(rank('Ens_now작업'!E20,'Ens_now작업'!$C20:$Z20,1)&lt;=3,pred_GDP_now!E21,"")</f>
        <v/>
      </c>
      <c r="F21" s="12" t="str">
        <f>if(rank('Ens_now작업'!F20,'Ens_now작업'!$C20:$Z20,1)&lt;=3,pred_GDP_now!F21,"")</f>
        <v/>
      </c>
      <c r="G21" s="12"/>
      <c r="H21" s="12" t="str">
        <f>if(rank('Ens_now작업'!H20,'Ens_now작업'!$C20:$Z20,1)&lt;=3,pred_GDP_now!H21,"")</f>
        <v/>
      </c>
      <c r="I21" s="12" t="str">
        <f>if(rank('Ens_now작업'!I20,'Ens_now작업'!$C20:$Z20,1)&lt;=3,pred_GDP_now!I21,"")</f>
        <v/>
      </c>
      <c r="J21" s="12" t="str">
        <f>if(rank('Ens_now작업'!J20,'Ens_now작업'!$C20:$Z20,1)&lt;=3,pred_GDP_now!J21,"")</f>
        <v/>
      </c>
      <c r="K21" s="12" t="str">
        <f>if(rank('Ens_now작업'!K20,'Ens_now작업'!$C20:$Z20,1)&lt;=3,pred_GDP_now!K21,"")</f>
        <v/>
      </c>
      <c r="L21" s="12" t="str">
        <f>if(rank('Ens_now작업'!L20,'Ens_now작업'!$C20:$Z20,1)&lt;=3,pred_GDP_now!L21,"")</f>
        <v/>
      </c>
      <c r="M21" s="12" t="str">
        <f>if(rank('Ens_now작업'!M20,'Ens_now작업'!$C20:$Z20,1)&lt;=3,pred_GDP_now!M21,"")</f>
        <v/>
      </c>
      <c r="N21" s="12"/>
      <c r="O21" s="12" t="str">
        <f>if(rank('Ens_now작업'!O20,'Ens_now작업'!$C20:$Z20,1)&lt;=3,pred_GDP_now!O21,"")</f>
        <v/>
      </c>
      <c r="P21" s="12">
        <f>if(rank('Ens_now작업'!P20,'Ens_now작업'!$C20:$Z20,1)&lt;=3,pred_GDP_now!P21,"")</f>
        <v>1.255289674</v>
      </c>
      <c r="Q21" s="12">
        <f>if(rank('Ens_now작업'!Q20,'Ens_now작업'!$C20:$Z20,1)&lt;=3,pred_GDP_now!Q21,"")</f>
        <v>1.946373</v>
      </c>
      <c r="R21" s="12"/>
      <c r="S21" s="12"/>
      <c r="T21" s="12"/>
      <c r="U21" s="12"/>
      <c r="V21" s="12"/>
      <c r="W21" s="12"/>
      <c r="X21" s="12"/>
      <c r="Y21" s="12"/>
      <c r="Z21" s="12"/>
      <c r="AA21" s="12">
        <f>average(err_GDP_now!AA17:AA20)</f>
        <v>2.34030475</v>
      </c>
      <c r="AB21" s="15" t="str">
        <f t="shared" si="1"/>
        <v>S-XGB</v>
      </c>
      <c r="AC21" s="13">
        <f t="shared" si="2"/>
        <v>1.255289674</v>
      </c>
    </row>
    <row r="22">
      <c r="A22" s="11">
        <v>202103.0</v>
      </c>
      <c r="B22" s="10">
        <v>1.8</v>
      </c>
      <c r="C22" s="12" t="str">
        <f>if(rank('Ens_now작업'!C21,'Ens_now작업'!$C21:$Z21,1)&lt;=3,pred_GDP_now!C22,"")</f>
        <v/>
      </c>
      <c r="D22" s="12" t="str">
        <f>if(rank('Ens_now작업'!D21,'Ens_now작업'!$C21:$Z21,1)&lt;=3,pred_GDP_now!D22,"")</f>
        <v/>
      </c>
      <c r="E22" s="12">
        <f>if(rank('Ens_now작업'!E21,'Ens_now작업'!$C21:$Z21,1)&lt;=3,pred_GDP_now!E22,"")</f>
        <v>1.12586</v>
      </c>
      <c r="F22" s="12" t="str">
        <f>if(rank('Ens_now작업'!F21,'Ens_now작업'!$C21:$Z21,1)&lt;=3,pred_GDP_now!F22,"")</f>
        <v/>
      </c>
      <c r="G22" s="12"/>
      <c r="H22" s="12" t="str">
        <f>if(rank('Ens_now작업'!H21,'Ens_now작업'!$C21:$Z21,1)&lt;=3,pred_GDP_now!H22,"")</f>
        <v/>
      </c>
      <c r="I22" s="12">
        <f>if(rank('Ens_now작업'!I21,'Ens_now작업'!$C21:$Z21,1)&lt;=3,pred_GDP_now!I22,"")</f>
        <v>1.70436537</v>
      </c>
      <c r="J22" s="12" t="str">
        <f>if(rank('Ens_now작업'!J21,'Ens_now작업'!$C21:$Z21,1)&lt;=3,pred_GDP_now!J22,"")</f>
        <v/>
      </c>
      <c r="K22" s="12" t="str">
        <f>if(rank('Ens_now작업'!K21,'Ens_now작업'!$C21:$Z21,1)&lt;=3,pred_GDP_now!K22,"")</f>
        <v/>
      </c>
      <c r="L22" s="12" t="str">
        <f>if(rank('Ens_now작업'!L21,'Ens_now작업'!$C21:$Z21,1)&lt;=3,pred_GDP_now!L22,"")</f>
        <v/>
      </c>
      <c r="M22" s="12" t="str">
        <f>if(rank('Ens_now작업'!M21,'Ens_now작업'!$C21:$Z21,1)&lt;=3,pred_GDP_now!M22,"")</f>
        <v/>
      </c>
      <c r="N22" s="12"/>
      <c r="O22" s="12" t="str">
        <f>if(rank('Ens_now작업'!O21,'Ens_now작업'!$C21:$Z21,1)&lt;=3,pred_GDP_now!O22,"")</f>
        <v/>
      </c>
      <c r="P22" s="12">
        <f>if(rank('Ens_now작업'!P21,'Ens_now작업'!$C21:$Z21,1)&lt;=3,pred_GDP_now!P22,"")</f>
        <v>1.410161138</v>
      </c>
      <c r="Q22" s="12" t="str">
        <f>if(rank('Ens_now작업'!Q21,'Ens_now작업'!$C21:$Z21,1)&lt;=3,pred_GDP_now!Q22,"")</f>
        <v/>
      </c>
      <c r="R22" s="12"/>
      <c r="S22" s="12"/>
      <c r="T22" s="12"/>
      <c r="U22" s="12"/>
      <c r="V22" s="12"/>
      <c r="W22" s="12"/>
      <c r="X22" s="12"/>
      <c r="Y22" s="12"/>
      <c r="Z22" s="12"/>
      <c r="AA22" s="12">
        <f>average(err_GDP_now!AA18:AA21)</f>
        <v>2.63637475</v>
      </c>
      <c r="AB22" s="15" t="str">
        <f t="shared" si="1"/>
        <v>BEM2</v>
      </c>
      <c r="AC22" s="13">
        <f t="shared" si="2"/>
        <v>1.12586</v>
      </c>
    </row>
    <row r="23">
      <c r="A23" s="11">
        <v>202106.0</v>
      </c>
      <c r="B23" s="10">
        <v>0.9</v>
      </c>
      <c r="C23" s="12" t="str">
        <f>if(rank('Ens_now작업'!C22,'Ens_now작업'!$C22:$Z22,1)&lt;=3,pred_GDP_now!C23,"")</f>
        <v/>
      </c>
      <c r="D23" s="12">
        <f>if(rank('Ens_now작업'!D22,'Ens_now작업'!$C22:$Z22,1)&lt;=3,pred_GDP_now!D23,"")</f>
        <v>1.053214</v>
      </c>
      <c r="E23" s="12">
        <f>if(rank('Ens_now작업'!E22,'Ens_now작업'!$C22:$Z22,1)&lt;=3,pred_GDP_now!E23,"")</f>
        <v>0.916154</v>
      </c>
      <c r="F23" s="12" t="str">
        <f>if(rank('Ens_now작업'!F22,'Ens_now작업'!$C22:$Z22,1)&lt;=3,pred_GDP_now!F23,"")</f>
        <v/>
      </c>
      <c r="G23" s="12"/>
      <c r="H23" s="12" t="str">
        <f>if(rank('Ens_now작업'!H22,'Ens_now작업'!$C22:$Z22,1)&lt;=3,pred_GDP_now!H23,"")</f>
        <v/>
      </c>
      <c r="I23" s="12" t="str">
        <f>if(rank('Ens_now작업'!I22,'Ens_now작업'!$C22:$Z22,1)&lt;=3,pred_GDP_now!I23,"")</f>
        <v/>
      </c>
      <c r="J23" s="12" t="str">
        <f>if(rank('Ens_now작업'!J22,'Ens_now작업'!$C22:$Z22,1)&lt;=3,pred_GDP_now!J23,"")</f>
        <v/>
      </c>
      <c r="K23" s="12" t="str">
        <f>if(rank('Ens_now작업'!K22,'Ens_now작업'!$C22:$Z22,1)&lt;=3,pred_GDP_now!K23,"")</f>
        <v/>
      </c>
      <c r="L23" s="12" t="str">
        <f>if(rank('Ens_now작업'!L22,'Ens_now작업'!$C22:$Z22,1)&lt;=3,pred_GDP_now!L23,"")</f>
        <v/>
      </c>
      <c r="M23" s="12" t="str">
        <f>if(rank('Ens_now작업'!M22,'Ens_now작업'!$C22:$Z22,1)&lt;=3,pred_GDP_now!M23,"")</f>
        <v/>
      </c>
      <c r="N23" s="12"/>
      <c r="O23" s="12" t="str">
        <f>if(rank('Ens_now작업'!O22,'Ens_now작업'!$C22:$Z22,1)&lt;=3,pred_GDP_now!O23,"")</f>
        <v/>
      </c>
      <c r="P23" s="12">
        <f>if(rank('Ens_now작업'!P22,'Ens_now작업'!$C22:$Z22,1)&lt;=3,pred_GDP_now!P23,"")</f>
        <v>1.310709</v>
      </c>
      <c r="Q23" s="12" t="str">
        <f>if(rank('Ens_now작업'!Q22,'Ens_now작업'!$C22:$Z22,1)&lt;=3,pred_GDP_now!Q23,"")</f>
        <v/>
      </c>
      <c r="R23" s="12"/>
      <c r="S23" s="12"/>
      <c r="T23" s="12"/>
      <c r="U23" s="12"/>
      <c r="V23" s="12"/>
      <c r="W23" s="12"/>
      <c r="X23" s="12"/>
      <c r="Y23" s="12"/>
      <c r="Z23" s="12"/>
      <c r="AA23" s="12">
        <f>average(err_GDP_now!AA19:AA22)</f>
        <v>2.63005225</v>
      </c>
      <c r="AB23" s="15" t="str">
        <f t="shared" si="1"/>
        <v>BEM2</v>
      </c>
      <c r="AC23" s="13">
        <f t="shared" si="2"/>
        <v>0.916154</v>
      </c>
    </row>
    <row r="24">
      <c r="A24" s="11">
        <v>202109.0</v>
      </c>
      <c r="B24" s="10">
        <v>0.1</v>
      </c>
      <c r="C24" s="12" t="str">
        <f>if(rank('Ens_now작업'!C23,'Ens_now작업'!$C23:$Z23,1)&lt;=3,pred_GDP_now!C24,"")</f>
        <v/>
      </c>
      <c r="D24" s="12" t="str">
        <f>if(rank('Ens_now작업'!D23,'Ens_now작업'!$C23:$Z23,1)&lt;=3,pred_GDP_now!D24,"")</f>
        <v/>
      </c>
      <c r="E24" s="12" t="str">
        <f>if(rank('Ens_now작업'!E23,'Ens_now작업'!$C23:$Z23,1)&lt;=3,pred_GDP_now!E24,"")</f>
        <v/>
      </c>
      <c r="F24" s="12" t="str">
        <f>if(rank('Ens_now작업'!F23,'Ens_now작업'!$C23:$Z23,1)&lt;=3,pred_GDP_now!F24,"")</f>
        <v/>
      </c>
      <c r="G24" s="12"/>
      <c r="H24" s="12" t="str">
        <f>if(rank('Ens_now작업'!H23,'Ens_now작업'!$C23:$Z23,1)&lt;=3,pred_GDP_now!H24,"")</f>
        <v/>
      </c>
      <c r="I24" s="12" t="str">
        <f>if(rank('Ens_now작업'!I23,'Ens_now작업'!$C23:$Z23,1)&lt;=3,pred_GDP_now!I24,"")</f>
        <v/>
      </c>
      <c r="J24" s="12" t="str">
        <f>if(rank('Ens_now작업'!J23,'Ens_now작업'!$C23:$Z23,1)&lt;=3,pred_GDP_now!J24,"")</f>
        <v/>
      </c>
      <c r="K24" s="12" t="str">
        <f>if(rank('Ens_now작업'!K23,'Ens_now작업'!$C23:$Z23,1)&lt;=3,pred_GDP_now!K24,"")</f>
        <v/>
      </c>
      <c r="L24" s="12">
        <f>if(rank('Ens_now작업'!L23,'Ens_now작업'!$C23:$Z23,1)&lt;=3,pred_GDP_now!L24,"")</f>
        <v>1.044452737</v>
      </c>
      <c r="M24" s="12" t="str">
        <f>if(rank('Ens_now작업'!M23,'Ens_now작업'!$C23:$Z23,1)&lt;=3,pred_GDP_now!M24,"")</f>
        <v/>
      </c>
      <c r="N24" s="12"/>
      <c r="O24" s="12" t="str">
        <f>if(rank('Ens_now작업'!O23,'Ens_now작업'!$C23:$Z23,1)&lt;=3,pred_GDP_now!O24,"")</f>
        <v/>
      </c>
      <c r="P24" s="12">
        <f>if(rank('Ens_now작업'!P23,'Ens_now작업'!$C23:$Z23,1)&lt;=3,pred_GDP_now!P24,"")</f>
        <v>0.9060195088</v>
      </c>
      <c r="Q24" s="12">
        <f>if(rank('Ens_now작업'!Q23,'Ens_now작업'!$C23:$Z23,1)&lt;=3,pred_GDP_now!Q24,"")</f>
        <v>0.581938</v>
      </c>
      <c r="R24" s="12"/>
      <c r="S24" s="12"/>
      <c r="T24" s="12"/>
      <c r="U24" s="12"/>
      <c r="V24" s="12"/>
      <c r="W24" s="12"/>
      <c r="X24" s="12"/>
      <c r="Y24" s="12"/>
      <c r="Z24" s="12"/>
      <c r="AA24" s="12">
        <f>average(err_GDP_now!AA20:AA23)</f>
        <v>1.613333</v>
      </c>
      <c r="AB24" s="15" t="str">
        <f t="shared" si="1"/>
        <v>LQR</v>
      </c>
      <c r="AC24" s="13">
        <f t="shared" si="2"/>
        <v>0.581938</v>
      </c>
    </row>
    <row r="25">
      <c r="A25" s="11">
        <v>202112.0</v>
      </c>
      <c r="B25" s="10">
        <v>1.4</v>
      </c>
      <c r="C25" s="12" t="str">
        <f>if(rank('Ens_now작업'!C24,'Ens_now작업'!$C24:$Z24,1)&lt;=3,pred_GDP_now!C25,"")</f>
        <v/>
      </c>
      <c r="D25" s="12">
        <f>if(rank('Ens_now작업'!D24,'Ens_now작업'!$C24:$Z24,1)&lt;=3,pred_GDP_now!D25,"")</f>
        <v>1.296681</v>
      </c>
      <c r="E25" s="12">
        <f>if(rank('Ens_now작업'!E24,'Ens_now작업'!$C24:$Z24,1)&lt;=3,pred_GDP_now!E25,"")</f>
        <v>1.352924</v>
      </c>
      <c r="F25" s="12" t="str">
        <f>if(rank('Ens_now작업'!F24,'Ens_now작업'!$C24:$Z24,1)&lt;=3,pred_GDP_now!F25,"")</f>
        <v/>
      </c>
      <c r="G25" s="12"/>
      <c r="H25" s="12" t="str">
        <f>if(rank('Ens_now작업'!H24,'Ens_now작업'!$C24:$Z24,1)&lt;=3,pred_GDP_now!H25,"")</f>
        <v/>
      </c>
      <c r="I25" s="12" t="str">
        <f>if(rank('Ens_now작업'!I24,'Ens_now작업'!$C24:$Z24,1)&lt;=3,pred_GDP_now!I25,"")</f>
        <v/>
      </c>
      <c r="J25" s="12" t="str">
        <f>if(rank('Ens_now작업'!J24,'Ens_now작업'!$C24:$Z24,1)&lt;=3,pred_GDP_now!J25,"")</f>
        <v/>
      </c>
      <c r="K25" s="12" t="str">
        <f>if(rank('Ens_now작업'!K24,'Ens_now작업'!$C24:$Z24,1)&lt;=3,pred_GDP_now!K25,"")</f>
        <v/>
      </c>
      <c r="L25" s="12">
        <f>if(rank('Ens_now작업'!L24,'Ens_now작업'!$C24:$Z24,1)&lt;=3,pred_GDP_now!L25,"")</f>
        <v>1.317399612</v>
      </c>
      <c r="M25" s="12" t="str">
        <f>if(rank('Ens_now작업'!M24,'Ens_now작업'!$C24:$Z24,1)&lt;=3,pred_GDP_now!M25,"")</f>
        <v/>
      </c>
      <c r="N25" s="12"/>
      <c r="O25" s="12" t="str">
        <f>if(rank('Ens_now작업'!O24,'Ens_now작업'!$C24:$Z24,1)&lt;=3,pred_GDP_now!O25,"")</f>
        <v/>
      </c>
      <c r="P25" s="12" t="str">
        <f>if(rank('Ens_now작업'!P24,'Ens_now작업'!$C24:$Z24,1)&lt;=3,pred_GDP_now!P25,"")</f>
        <v/>
      </c>
      <c r="Q25" s="12" t="str">
        <f>if(rank('Ens_now작업'!Q24,'Ens_now작업'!$C24:$Z24,1)&lt;=3,pred_GDP_now!Q25,"")</f>
        <v/>
      </c>
      <c r="R25" s="12"/>
      <c r="S25" s="12"/>
      <c r="T25" s="12"/>
      <c r="U25" s="12"/>
      <c r="V25" s="12"/>
      <c r="W25" s="12"/>
      <c r="X25" s="12"/>
      <c r="Y25" s="12"/>
      <c r="Z25" s="12"/>
      <c r="AA25" s="12">
        <f>average(err_GDP_now!AA21:AA24)</f>
        <v>1.14804025</v>
      </c>
      <c r="AB25" s="15" t="str">
        <f t="shared" si="1"/>
        <v>TEXT</v>
      </c>
      <c r="AC25" s="13">
        <f t="shared" si="2"/>
        <v>1.14804025</v>
      </c>
    </row>
    <row r="26">
      <c r="A26" s="11">
        <v>202203.0</v>
      </c>
      <c r="B26" s="10">
        <v>0.7</v>
      </c>
      <c r="C26" s="12" t="str">
        <f>if(rank('Ens_now작업'!C25,'Ens_now작업'!$C25:$Z25,1)&lt;=3,pred_GDP_now!C26,"")</f>
        <v/>
      </c>
      <c r="D26" s="12" t="str">
        <f>if(rank('Ens_now작업'!D25,'Ens_now작업'!$C25:$Z25,1)&lt;=3,pred_GDP_now!D26,"")</f>
        <v/>
      </c>
      <c r="E26" s="12">
        <f>if(rank('Ens_now작업'!E25,'Ens_now작업'!$C25:$Z25,1)&lt;=3,pred_GDP_now!E26,"")</f>
        <v>0.836529</v>
      </c>
      <c r="F26" s="12" t="str">
        <f>if(rank('Ens_now작업'!F25,'Ens_now작업'!$C25:$Z25,1)&lt;=3,pred_GDP_now!F26,"")</f>
        <v/>
      </c>
      <c r="G26" s="12"/>
      <c r="H26" s="12" t="str">
        <f>if(rank('Ens_now작업'!H25,'Ens_now작업'!$C25:$Z25,1)&lt;=3,pred_GDP_now!H26,"")</f>
        <v/>
      </c>
      <c r="I26" s="12" t="str">
        <f>if(rank('Ens_now작업'!I25,'Ens_now작업'!$C25:$Z25,1)&lt;=3,pred_GDP_now!I26,"")</f>
        <v/>
      </c>
      <c r="J26" s="12" t="str">
        <f>if(rank('Ens_now작업'!J25,'Ens_now작업'!$C25:$Z25,1)&lt;=3,pred_GDP_now!J26,"")</f>
        <v/>
      </c>
      <c r="K26" s="12" t="str">
        <f>if(rank('Ens_now작업'!K25,'Ens_now작업'!$C25:$Z25,1)&lt;=3,pred_GDP_now!K26,"")</f>
        <v/>
      </c>
      <c r="L26" s="12">
        <f>if(rank('Ens_now작업'!L25,'Ens_now작업'!$C25:$Z25,1)&lt;=3,pred_GDP_now!L26,"")</f>
        <v>0.707758482</v>
      </c>
      <c r="M26" s="12" t="str">
        <f>if(rank('Ens_now작업'!M25,'Ens_now작업'!$C25:$Z25,1)&lt;=3,pred_GDP_now!M26,"")</f>
        <v/>
      </c>
      <c r="N26" s="12"/>
      <c r="O26" s="12" t="str">
        <f>if(rank('Ens_now작업'!O25,'Ens_now작업'!$C25:$Z25,1)&lt;=3,pred_GDP_now!O26,"")</f>
        <v/>
      </c>
      <c r="P26" s="12" t="str">
        <f>if(rank('Ens_now작업'!P25,'Ens_now작업'!$C25:$Z25,1)&lt;=3,pred_GDP_now!P26,"")</f>
        <v/>
      </c>
      <c r="Q26" s="12">
        <f>if(rank('Ens_now작업'!Q25,'Ens_now작업'!$C25:$Z25,1)&lt;=3,pred_GDP_now!Q26,"")</f>
        <v>0.893021</v>
      </c>
      <c r="R26" s="12"/>
      <c r="S26" s="12"/>
      <c r="T26" s="12"/>
      <c r="U26" s="12"/>
      <c r="V26" s="12"/>
      <c r="W26" s="12"/>
      <c r="X26" s="12"/>
      <c r="Y26" s="12"/>
      <c r="Z26" s="12"/>
      <c r="AA26" s="12">
        <f>average(err_GDP_now!AA22:AA25)</f>
        <v>0.65908275</v>
      </c>
      <c r="AB26" s="15" t="str">
        <f t="shared" si="1"/>
        <v>TEXT</v>
      </c>
      <c r="AC26" s="13">
        <f t="shared" si="2"/>
        <v>0.65908275</v>
      </c>
    </row>
    <row r="27">
      <c r="A27" s="11">
        <v>202206.0</v>
      </c>
      <c r="B27" s="10">
        <v>0.8</v>
      </c>
      <c r="C27" s="12" t="str">
        <f>if(rank('Ens_now작업'!C26,'Ens_now작업'!$C26:$Z26,1)&lt;=3,pred_GDP_now!C27,"")</f>
        <v/>
      </c>
      <c r="D27" s="12" t="str">
        <f>if(rank('Ens_now작업'!D26,'Ens_now작업'!$C26:$Z26,1)&lt;=3,pred_GDP_now!D27,"")</f>
        <v/>
      </c>
      <c r="E27" s="12">
        <f>if(rank('Ens_now작업'!E26,'Ens_now작업'!$C26:$Z26,1)&lt;=3,pred_GDP_now!E27,"")</f>
        <v>0.39195</v>
      </c>
      <c r="F27" s="12" t="str">
        <f>if(rank('Ens_now작업'!F26,'Ens_now작업'!$C26:$Z26,1)&lt;=3,pred_GDP_now!F27,"")</f>
        <v/>
      </c>
      <c r="G27" s="12"/>
      <c r="H27" s="12" t="str">
        <f>if(rank('Ens_now작업'!H26,'Ens_now작업'!$C26:$Z26,1)&lt;=3,pred_GDP_now!H27,"")</f>
        <v/>
      </c>
      <c r="I27" s="12" t="str">
        <f>if(rank('Ens_now작업'!I26,'Ens_now작업'!$C26:$Z26,1)&lt;=3,pred_GDP_now!I27,"")</f>
        <v/>
      </c>
      <c r="J27" s="12" t="str">
        <f>if(rank('Ens_now작업'!J26,'Ens_now작업'!$C26:$Z26,1)&lt;=3,pred_GDP_now!J27,"")</f>
        <v/>
      </c>
      <c r="K27" s="12" t="str">
        <f>if(rank('Ens_now작업'!K26,'Ens_now작업'!$C26:$Z26,1)&lt;=3,pred_GDP_now!K27,"")</f>
        <v/>
      </c>
      <c r="L27" s="12">
        <f>if(rank('Ens_now작업'!L26,'Ens_now작업'!$C26:$Z26,1)&lt;=3,pred_GDP_now!L27,"")</f>
        <v>0.4834810597</v>
      </c>
      <c r="M27" s="12" t="str">
        <f>if(rank('Ens_now작업'!M26,'Ens_now작업'!$C26:$Z26,1)&lt;=3,pred_GDP_now!M27,"")</f>
        <v/>
      </c>
      <c r="N27" s="12"/>
      <c r="O27" s="12" t="str">
        <f>if(rank('Ens_now작업'!O26,'Ens_now작업'!$C26:$Z26,1)&lt;=3,pred_GDP_now!O27,"")</f>
        <v/>
      </c>
      <c r="P27" s="12" t="str">
        <f>if(rank('Ens_now작업'!P26,'Ens_now작업'!$C26:$Z26,1)&lt;=3,pred_GDP_now!P27,"")</f>
        <v/>
      </c>
      <c r="Q27" s="12">
        <f>if(rank('Ens_now작업'!Q26,'Ens_now작업'!$C26:$Z26,1)&lt;=3,pred_GDP_now!Q27,"")</f>
        <v>0.268611</v>
      </c>
      <c r="R27" s="12"/>
      <c r="S27" s="12"/>
      <c r="T27" s="12"/>
      <c r="U27" s="12"/>
      <c r="V27" s="12"/>
      <c r="W27" s="12"/>
      <c r="X27" s="12"/>
      <c r="Y27" s="12"/>
      <c r="Z27" s="12"/>
      <c r="AA27" s="12">
        <f>average(err_GDP_now!AA23:AA26)</f>
        <v>0.3393535</v>
      </c>
      <c r="AB27" s="15" t="str">
        <f t="shared" si="1"/>
        <v>LQR</v>
      </c>
      <c r="AC27" s="13">
        <f t="shared" si="2"/>
        <v>0.268611</v>
      </c>
    </row>
    <row r="28">
      <c r="A28" s="11">
        <v>202209.0</v>
      </c>
      <c r="B28" s="10">
        <v>0.2</v>
      </c>
      <c r="C28" s="12" t="str">
        <f>if(rank('Ens_now작업'!C27,'Ens_now작업'!$C27:$Z27,1)&lt;=3,pred_GDP_now!C28,"")</f>
        <v/>
      </c>
      <c r="D28" s="12">
        <f>if(rank('Ens_now작업'!D27,'Ens_now작업'!$C27:$Z27,1)&lt;=3,pred_GDP_now!D28,"")</f>
        <v>0.199928</v>
      </c>
      <c r="E28" s="12">
        <f>if(rank('Ens_now작업'!E27,'Ens_now작업'!$C27:$Z27,1)&lt;=3,pred_GDP_now!E28,"")</f>
        <v>0.095254</v>
      </c>
      <c r="F28" s="12">
        <f>if(rank('Ens_now작업'!F27,'Ens_now작업'!$C27:$Z27,1)&lt;=3,pred_GDP_now!F28,"")</f>
        <v>0.340619</v>
      </c>
      <c r="G28" s="12"/>
      <c r="H28" s="12" t="str">
        <f>if(rank('Ens_now작업'!H27,'Ens_now작업'!$C27:$Z27,1)&lt;=3,pred_GDP_now!H28,"")</f>
        <v/>
      </c>
      <c r="I28" s="12" t="str">
        <f>if(rank('Ens_now작업'!I27,'Ens_now작업'!$C27:$Z27,1)&lt;=3,pred_GDP_now!I28,"")</f>
        <v/>
      </c>
      <c r="J28" s="12" t="str">
        <f>if(rank('Ens_now작업'!J27,'Ens_now작업'!$C27:$Z27,1)&lt;=3,pred_GDP_now!J28,"")</f>
        <v/>
      </c>
      <c r="K28" s="12" t="str">
        <f>if(rank('Ens_now작업'!K27,'Ens_now작업'!$C27:$Z27,1)&lt;=3,pred_GDP_now!K28,"")</f>
        <v/>
      </c>
      <c r="L28" s="12" t="str">
        <f>if(rank('Ens_now작업'!L27,'Ens_now작업'!$C27:$Z27,1)&lt;=3,pred_GDP_now!L28,"")</f>
        <v/>
      </c>
      <c r="M28" s="12" t="str">
        <f>if(rank('Ens_now작업'!M27,'Ens_now작업'!$C27:$Z27,1)&lt;=3,pred_GDP_now!M28,"")</f>
        <v/>
      </c>
      <c r="N28" s="12"/>
      <c r="O28" s="12" t="str">
        <f>if(rank('Ens_now작업'!O27,'Ens_now작업'!$C27:$Z27,1)&lt;=3,pred_GDP_now!O28,"")</f>
        <v/>
      </c>
      <c r="P28" s="12" t="str">
        <f>if(rank('Ens_now작업'!P27,'Ens_now작업'!$C27:$Z27,1)&lt;=3,pred_GDP_now!P28,"")</f>
        <v/>
      </c>
      <c r="Q28" s="12" t="str">
        <f>if(rank('Ens_now작업'!Q27,'Ens_now작업'!$C27:$Z27,1)&lt;=3,pred_GDP_now!Q28,"")</f>
        <v/>
      </c>
      <c r="R28" s="12"/>
      <c r="S28" s="12"/>
      <c r="T28" s="12"/>
      <c r="U28" s="12"/>
      <c r="V28" s="12"/>
      <c r="W28" s="12"/>
      <c r="X28" s="12"/>
      <c r="Y28" s="12"/>
      <c r="Z28" s="12"/>
      <c r="AA28" s="12">
        <f>average(err_GDP_now!AA24:AA27)</f>
        <v>0.22908225</v>
      </c>
      <c r="AB28" s="15" t="str">
        <f t="shared" si="1"/>
        <v>BEM2</v>
      </c>
      <c r="AC28" s="13">
        <f t="shared" si="2"/>
        <v>0.095254</v>
      </c>
    </row>
    <row r="29">
      <c r="A29" s="11">
        <v>202212.0</v>
      </c>
      <c r="B29" s="10">
        <v>-0.3</v>
      </c>
      <c r="C29" s="12" t="str">
        <f>if(rank('Ens_now작업'!C28,'Ens_now작업'!$C28:$Z28,1)&lt;=3,pred_GDP_now!C29,"")</f>
        <v/>
      </c>
      <c r="D29" s="12">
        <f>if(rank('Ens_now작업'!D28,'Ens_now작업'!$C28:$Z28,1)&lt;=3,pred_GDP_now!D29,"")</f>
        <v>-0.78486</v>
      </c>
      <c r="E29" s="12">
        <f>if(rank('Ens_now작업'!E28,'Ens_now작업'!$C28:$Z28,1)&lt;=3,pred_GDP_now!E29,"")</f>
        <v>-0.93253</v>
      </c>
      <c r="F29" s="12" t="str">
        <f>if(rank('Ens_now작업'!F28,'Ens_now작업'!$C28:$Z28,1)&lt;=3,pred_GDP_now!F29,"")</f>
        <v/>
      </c>
      <c r="G29" s="12"/>
      <c r="H29" s="12">
        <f>if(rank('Ens_now작업'!H28,'Ens_now작업'!$C28:$Z28,1)&lt;=3,pred_GDP_now!H29,"")</f>
        <v>-0.03764</v>
      </c>
      <c r="I29" s="12" t="str">
        <f>if(rank('Ens_now작업'!I28,'Ens_now작업'!$C28:$Z28,1)&lt;=3,pred_GDP_now!I29,"")</f>
        <v/>
      </c>
      <c r="J29" s="12" t="str">
        <f>if(rank('Ens_now작업'!J28,'Ens_now작업'!$C28:$Z28,1)&lt;=3,pred_GDP_now!J29,"")</f>
        <v/>
      </c>
      <c r="K29" s="12" t="str">
        <f>if(rank('Ens_now작업'!K28,'Ens_now작업'!$C28:$Z28,1)&lt;=3,pred_GDP_now!K29,"")</f>
        <v/>
      </c>
      <c r="L29" s="12" t="str">
        <f>if(rank('Ens_now작업'!L28,'Ens_now작업'!$C28:$Z28,1)&lt;=3,pred_GDP_now!L29,"")</f>
        <v/>
      </c>
      <c r="M29" s="12" t="str">
        <f>if(rank('Ens_now작업'!M28,'Ens_now작업'!$C28:$Z28,1)&lt;=3,pred_GDP_now!M29,"")</f>
        <v/>
      </c>
      <c r="N29" s="12"/>
      <c r="O29" s="12" t="str">
        <f>if(rank('Ens_now작업'!O28,'Ens_now작업'!$C28:$Z28,1)&lt;=3,pred_GDP_now!O29,"")</f>
        <v/>
      </c>
      <c r="P29" s="12" t="str">
        <f>if(rank('Ens_now작업'!P28,'Ens_now작업'!$C28:$Z28,1)&lt;=3,pred_GDP_now!P29,"")</f>
        <v/>
      </c>
      <c r="Q29" s="12" t="str">
        <f>if(rank('Ens_now작업'!Q28,'Ens_now작업'!$C28:$Z28,1)&lt;=3,pred_GDP_now!Q29,"")</f>
        <v/>
      </c>
      <c r="R29" s="12"/>
      <c r="S29" s="12"/>
      <c r="T29" s="12"/>
      <c r="U29" s="12"/>
      <c r="V29" s="12"/>
      <c r="W29" s="12"/>
      <c r="X29" s="12"/>
      <c r="Y29" s="12"/>
      <c r="Z29" s="12"/>
      <c r="AA29" s="12">
        <f>average(err_GDP_now!AA25:AA28)</f>
        <v>0.39303975</v>
      </c>
      <c r="AB29" s="15" t="str">
        <f t="shared" si="1"/>
        <v>BEM2</v>
      </c>
      <c r="AC29" s="13">
        <f t="shared" si="2"/>
        <v>-0.93253</v>
      </c>
    </row>
    <row r="30">
      <c r="A30" s="11">
        <v>202303.0</v>
      </c>
      <c r="B30" s="10">
        <v>0.3</v>
      </c>
      <c r="C30" s="12" t="str">
        <f>if(rank('Ens_now작업'!C29,'Ens_now작업'!$C29:$Z29,1)&lt;=3,pred_GDP_now!C30,"")</f>
        <v/>
      </c>
      <c r="D30" s="12">
        <f>if(rank('Ens_now작업'!D29,'Ens_now작업'!$C29:$Z29,1)&lt;=3,pred_GDP_now!D30,"")</f>
        <v>0.32618</v>
      </c>
      <c r="E30" s="12">
        <f>if(rank('Ens_now작업'!E29,'Ens_now작업'!$C29:$Z29,1)&lt;=3,pred_GDP_now!E30,"")</f>
        <v>0.190789</v>
      </c>
      <c r="F30" s="12" t="str">
        <f>if(rank('Ens_now작업'!F29,'Ens_now작업'!$C29:$Z29,1)&lt;=3,pred_GDP_now!F30,"")</f>
        <v/>
      </c>
      <c r="G30" s="12"/>
      <c r="H30" s="12" t="str">
        <f>if(rank('Ens_now작업'!H29,'Ens_now작업'!$C29:$Z29,1)&lt;=3,pred_GDP_now!H30,"")</f>
        <v/>
      </c>
      <c r="I30" s="12" t="str">
        <f>if(rank('Ens_now작업'!I29,'Ens_now작업'!$C29:$Z29,1)&lt;=3,pred_GDP_now!I30,"")</f>
        <v/>
      </c>
      <c r="J30" s="12" t="str">
        <f>if(rank('Ens_now작업'!J29,'Ens_now작업'!$C29:$Z29,1)&lt;=3,pred_GDP_now!J30,"")</f>
        <v/>
      </c>
      <c r="K30" s="12" t="str">
        <f>if(rank('Ens_now작업'!K29,'Ens_now작업'!$C29:$Z29,1)&lt;=3,pred_GDP_now!K30,"")</f>
        <v/>
      </c>
      <c r="L30" s="12">
        <f>if(rank('Ens_now작업'!L29,'Ens_now작업'!$C29:$Z29,1)&lt;=3,pred_GDP_now!L30,"")</f>
        <v>0.4547666388</v>
      </c>
      <c r="M30" s="12" t="str">
        <f>if(rank('Ens_now작업'!M29,'Ens_now작업'!$C29:$Z29,1)&lt;=3,pred_GDP_now!M30,"")</f>
        <v/>
      </c>
      <c r="N30" s="12"/>
      <c r="O30" s="12" t="str">
        <f>if(rank('Ens_now작업'!O29,'Ens_now작업'!$C29:$Z29,1)&lt;=3,pred_GDP_now!O30,"")</f>
        <v/>
      </c>
      <c r="P30" s="12" t="str">
        <f>if(rank('Ens_now작업'!P29,'Ens_now작업'!$C29:$Z29,1)&lt;=3,pred_GDP_now!P30,"")</f>
        <v/>
      </c>
      <c r="Q30" s="12" t="str">
        <f>if(rank('Ens_now작업'!Q29,'Ens_now작업'!$C29:$Z29,1)&lt;=3,pred_GDP_now!Q30,"")</f>
        <v/>
      </c>
      <c r="R30" s="12"/>
      <c r="S30" s="12"/>
      <c r="T30" s="12"/>
      <c r="U30" s="12"/>
      <c r="V30" s="12"/>
      <c r="W30" s="12"/>
      <c r="X30" s="12"/>
      <c r="Y30" s="12"/>
      <c r="Z30" s="12"/>
      <c r="AA30" s="12">
        <f>average(err_GDP_now!AA26:AA29)</f>
        <v>0.4237145</v>
      </c>
    </row>
    <row r="32">
      <c r="B32" s="2" t="s">
        <v>118</v>
      </c>
      <c r="C32" s="13">
        <f t="shared" ref="C32:F32" si="3">AVERAGE(C2:C30)</f>
        <v>-0.03938874808</v>
      </c>
      <c r="D32" s="13">
        <f t="shared" si="3"/>
        <v>0.4013868333</v>
      </c>
      <c r="E32" s="13">
        <f t="shared" si="3"/>
        <v>0.69998325</v>
      </c>
      <c r="F32" s="13">
        <f t="shared" si="3"/>
        <v>0.632483</v>
      </c>
      <c r="G32" s="13"/>
      <c r="H32" s="13">
        <f t="shared" ref="H32:M32" si="4">AVERAGE(H2:H30)</f>
        <v>0.3579225</v>
      </c>
      <c r="I32" s="13">
        <f t="shared" si="4"/>
        <v>1.081871143</v>
      </c>
      <c r="J32" s="13" t="str">
        <f t="shared" si="4"/>
        <v>#DIV/0!</v>
      </c>
      <c r="K32" s="13">
        <f t="shared" si="4"/>
        <v>0.8187085</v>
      </c>
      <c r="L32" s="13">
        <f t="shared" si="4"/>
        <v>0.6357023437</v>
      </c>
      <c r="M32" s="13" t="str">
        <f t="shared" si="4"/>
        <v>#DIV/0!</v>
      </c>
      <c r="N32" s="13"/>
      <c r="O32" s="13">
        <f t="shared" ref="O32:Q32" si="5">AVERAGE(O2:O30)</f>
        <v>0.7926633531</v>
      </c>
      <c r="P32" s="13">
        <f t="shared" si="5"/>
        <v>1.22054483</v>
      </c>
      <c r="Q32" s="13">
        <f t="shared" si="5"/>
        <v>0.535309</v>
      </c>
      <c r="R32" s="13"/>
      <c r="S32" s="13"/>
      <c r="T32" s="13"/>
      <c r="U32" s="13"/>
      <c r="V32" s="13"/>
      <c r="W32" s="13"/>
      <c r="X32" s="13"/>
      <c r="Y32" s="13"/>
      <c r="Z32" s="13"/>
      <c r="AA32" s="13">
        <f>AVERAGE(AA2:AA30)</f>
        <v>0.86258969</v>
      </c>
      <c r="AC32" s="13">
        <f>AVERAGE(AC2:AC30)</f>
        <v>0.4059574476</v>
      </c>
    </row>
    <row r="33">
      <c r="B33" s="2" t="s">
        <v>119</v>
      </c>
      <c r="C33" s="13">
        <f t="shared" ref="C33:F33" si="6">(sumsq(C2:C30)/count(C2:C30))^(0.5)</f>
        <v>0.03938874808</v>
      </c>
      <c r="D33" s="13">
        <f t="shared" si="6"/>
        <v>0.8816295401</v>
      </c>
      <c r="E33" s="13">
        <f t="shared" si="6"/>
        <v>1.041376429</v>
      </c>
      <c r="F33" s="13">
        <f t="shared" si="6"/>
        <v>0.6885186742</v>
      </c>
      <c r="G33" s="13"/>
      <c r="H33" s="13">
        <f t="shared" ref="H33:M33" si="7">(sumsq(H2:H30)/count(H2:H30))^(0.5)</f>
        <v>0.5334587214</v>
      </c>
      <c r="I33" s="13">
        <f t="shared" si="7"/>
        <v>1.783938222</v>
      </c>
      <c r="J33" s="13" t="str">
        <f t="shared" si="7"/>
        <v>#DIV/0!</v>
      </c>
      <c r="K33" s="13">
        <f t="shared" si="7"/>
        <v>0.8234155768</v>
      </c>
      <c r="L33" s="13">
        <f t="shared" si="7"/>
        <v>0.8936482653</v>
      </c>
      <c r="M33" s="13" t="str">
        <f t="shared" si="7"/>
        <v>#DIV/0!</v>
      </c>
      <c r="N33" s="13"/>
      <c r="O33" s="13">
        <f t="shared" ref="O33:Q33" si="8">(sumsq(O2:O30)/count(O2:O30))^(0.5)</f>
        <v>0.8211818872</v>
      </c>
      <c r="P33" s="13">
        <f t="shared" si="8"/>
        <v>1.235226298</v>
      </c>
      <c r="Q33" s="13">
        <f t="shared" si="8"/>
        <v>0.8611244978</v>
      </c>
      <c r="R33" s="13"/>
      <c r="S33" s="13"/>
      <c r="T33" s="13"/>
      <c r="U33" s="13"/>
      <c r="V33" s="13"/>
      <c r="W33" s="13"/>
      <c r="X33" s="13"/>
      <c r="Y33" s="13"/>
      <c r="Z33" s="13"/>
      <c r="AA33" s="13">
        <f>(sumsq(AA2:AA30)/count(AA2:AA30))^(0.5)</f>
        <v>1.136293617</v>
      </c>
      <c r="AC33" s="13">
        <f>(sumsq(AC2:AC30)/count(AC2:AC30))^(0.5)</f>
        <v>0.7812021493</v>
      </c>
    </row>
    <row r="34">
      <c r="B34" s="2" t="s">
        <v>120</v>
      </c>
      <c r="C34" s="13">
        <f t="shared" ref="C34:F34" si="9">MAX(C2:C30)</f>
        <v>-0.03938874808</v>
      </c>
      <c r="D34" s="13">
        <f t="shared" si="9"/>
        <v>1.517258</v>
      </c>
      <c r="E34" s="13">
        <f t="shared" si="9"/>
        <v>2.347293</v>
      </c>
      <c r="F34" s="13">
        <f t="shared" si="9"/>
        <v>1.015314</v>
      </c>
      <c r="G34" s="13"/>
      <c r="H34" s="13">
        <f t="shared" ref="H34:M34" si="10">MAX(H2:H30)</f>
        <v>0.753485</v>
      </c>
      <c r="I34" s="13">
        <f t="shared" si="10"/>
        <v>2.4220965</v>
      </c>
      <c r="J34" s="13">
        <f t="shared" si="10"/>
        <v>0</v>
      </c>
      <c r="K34" s="13">
        <f t="shared" si="10"/>
        <v>0.937068</v>
      </c>
      <c r="L34" s="13">
        <f t="shared" si="10"/>
        <v>2.223326237</v>
      </c>
      <c r="M34" s="13">
        <f t="shared" si="10"/>
        <v>0</v>
      </c>
      <c r="N34" s="13"/>
      <c r="O34" s="13">
        <f t="shared" ref="O34:Q34" si="11">MAX(O2:O30)</f>
        <v>1.111777283</v>
      </c>
      <c r="P34" s="13">
        <f t="shared" si="11"/>
        <v>1.410161138</v>
      </c>
      <c r="Q34" s="13">
        <f t="shared" si="11"/>
        <v>1.946373</v>
      </c>
      <c r="R34" s="13"/>
      <c r="S34" s="13"/>
      <c r="T34" s="13"/>
      <c r="U34" s="13"/>
      <c r="V34" s="13"/>
      <c r="W34" s="13"/>
      <c r="X34" s="13"/>
      <c r="Y34" s="13"/>
      <c r="Z34" s="13"/>
      <c r="AA34" s="13">
        <f>MAX(AA2:AA30)</f>
        <v>2.63637475</v>
      </c>
      <c r="AC34" s="13">
        <f>MAX(AC2:AC30)</f>
        <v>1.978706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10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  <c r="J1" s="2" t="s">
        <v>110</v>
      </c>
      <c r="K1" s="2" t="s">
        <v>111</v>
      </c>
      <c r="L1" s="2" t="s">
        <v>111</v>
      </c>
      <c r="N1" s="2" t="s">
        <v>113</v>
      </c>
      <c r="O1" s="2" t="s">
        <v>114</v>
      </c>
      <c r="P1" s="2" t="s">
        <v>115</v>
      </c>
      <c r="Q1" s="2" t="s">
        <v>116</v>
      </c>
      <c r="R1" s="2" t="s">
        <v>117</v>
      </c>
    </row>
    <row r="2">
      <c r="A2" s="11">
        <v>201603.0</v>
      </c>
      <c r="B2" s="10">
        <v>0.3</v>
      </c>
      <c r="C2" s="12">
        <f>min(pred_GDP_1qa!$C2:$Z2)</f>
        <v>0.328101</v>
      </c>
      <c r="D2" s="12">
        <f>MAX(pred_GDP_1qa!$C2:$Z2)</f>
        <v>1.120320439</v>
      </c>
      <c r="E2" s="12">
        <f>AVERAGE(pred_GDP_1qa!$C2:$Z2)</f>
        <v>0.6466613703</v>
      </c>
      <c r="F2" s="12">
        <f>MEDIAN(pred_GDP_1qa!$C2:$Z2)</f>
        <v>0.722176985</v>
      </c>
      <c r="G2" s="12"/>
      <c r="I2" s="12"/>
      <c r="J2" s="12"/>
      <c r="M2" s="12"/>
      <c r="N2" s="13">
        <f>percentile(pred_GDP_1qa!$C2:$Z2,0.1)</f>
        <v>0.3669279</v>
      </c>
      <c r="O2" s="12">
        <f>percentile(pred_GDP_1qa!$C2:$Z2,0.25)</f>
        <v>0.4325395</v>
      </c>
      <c r="P2" s="12">
        <f>percentile(pred_GDP_1qa!$C2:$Z2,0.5)</f>
        <v>0.722176985</v>
      </c>
      <c r="Q2" s="12">
        <f>percentile(pred_GDP_1qa!$C2:$Z2,0.75)</f>
        <v>0.7446034504</v>
      </c>
      <c r="R2" s="12">
        <f>percentile(pred_GDP_1qa!$C2:$Z2,0.9)</f>
        <v>0.7887207915</v>
      </c>
      <c r="S2" s="13">
        <f t="shared" ref="S2:S30" si="1">R2-N2</f>
        <v>0.4217928915</v>
      </c>
      <c r="T2" s="13">
        <f t="shared" ref="T2:T30" si="2">Q2-O2</f>
        <v>0.3120639504</v>
      </c>
    </row>
    <row r="3">
      <c r="A3" s="11">
        <v>201606.0</v>
      </c>
      <c r="B3" s="10">
        <v>1.2</v>
      </c>
      <c r="C3" s="12">
        <f>min(pred_GDP_1qa!$C3:$Z3)</f>
        <v>-0.03484</v>
      </c>
      <c r="D3" s="12">
        <f>MAX(pred_GDP_1qa!$C3:$Z3)</f>
        <v>1.104693651</v>
      </c>
      <c r="E3" s="12">
        <f>AVERAGE(pred_GDP_1qa!$C3:$Z3)</f>
        <v>0.7261642371</v>
      </c>
      <c r="F3" s="12">
        <f>MEDIAN(pred_GDP_1qa!$C3:$Z3)</f>
        <v>0.7907347842</v>
      </c>
      <c r="G3" s="14" t="str">
        <f t="array" ref="G3">index(pred_GDP_1qa!$C$1:$Z$1,1,match(MEDIAN(pred_GDP_1qa!$C2:$Z2),pred_GDP_1qa!$C2:$Z2))</f>
        <v>VAR</v>
      </c>
      <c r="H3" s="12">
        <f t="array" ref="H3">index(pred_GDP_1qa!$C3:$Z3,1,match(F2,pred_GDP_1qa!$C2:$Z2))</f>
        <v>-0.03484</v>
      </c>
      <c r="I3" s="14"/>
      <c r="J3" s="12"/>
      <c r="M3" s="12"/>
      <c r="N3" s="12">
        <f>percentile(pred_GDP_1qa!$C3:$Z3,0.1)</f>
        <v>0.431819804</v>
      </c>
      <c r="O3" s="12">
        <f>percentile(pred_GDP_1qa!$C3:$Z3,0.25)</f>
        <v>0.609076</v>
      </c>
      <c r="P3" s="12">
        <f>percentile(pred_GDP_1qa!$C3:$Z3,0.5)</f>
        <v>0.7907347842</v>
      </c>
      <c r="Q3" s="12">
        <f>percentile(pred_GDP_1qa!$C3:$Z3,0.75)</f>
        <v>0.986338</v>
      </c>
      <c r="R3" s="12">
        <f>percentile(pred_GDP_1qa!$C3:$Z3,0.9)</f>
        <v>1.060092485</v>
      </c>
      <c r="S3" s="13">
        <f t="shared" si="1"/>
        <v>0.6282726814</v>
      </c>
      <c r="T3" s="13">
        <f t="shared" si="2"/>
        <v>0.377262</v>
      </c>
    </row>
    <row r="4">
      <c r="A4" s="11">
        <v>201609.0</v>
      </c>
      <c r="B4" s="10">
        <v>0.4</v>
      </c>
      <c r="C4" s="12">
        <f>min(pred_GDP_1qa!$C4:$Z4)</f>
        <v>0.405793093</v>
      </c>
      <c r="D4" s="12">
        <f>MAX(pred_GDP_1qa!$C4:$Z4)</f>
        <v>1.135050058</v>
      </c>
      <c r="E4" s="12">
        <f>AVERAGE(pred_GDP_1qa!$C4:$Z4)</f>
        <v>0.7098655732</v>
      </c>
      <c r="F4" s="12">
        <f>MEDIAN(pred_GDP_1qa!$C4:$Z4)</f>
        <v>0.688193</v>
      </c>
      <c r="G4" s="14" t="str">
        <f t="array" ref="G4">index(pred_GDP_1qa!$C$1:$Z$1,1,match(MEDIAN(pred_GDP_1qa!$C3:$Z3),pred_GDP_1qa!$C3:$Z3))</f>
        <v>LQR</v>
      </c>
      <c r="H4" s="12">
        <f t="array" ref="H4">index(pred_GDP_1qa!$C4:$Z4,1,match(F3,pred_GDP_1qa!$C3:$Z3))</f>
        <v>0.688193</v>
      </c>
      <c r="I4" s="14"/>
      <c r="J4" s="12"/>
      <c r="M4" s="12"/>
      <c r="N4" s="12">
        <f>percentile(pred_GDP_1qa!$C4:$Z4,0.1)</f>
        <v>0.4197086</v>
      </c>
      <c r="O4" s="12">
        <f>percentile(pred_GDP_1qa!$C4:$Z4,0.25)</f>
        <v>0.452506</v>
      </c>
      <c r="P4" s="12">
        <f>percentile(pred_GDP_1qa!$C4:$Z4,0.5)</f>
        <v>0.688193</v>
      </c>
      <c r="Q4" s="12">
        <f>percentile(pred_GDP_1qa!$C4:$Z4,0.75)</f>
        <v>0.887490509</v>
      </c>
      <c r="R4" s="12">
        <f>percentile(pred_GDP_1qa!$C4:$Z4,0.9)</f>
        <v>1.04078935</v>
      </c>
      <c r="S4" s="13">
        <f t="shared" si="1"/>
        <v>0.62108075</v>
      </c>
      <c r="T4" s="13">
        <f t="shared" si="2"/>
        <v>0.434984509</v>
      </c>
    </row>
    <row r="5">
      <c r="A5" s="11">
        <v>201612.0</v>
      </c>
      <c r="B5" s="10">
        <v>0.6</v>
      </c>
      <c r="C5" s="12">
        <f>min(pred_GDP_1qa!$C5:$Z5)</f>
        <v>0.240202</v>
      </c>
      <c r="D5" s="12">
        <f>MAX(pred_GDP_1qa!$C5:$Z5)</f>
        <v>1.246863723</v>
      </c>
      <c r="E5" s="12">
        <f>AVERAGE(pred_GDP_1qa!$C5:$Z5)</f>
        <v>0.6366650663</v>
      </c>
      <c r="F5" s="12">
        <f>MEDIAN(pred_GDP_1qa!$C5:$Z5)</f>
        <v>0.6308</v>
      </c>
      <c r="G5" s="14" t="str">
        <f t="array" ref="G5">index(pred_GDP_1qa!$C$1:$Z$1,1,match(MEDIAN(pred_GDP_1qa!$C4:$Z4),pred_GDP_1qa!$C4:$Z4))</f>
        <v>LQR</v>
      </c>
      <c r="H5" s="12">
        <f t="array" ref="H5">index(pred_GDP_1qa!$C5:$Z5,1,match(F4,pred_GDP_1qa!$C4:$Z4))</f>
        <v>0.6308</v>
      </c>
      <c r="I5" s="14"/>
      <c r="J5" s="12"/>
      <c r="M5" s="12"/>
      <c r="N5" s="12">
        <f>percentile(pred_GDP_1qa!$C5:$Z5,0.1)</f>
        <v>0.4118646</v>
      </c>
      <c r="O5" s="12">
        <f>percentile(pred_GDP_1qa!$C5:$Z5,0.25)</f>
        <v>0.5293892591</v>
      </c>
      <c r="P5" s="12">
        <f>percentile(pred_GDP_1qa!$C5:$Z5,0.5)</f>
        <v>0.6308</v>
      </c>
      <c r="Q5" s="12">
        <f>percentile(pred_GDP_1qa!$C5:$Z5,0.75)</f>
        <v>0.6903847102</v>
      </c>
      <c r="R5" s="12">
        <f>percentile(pred_GDP_1qa!$C5:$Z5,0.9)</f>
        <v>0.8235824</v>
      </c>
      <c r="S5" s="13">
        <f t="shared" si="1"/>
        <v>0.4117178</v>
      </c>
      <c r="T5" s="13">
        <f t="shared" si="2"/>
        <v>0.1609954512</v>
      </c>
    </row>
    <row r="6">
      <c r="A6" s="11">
        <v>201703.0</v>
      </c>
      <c r="B6" s="10">
        <v>1.0</v>
      </c>
      <c r="C6" s="12">
        <f>min(pred_GDP_1qa!$C6:$Z6)</f>
        <v>0.106919</v>
      </c>
      <c r="D6" s="12">
        <f>MAX(pred_GDP_1qa!$C6:$Z6)</f>
        <v>1.343073995</v>
      </c>
      <c r="E6" s="12">
        <f>AVERAGE(pred_GDP_1qa!$C6:$Z6)</f>
        <v>0.8665972479</v>
      </c>
      <c r="F6" s="12">
        <f>MEDIAN(pred_GDP_1qa!$C6:$Z6)</f>
        <v>0.916089</v>
      </c>
      <c r="G6" s="14" t="str">
        <f t="array" ref="G6">index(pred_GDP_1qa!$C$1:$Z$1,1,match(MEDIAN(pred_GDP_1qa!$C5:$Z5),pred_GDP_1qa!$C5:$Z5))</f>
        <v>LQR</v>
      </c>
      <c r="H6" s="12">
        <f t="array" ref="H6">index(pred_GDP_1qa!$C6:$Z6,1,match(F5,pred_GDP_1qa!$C5:$Z5))</f>
        <v>0.985421</v>
      </c>
      <c r="I6" s="14"/>
      <c r="J6" s="12"/>
      <c r="M6" s="12"/>
      <c r="N6" s="12">
        <f>percentile(pred_GDP_1qa!$C6:$Z6,0.1)</f>
        <v>0.2825946871</v>
      </c>
      <c r="O6" s="12">
        <f>percentile(pred_GDP_1qa!$C6:$Z6,0.25)</f>
        <v>0.7858031281</v>
      </c>
      <c r="P6" s="12">
        <f>percentile(pred_GDP_1qa!$C6:$Z6,0.5)</f>
        <v>0.916089</v>
      </c>
      <c r="Q6" s="12">
        <f>percentile(pred_GDP_1qa!$C6:$Z6,0.75)</f>
        <v>1.098352155</v>
      </c>
      <c r="R6" s="12">
        <f>percentile(pred_GDP_1qa!$C6:$Z6,0.9)</f>
        <v>1.225633952</v>
      </c>
      <c r="S6" s="13">
        <f t="shared" si="1"/>
        <v>0.9430392649</v>
      </c>
      <c r="T6" s="13">
        <f t="shared" si="2"/>
        <v>0.312549027</v>
      </c>
    </row>
    <row r="7">
      <c r="A7" s="11">
        <v>201706.0</v>
      </c>
      <c r="B7" s="10">
        <v>0.8</v>
      </c>
      <c r="C7" s="12">
        <f>min(pred_GDP_1qa!$C7:$Z7)</f>
        <v>-0.358109222</v>
      </c>
      <c r="D7" s="12">
        <f>MAX(pred_GDP_1qa!$C7:$Z7)</f>
        <v>1.23765</v>
      </c>
      <c r="E7" s="12">
        <f>AVERAGE(pred_GDP_1qa!$C7:$Z7)</f>
        <v>0.6684872857</v>
      </c>
      <c r="F7" s="12">
        <f>MEDIAN(pred_GDP_1qa!$C7:$Z7)</f>
        <v>0.70761799</v>
      </c>
      <c r="G7" s="14" t="str">
        <f t="array" ref="G7">index(pred_GDP_1qa!$C$1:$Z$1,1,match(MEDIAN(pred_GDP_1qa!$C6:$Z6),pred_GDP_1qa!$C6:$Z6))</f>
        <v>RF-DVS</v>
      </c>
      <c r="H7" s="12">
        <f t="array" ref="H7">index(pred_GDP_1qa!$C7:$Z7,1,match(F6,pred_GDP_1qa!$C6:$Z6))</f>
        <v>0.409885344</v>
      </c>
      <c r="I7" s="14" t="str">
        <f t="array" ref="I7">index(pred_GDP_1qa!$C$1:$Z$1,1,match(min('Ens_1qa작업'!$C6:$Z6),'Ens_1qa작업'!$C6:$Z6,0))</f>
        <v>RF-DVS</v>
      </c>
      <c r="J7" s="12">
        <f t="array" ref="J7">index(pred_GDP_1qa!$C7:$Z7,1,match(min('Ens_1qa작업'!$C6:$Z6),'Ens_1qa작업'!$C6:$Z6,0))</f>
        <v>0.409885344</v>
      </c>
      <c r="K7" s="12">
        <f>AVERAGE('Ens_1qa작업2'!$C7:$Z7)</f>
        <v>0.5301061887</v>
      </c>
      <c r="L7" s="12">
        <f>AVERAGE('Ens_1qa작업3'!$C7:$Z7)</f>
        <v>0.1738357073</v>
      </c>
      <c r="M7" s="12"/>
      <c r="N7" s="12">
        <f>percentile(pred_GDP_1qa!$C7:$Z7,0.1)</f>
        <v>0.4072954688</v>
      </c>
      <c r="O7" s="12">
        <f>percentile(pred_GDP_1qa!$C7:$Z7,0.25)</f>
        <v>0.450203</v>
      </c>
      <c r="P7" s="12">
        <f>percentile(pred_GDP_1qa!$C7:$Z7,0.5)</f>
        <v>0.70761799</v>
      </c>
      <c r="Q7" s="12">
        <f>percentile(pred_GDP_1qa!$C7:$Z7,0.75)</f>
        <v>1.001210928</v>
      </c>
      <c r="R7" s="12">
        <f>percentile(pred_GDP_1qa!$C7:$Z7,0.9)</f>
        <v>1.074206649</v>
      </c>
      <c r="S7" s="13">
        <f t="shared" si="1"/>
        <v>0.66691118</v>
      </c>
      <c r="T7" s="13">
        <f t="shared" si="2"/>
        <v>0.551007928</v>
      </c>
    </row>
    <row r="8">
      <c r="A8" s="11">
        <v>201709.0</v>
      </c>
      <c r="B8" s="10">
        <v>1.4</v>
      </c>
      <c r="C8" s="12">
        <f>min(pred_GDP_1qa!$C8:$Z8)</f>
        <v>0.124685</v>
      </c>
      <c r="D8" s="12">
        <f>MAX(pred_GDP_1qa!$C8:$Z8)</f>
        <v>1.218567</v>
      </c>
      <c r="E8" s="12">
        <f>AVERAGE(pred_GDP_1qa!$C8:$Z8)</f>
        <v>0.6912485185</v>
      </c>
      <c r="F8" s="12">
        <f>MEDIAN(pred_GDP_1qa!$C8:$Z8)</f>
        <v>0.7163979036</v>
      </c>
      <c r="G8" s="14" t="str">
        <f t="array" ref="G8">index(pred_GDP_1qa!$C$1:$Z$1,1,match(MEDIAN(pred_GDP_1qa!$C7:$Z7),pred_GDP_1qa!$C7:$Z7))</f>
        <v>RF-DVS</v>
      </c>
      <c r="H8" s="12">
        <f t="array" ref="H8">index(pred_GDP_1qa!$C8:$Z8,1,match(F7,pred_GDP_1qa!$C7:$Z7))</f>
        <v>0.4523410245</v>
      </c>
      <c r="I8" s="14" t="str">
        <f t="array" ref="I8">index(pred_GDP_1qa!$C$1:$Z$1,1,match(min('Ens_1qa작업'!$C7:$Z7),'Ens_1qa작업'!$C7:$Z7,0))</f>
        <v>BEM1</v>
      </c>
      <c r="J8" s="12">
        <f t="array" ref="J8">index(pred_GDP_1qa!$C8:$Z8,1,match(min('Ens_1qa작업'!$C7:$Z7),'Ens_1qa작업'!$C7:$Z7,0))</f>
        <v>0.500708</v>
      </c>
      <c r="K8" s="12">
        <f>AVERAGE('Ens_1qa작업2'!$C8:$Z8)</f>
        <v>0.5927823856</v>
      </c>
      <c r="L8" s="12">
        <f>AVERAGE('Ens_1qa작업3'!$C8:$Z8)</f>
        <v>0.5564823094</v>
      </c>
      <c r="M8" s="12"/>
      <c r="N8" s="12">
        <f>percentile(pred_GDP_1qa!$C8:$Z8,0.1)</f>
        <v>0.2871947927</v>
      </c>
      <c r="O8" s="12">
        <f>percentile(pred_GDP_1qa!$C8:$Z8,0.25)</f>
        <v>0.4523410245</v>
      </c>
      <c r="P8" s="12">
        <f>percentile(pred_GDP_1qa!$C8:$Z8,0.5)</f>
        <v>0.7163979036</v>
      </c>
      <c r="Q8" s="12">
        <f>percentile(pred_GDP_1qa!$C8:$Z8,0.75)</f>
        <v>0.9133554765</v>
      </c>
      <c r="R8" s="12">
        <f>percentile(pred_GDP_1qa!$C8:$Z8,0.9)</f>
        <v>1.064426512</v>
      </c>
      <c r="S8" s="13">
        <f t="shared" si="1"/>
        <v>0.7772317193</v>
      </c>
      <c r="T8" s="13">
        <f t="shared" si="2"/>
        <v>0.461014452</v>
      </c>
    </row>
    <row r="9">
      <c r="A9" s="11">
        <v>201712.0</v>
      </c>
      <c r="B9" s="10">
        <v>-0.3</v>
      </c>
      <c r="C9" s="12">
        <f>min(pred_GDP_1qa!$C9:$Z9)</f>
        <v>0.084091</v>
      </c>
      <c r="D9" s="12">
        <f>MAX(pred_GDP_1qa!$C9:$Z9)</f>
        <v>1.247796416</v>
      </c>
      <c r="E9" s="12">
        <f>AVERAGE(pred_GDP_1qa!$C9:$Z9)</f>
        <v>0.7385169049</v>
      </c>
      <c r="F9" s="12">
        <f>MEDIAN(pred_GDP_1qa!$C9:$Z9)</f>
        <v>0.849378</v>
      </c>
      <c r="G9" s="14" t="str">
        <f t="array" ref="G9">index(pred_GDP_1qa!$C$1:$Z$1,1,match(MEDIAN(pred_GDP_1qa!$C8:$Z8),pred_GDP_1qa!$C8:$Z8))</f>
        <v>RF-DVS</v>
      </c>
      <c r="H9" s="12">
        <f t="array" ref="H9">index(pred_GDP_1qa!$C9:$Z9,1,match(F8,pred_GDP_1qa!$C8:$Z8))</f>
        <v>0.5096688741</v>
      </c>
      <c r="I9" s="14" t="str">
        <f t="array" ref="I9">index(pred_GDP_1qa!$C$1:$Z$1,1,match(min('Ens_1qa작업'!$C8:$Z8),'Ens_1qa작업'!$C8:$Z8,0))</f>
        <v>LQR</v>
      </c>
      <c r="J9" s="12">
        <f t="array" ref="J9">index(pred_GDP_1qa!$C9:$Z9,1,match(min('Ens_1qa작업'!$C8:$Z8),'Ens_1qa작업'!$C8:$Z8,0))</f>
        <v>0.849378</v>
      </c>
      <c r="K9" s="12">
        <f>AVERAGE('Ens_1qa작업2'!$C9:$Z9)</f>
        <v>0.6543498193</v>
      </c>
      <c r="L9" s="12">
        <f>AVERAGE('Ens_1qa작업3'!$C9:$Z9)</f>
        <v>0.7537260321</v>
      </c>
      <c r="M9" s="12"/>
      <c r="N9" s="12">
        <f>percentile(pred_GDP_1qa!$C9:$Z9,0.1)</f>
        <v>0.4262012213</v>
      </c>
      <c r="O9" s="12">
        <f>percentile(pred_GDP_1qa!$C9:$Z9,0.25)</f>
        <v>0.462819</v>
      </c>
      <c r="P9" s="12">
        <f>percentile(pred_GDP_1qa!$C9:$Z9,0.5)</f>
        <v>0.849378</v>
      </c>
      <c r="Q9" s="12">
        <f>percentile(pred_GDP_1qa!$C9:$Z9,0.75)</f>
        <v>0.9861696143</v>
      </c>
      <c r="R9" s="12">
        <f>percentile(pred_GDP_1qa!$C9:$Z9,0.9)</f>
        <v>1.108137205</v>
      </c>
      <c r="S9" s="13">
        <f t="shared" si="1"/>
        <v>0.6819359837</v>
      </c>
      <c r="T9" s="13">
        <f t="shared" si="2"/>
        <v>0.5233506143</v>
      </c>
    </row>
    <row r="10">
      <c r="A10" s="11">
        <v>201803.0</v>
      </c>
      <c r="B10" s="10">
        <v>1.3</v>
      </c>
      <c r="C10" s="12">
        <f>min(pred_GDP_1qa!$C10:$Z10)</f>
        <v>0.206457</v>
      </c>
      <c r="D10" s="12">
        <f>MAX(pred_GDP_1qa!$C10:$Z10)</f>
        <v>1.1</v>
      </c>
      <c r="E10" s="12">
        <f>AVERAGE(pred_GDP_1qa!$C10:$Z10)</f>
        <v>0.7394541045</v>
      </c>
      <c r="F10" s="12">
        <f>MEDIAN(pred_GDP_1qa!$C10:$Z10)</f>
        <v>0.772475</v>
      </c>
      <c r="G10" s="14" t="str">
        <f t="array" ref="G10">index(pred_GDP_1qa!$C$1:$Z$1,1,match(MEDIAN(pred_GDP_1qa!$C9:$Z9),pred_GDP_1qa!$C9:$Z9))</f>
        <v>LQR</v>
      </c>
      <c r="H10" s="12">
        <f t="array" ref="H10">index(pred_GDP_1qa!$C10:$Z10,1,match(F9,pred_GDP_1qa!$C9:$Z9))</f>
        <v>0.548781</v>
      </c>
      <c r="I10" s="14" t="str">
        <f t="array" ref="I10">index(pred_GDP_1qa!$C$1:$Z$1,1,match(min('Ens_1qa작업'!$C9:$Z9),'Ens_1qa작업'!$C9:$Z9,0))</f>
        <v>LQR</v>
      </c>
      <c r="J10" s="12">
        <f t="array" ref="J10">index(pred_GDP_1qa!$C10:$Z10,1,match(min('Ens_1qa작업'!$C9:$Z9),'Ens_1qa작업'!$C9:$Z9,0))</f>
        <v>0.548781</v>
      </c>
      <c r="K10" s="12">
        <f>AVERAGE('Ens_1qa작업2'!$C10:$Z10)</f>
        <v>0.7823039557</v>
      </c>
      <c r="L10" s="12">
        <f>AVERAGE('Ens_1qa작업3'!$C10:$Z10)</f>
        <v>0.8150069739</v>
      </c>
      <c r="M10" s="12"/>
      <c r="N10" s="12">
        <f>percentile(pred_GDP_1qa!$C10:$Z10,0.1)</f>
        <v>0.5618128</v>
      </c>
      <c r="O10" s="12">
        <f>percentile(pred_GDP_1qa!$C10:$Z10,0.25)</f>
        <v>0.631522757</v>
      </c>
      <c r="P10" s="12">
        <f>percentile(pred_GDP_1qa!$C10:$Z10,0.5)</f>
        <v>0.772475</v>
      </c>
      <c r="Q10" s="12">
        <f>percentile(pred_GDP_1qa!$C10:$Z10,0.75)</f>
        <v>0.8730100393</v>
      </c>
      <c r="R10" s="12">
        <f>percentile(pred_GDP_1qa!$C10:$Z10,0.9)</f>
        <v>0.9620466754</v>
      </c>
      <c r="S10" s="13">
        <f t="shared" si="1"/>
        <v>0.4002338754</v>
      </c>
      <c r="T10" s="13">
        <f t="shared" si="2"/>
        <v>0.2414872823</v>
      </c>
    </row>
    <row r="11">
      <c r="A11" s="11">
        <v>201806.0</v>
      </c>
      <c r="B11" s="10">
        <v>0.7</v>
      </c>
      <c r="C11" s="12">
        <f>min(pred_GDP_1qa!$C11:$Z11)</f>
        <v>0.271466</v>
      </c>
      <c r="D11" s="12">
        <f>MAX(pred_GDP_1qa!$C11:$Z11)</f>
        <v>1.002659</v>
      </c>
      <c r="E11" s="12">
        <f>AVERAGE(pred_GDP_1qa!$C11:$Z11)</f>
        <v>0.5898997717</v>
      </c>
      <c r="F11" s="12">
        <f>MEDIAN(pred_GDP_1qa!$C11:$Z11)</f>
        <v>0.6</v>
      </c>
      <c r="G11" s="14" t="str">
        <f t="array" ref="G11">index(pred_GDP_1qa!$C$1:$Z$1,1,match(MEDIAN(pred_GDP_1qa!$C10:$Z10),pred_GDP_1qa!$C10:$Z10))</f>
        <v>OptimARIMA</v>
      </c>
      <c r="H11" s="12">
        <f t="array" ref="H11">index(pred_GDP_1qa!$C11:$Z11,1,match(F10,pred_GDP_1qa!$C10:$Z10))</f>
        <v>1.002659</v>
      </c>
      <c r="I11" s="14" t="str">
        <f t="array" ref="I11">index(pred_GDP_1qa!$C$1:$Z$1,1,match(min('Ens_1qa작업'!$C10:$Z10),'Ens_1qa작업'!$C10:$Z10,0))</f>
        <v>BEM3</v>
      </c>
      <c r="J11" s="12">
        <f t="array" ref="J11">index(pred_GDP_1qa!$C11:$Z11,1,match(min('Ens_1qa작업'!$C10:$Z10),'Ens_1qa작업'!$C10:$Z10,0))</f>
        <v>0.5150402011</v>
      </c>
      <c r="K11" s="12">
        <f>AVERAGE('Ens_1qa작업2'!$C11:$Z11)</f>
        <v>0.6259952042</v>
      </c>
      <c r="L11" s="12">
        <f>AVERAGE('Ens_1qa작업3'!$C11:$Z11)</f>
        <v>0.596488007</v>
      </c>
      <c r="M11" s="12"/>
      <c r="N11" s="12">
        <f>percentile(pred_GDP_1qa!$C11:$Z11,0.1)</f>
        <v>0.3632681353</v>
      </c>
      <c r="O11" s="12">
        <f>percentile(pred_GDP_1qa!$C11:$Z11,0.25)</f>
        <v>0.4937528607</v>
      </c>
      <c r="P11" s="12">
        <f>percentile(pred_GDP_1qa!$C11:$Z11,0.5)</f>
        <v>0.6</v>
      </c>
      <c r="Q11" s="12">
        <f>percentile(pred_GDP_1qa!$C11:$Z11,0.75)</f>
        <v>0.663451</v>
      </c>
      <c r="R11" s="12">
        <f>percentile(pred_GDP_1qa!$C11:$Z11,0.9)</f>
        <v>0.7637374963</v>
      </c>
      <c r="S11" s="13">
        <f t="shared" si="1"/>
        <v>0.400469361</v>
      </c>
      <c r="T11" s="13">
        <f t="shared" si="2"/>
        <v>0.1696981393</v>
      </c>
    </row>
    <row r="12">
      <c r="A12" s="11">
        <v>201809.0</v>
      </c>
      <c r="B12" s="10">
        <v>0.6</v>
      </c>
      <c r="C12" s="12">
        <f>min(pred_GDP_1qa!$C12:$Z12)</f>
        <v>0.197968</v>
      </c>
      <c r="D12" s="12">
        <f>MAX(pred_GDP_1qa!$C12:$Z12)</f>
        <v>1.461755157</v>
      </c>
      <c r="E12" s="12">
        <f>AVERAGE(pred_GDP_1qa!$C12:$Z12)</f>
        <v>0.7956922891</v>
      </c>
      <c r="F12" s="12">
        <f>MEDIAN(pred_GDP_1qa!$C12:$Z12)</f>
        <v>0.7957078641</v>
      </c>
      <c r="G12" s="14" t="str">
        <f t="array" ref="G12">index(pred_GDP_1qa!$C$1:$Z$1,1,match(MEDIAN(pred_GDP_1qa!$C11:$Z11),pred_GDP_1qa!$C11:$Z11))</f>
        <v>RF-DVS</v>
      </c>
      <c r="H12" s="12">
        <f t="array" ref="H12">index(pred_GDP_1qa!$C12:$Z12,1,match(F11,pred_GDP_1qa!$C11:$Z11))</f>
        <v>0.5791277701</v>
      </c>
      <c r="I12" s="14" t="str">
        <f t="array" ref="I12">index(pred_GDP_1qa!$C$1:$Z$1,1,match(min('Ens_1qa작업'!$C11:$Z11),'Ens_1qa작업'!$C11:$Z11,0))</f>
        <v>BEM3</v>
      </c>
      <c r="J12" s="12">
        <f t="array" ref="J12">index(pred_GDP_1qa!$C12:$Z12,1,match(min('Ens_1qa작업'!$C11:$Z11),'Ens_1qa작업'!$C11:$Z11,0))</f>
        <v>0.7957078641</v>
      </c>
      <c r="K12" s="12">
        <f>AVERAGE('Ens_1qa작업2'!$C12:$Z12)</f>
        <v>0.9040541301</v>
      </c>
      <c r="L12" s="12">
        <f>AVERAGE('Ens_1qa작업3'!$C12:$Z12)</f>
        <v>0.8169288314</v>
      </c>
      <c r="M12" s="12"/>
      <c r="N12" s="12">
        <f>percentile(pred_GDP_1qa!$C12:$Z12,0.1)</f>
        <v>0.568169554</v>
      </c>
      <c r="O12" s="12">
        <f>percentile(pred_GDP_1qa!$C12:$Z12,0.25)</f>
        <v>0.606897</v>
      </c>
      <c r="P12" s="12">
        <f>percentile(pred_GDP_1qa!$C12:$Z12,0.5)</f>
        <v>0.7957078641</v>
      </c>
      <c r="Q12" s="12">
        <f>percentile(pred_GDP_1qa!$C12:$Z12,0.75)</f>
        <v>0.9231883673</v>
      </c>
      <c r="R12" s="12">
        <f>percentile(pred_GDP_1qa!$C12:$Z12,0.9)</f>
        <v>1.229825101</v>
      </c>
      <c r="S12" s="13">
        <f t="shared" si="1"/>
        <v>0.6616555465</v>
      </c>
      <c r="T12" s="13">
        <f t="shared" si="2"/>
        <v>0.3162913673</v>
      </c>
    </row>
    <row r="13">
      <c r="A13" s="11">
        <v>201812.0</v>
      </c>
      <c r="B13" s="10">
        <v>0.6</v>
      </c>
      <c r="C13" s="12">
        <f>min(pred_GDP_1qa!$C13:$Z13)</f>
        <v>0.0952</v>
      </c>
      <c r="D13" s="12">
        <f>MAX(pred_GDP_1qa!$C13:$Z13)</f>
        <v>0.970054</v>
      </c>
      <c r="E13" s="12">
        <f>AVERAGE(pred_GDP_1qa!$C13:$Z13)</f>
        <v>0.5812884559</v>
      </c>
      <c r="F13" s="12">
        <f>MEDIAN(pred_GDP_1qa!$C13:$Z13)</f>
        <v>0.5321437502</v>
      </c>
      <c r="G13" s="14" t="str">
        <f t="array" ref="G13">index(pred_GDP_1qa!$C$1:$Z$1,1,match(MEDIAN(pred_GDP_1qa!$C12:$Z12),pred_GDP_1qa!$C12:$Z12))</f>
        <v>LQR</v>
      </c>
      <c r="H13" s="12">
        <f t="array" ref="H13">index(pred_GDP_1qa!$C13:$Z13,1,match(F12,pred_GDP_1qa!$C12:$Z12))</f>
        <v>0.970054</v>
      </c>
      <c r="I13" s="14" t="str">
        <f t="array" ref="I13">index(pred_GDP_1qa!$C$1:$Z$1,1,match(min('Ens_1qa작업'!$C12:$Z12),'Ens_1qa작업'!$C12:$Z12,0))</f>
        <v>BEM3</v>
      </c>
      <c r="J13" s="12">
        <f t="array" ref="J13">index(pred_GDP_1qa!$C13:$Z13,1,match(min('Ens_1qa작업'!$C12:$Z12),'Ens_1qa작업'!$C12:$Z12,0))</f>
        <v>0.5321437502</v>
      </c>
      <c r="K13" s="12">
        <f>AVERAGE('Ens_1qa작업2'!$C13:$Z13)</f>
        <v>0.59924854</v>
      </c>
      <c r="L13" s="12">
        <f>AVERAGE('Ens_1qa작업3'!$C13:$Z13)</f>
        <v>0.5264615667</v>
      </c>
      <c r="M13" s="12"/>
      <c r="N13" s="12">
        <f>percentile(pred_GDP_1qa!$C13:$Z13,0.1)</f>
        <v>0.3556185807</v>
      </c>
      <c r="O13" s="12">
        <f>percentile(pred_GDP_1qa!$C13:$Z13,0.25)</f>
        <v>0.505337</v>
      </c>
      <c r="P13" s="12">
        <f>percentile(pred_GDP_1qa!$C13:$Z13,0.5)</f>
        <v>0.5321437502</v>
      </c>
      <c r="Q13" s="12">
        <f>percentile(pred_GDP_1qa!$C13:$Z13,0.75)</f>
        <v>0.714293</v>
      </c>
      <c r="R13" s="12">
        <f>percentile(pred_GDP_1qa!$C13:$Z13,0.9)</f>
        <v>0.9078548278</v>
      </c>
      <c r="S13" s="13">
        <f t="shared" si="1"/>
        <v>0.5522362471</v>
      </c>
      <c r="T13" s="13">
        <f t="shared" si="2"/>
        <v>0.208956</v>
      </c>
    </row>
    <row r="14">
      <c r="A14" s="11">
        <v>201903.0</v>
      </c>
      <c r="B14" s="10">
        <v>-0.1</v>
      </c>
      <c r="C14" s="12">
        <f>min(pred_GDP_1qa!$C14:$Z14)</f>
        <v>-0.5249372297</v>
      </c>
      <c r="D14" s="12">
        <f>MAX(pred_GDP_1qa!$C14:$Z14)</f>
        <v>0.7</v>
      </c>
      <c r="E14" s="12">
        <f>AVERAGE(pred_GDP_1qa!$C14:$Z14)</f>
        <v>0.4015567712</v>
      </c>
      <c r="F14" s="12">
        <f>MEDIAN(pred_GDP_1qa!$C14:$Z14)</f>
        <v>0.5622048445</v>
      </c>
      <c r="G14" s="14" t="str">
        <f t="array" ref="G14">index(pred_GDP_1qa!$C$1:$Z$1,1,match(MEDIAN(pred_GDP_1qa!$C13:$Z13),pred_GDP_1qa!$C13:$Z13))</f>
        <v>RF-DVS</v>
      </c>
      <c r="H14" s="12">
        <f t="array" ref="H14">index(pred_GDP_1qa!$C14:$Z14,1,match(F13,pred_GDP_1qa!$C13:$Z13))</f>
        <v>0.6892892872</v>
      </c>
      <c r="I14" s="14" t="str">
        <f t="array" ref="I14">index(pred_GDP_1qa!$C$1:$Z$1,1,match(min('Ens_1qa작업'!$C13:$Z13),'Ens_1qa작업'!$C13:$Z13,0))</f>
        <v>BEM3</v>
      </c>
      <c r="J14" s="12">
        <f t="array" ref="J14">index(pred_GDP_1qa!$C14:$Z14,1,match(min('Ens_1qa작업'!$C13:$Z13),'Ens_1qa작업'!$C13:$Z13,0))</f>
        <v>0.249530522</v>
      </c>
      <c r="K14" s="12">
        <f>AVERAGE('Ens_1qa작업2'!$C14:$Z14)</f>
        <v>0.2285167159</v>
      </c>
      <c r="L14" s="12">
        <f>AVERAGE('Ens_1qa작업3'!$C14:$Z14)</f>
        <v>0.326077174</v>
      </c>
      <c r="M14" s="12"/>
      <c r="N14" s="12">
        <f>percentile(pred_GDP_1qa!$C14:$Z14,0.1)</f>
        <v>-0.1018538956</v>
      </c>
      <c r="O14" s="12">
        <f>percentile(pred_GDP_1qa!$C14:$Z14,0.25)</f>
        <v>0.333607</v>
      </c>
      <c r="P14" s="12">
        <f>percentile(pred_GDP_1qa!$C14:$Z14,0.5)</f>
        <v>0.5622048445</v>
      </c>
      <c r="Q14" s="12">
        <f>percentile(pred_GDP_1qa!$C14:$Z14,0.75)</f>
        <v>0.6186259389</v>
      </c>
      <c r="R14" s="12">
        <f>percentile(pred_GDP_1qa!$C14:$Z14,0.9)</f>
        <v>0.6839172298</v>
      </c>
      <c r="S14" s="13">
        <f t="shared" si="1"/>
        <v>0.7857711254</v>
      </c>
      <c r="T14" s="13">
        <f t="shared" si="2"/>
        <v>0.2850189389</v>
      </c>
    </row>
    <row r="15">
      <c r="A15" s="11">
        <v>201906.0</v>
      </c>
      <c r="B15" s="10">
        <v>1.1</v>
      </c>
      <c r="C15" s="12">
        <f>min(pred_GDP_1qa!$C15:$Z15)</f>
        <v>-0.29079</v>
      </c>
      <c r="D15" s="12">
        <f>MAX(pred_GDP_1qa!$C15:$Z15)</f>
        <v>0.9900076206</v>
      </c>
      <c r="E15" s="12">
        <f>AVERAGE(pred_GDP_1qa!$C15:$Z15)</f>
        <v>0.5716953516</v>
      </c>
      <c r="F15" s="12">
        <f>MEDIAN(pred_GDP_1qa!$C15:$Z15)</f>
        <v>0.634205</v>
      </c>
      <c r="G15" s="14" t="str">
        <f t="array" ref="G15">index(pred_GDP_1qa!$C$1:$Z$1,1,match(MEDIAN(pred_GDP_1qa!$C14:$Z14),pred_GDP_1qa!$C14:$Z14))</f>
        <v>SVR-KNN</v>
      </c>
      <c r="H15" s="12">
        <f t="array" ref="H15">index(pred_GDP_1qa!$C15:$Z15,1,match(F14,pred_GDP_1qa!$C14:$Z14))</f>
        <v>0.6182143624</v>
      </c>
      <c r="I15" s="14" t="str">
        <f t="array" ref="I15">index(pred_GDP_1qa!$C$1:$Z$1,1,match(min('Ens_1qa작업'!$C14:$Z14),'Ens_1qa작업'!$C14:$Z14,0))</f>
        <v>BEM1</v>
      </c>
      <c r="J15" s="12">
        <f t="array" ref="J15">index(pred_GDP_1qa!$C15:$Z15,1,match(min('Ens_1qa작업'!$C14:$Z14),'Ens_1qa작업'!$C14:$Z14,0))</f>
        <v>0.672491</v>
      </c>
      <c r="K15" s="12">
        <f>AVERAGE('Ens_1qa작업2'!$C15:$Z15)</f>
        <v>0.5985157574</v>
      </c>
      <c r="L15" s="12">
        <f>AVERAGE('Ens_1qa작업3'!$C15:$Z15)</f>
        <v>0.6019024723</v>
      </c>
      <c r="M15" s="12"/>
      <c r="N15" s="12">
        <f>percentile(pred_GDP_1qa!$C15:$Z15,0.1)</f>
        <v>0.1823452077</v>
      </c>
      <c r="O15" s="12">
        <f>percentile(pred_GDP_1qa!$C15:$Z15,0.25)</f>
        <v>0.423217</v>
      </c>
      <c r="P15" s="12">
        <f>percentile(pred_GDP_1qa!$C15:$Z15,0.5)</f>
        <v>0.634205</v>
      </c>
      <c r="Q15" s="12">
        <f>percentile(pred_GDP_1qa!$C15:$Z15,0.75)</f>
        <v>0.7243783782</v>
      </c>
      <c r="R15" s="12">
        <f>percentile(pred_GDP_1qa!$C15:$Z15,0.9)</f>
        <v>0.9570179193</v>
      </c>
      <c r="S15" s="13">
        <f t="shared" si="1"/>
        <v>0.7746727116</v>
      </c>
      <c r="T15" s="13">
        <f t="shared" si="2"/>
        <v>0.3011613782</v>
      </c>
    </row>
    <row r="16">
      <c r="A16" s="11">
        <v>201909.0</v>
      </c>
      <c r="B16" s="10">
        <v>0.4</v>
      </c>
      <c r="C16" s="12">
        <f>min(pred_GDP_1qa!$C16:$Z16)</f>
        <v>0.2</v>
      </c>
      <c r="D16" s="12">
        <f>MAX(pred_GDP_1qa!$C16:$Z16)</f>
        <v>1.058837414</v>
      </c>
      <c r="E16" s="12">
        <f>AVERAGE(pred_GDP_1qa!$C16:$Z16)</f>
        <v>0.5803263449</v>
      </c>
      <c r="F16" s="12">
        <f>MEDIAN(pred_GDP_1qa!$C16:$Z16)</f>
        <v>0.5905915314</v>
      </c>
      <c r="G16" s="14" t="str">
        <f t="array" ref="G16">index(pred_GDP_1qa!$C$1:$Z$1,1,match(MEDIAN(pred_GDP_1qa!$C15:$Z15),pred_GDP_1qa!$C15:$Z15))</f>
        <v>SVR-KNN</v>
      </c>
      <c r="H16" s="12">
        <f t="array" ref="H16">index(pred_GDP_1qa!$C16:$Z16,1,match(F15,pred_GDP_1qa!$C15:$Z15))</f>
        <v>0.5842240764</v>
      </c>
      <c r="I16" s="14" t="str">
        <f t="array" ref="I16">index(pred_GDP_1qa!$C$1:$Z$1,1,match(min('Ens_1qa작업'!$C15:$Z15),'Ens_1qa작업'!$C15:$Z15,0))</f>
        <v>BEM1</v>
      </c>
      <c r="J16" s="12">
        <f t="array" ref="J16">index(pred_GDP_1qa!$C16:$Z16,1,match(min('Ens_1qa작업'!$C15:$Z15),'Ens_1qa작업'!$C15:$Z15,0))</f>
        <v>0.603259</v>
      </c>
      <c r="K16" s="12">
        <f>AVERAGE('Ens_1qa작업2'!$C16:$Z16)</f>
        <v>0.6006996907</v>
      </c>
      <c r="L16" s="12">
        <f>AVERAGE('Ens_1qa작업3'!$C16:$Z16)</f>
        <v>0.5936912994</v>
      </c>
      <c r="M16" s="12"/>
      <c r="N16" s="12">
        <f>percentile(pred_GDP_1qa!$C16:$Z16,0.1)</f>
        <v>0.3536009165</v>
      </c>
      <c r="O16" s="12">
        <f>percentile(pred_GDP_1qa!$C16:$Z16,0.25)</f>
        <v>0.47246244</v>
      </c>
      <c r="P16" s="12">
        <f>percentile(pred_GDP_1qa!$C16:$Z16,0.5)</f>
        <v>0.5905915314</v>
      </c>
      <c r="Q16" s="12">
        <f>percentile(pred_GDP_1qa!$C16:$Z16,0.75)</f>
        <v>0.6382004787</v>
      </c>
      <c r="R16" s="12">
        <f>percentile(pred_GDP_1qa!$C16:$Z16,0.9)</f>
        <v>0.7590038</v>
      </c>
      <c r="S16" s="13">
        <f t="shared" si="1"/>
        <v>0.4054028835</v>
      </c>
      <c r="T16" s="13">
        <f t="shared" si="2"/>
        <v>0.1657380387</v>
      </c>
    </row>
    <row r="17">
      <c r="A17" s="11">
        <v>201912.0</v>
      </c>
      <c r="B17" s="10">
        <v>1.2</v>
      </c>
      <c r="C17" s="12">
        <f>min(pred_GDP_1qa!$C17:$Z17)</f>
        <v>0.174499</v>
      </c>
      <c r="D17" s="12">
        <f>MAX(pred_GDP_1qa!$C17:$Z17)</f>
        <v>1.789594469</v>
      </c>
      <c r="E17" s="12">
        <f>AVERAGE(pred_GDP_1qa!$C17:$Z17)</f>
        <v>0.7892937958</v>
      </c>
      <c r="F17" s="12">
        <f>MEDIAN(pred_GDP_1qa!$C17:$Z17)</f>
        <v>0.692307</v>
      </c>
      <c r="G17" s="14" t="str">
        <f t="array" ref="G17">index(pred_GDP_1qa!$C$1:$Z$1,1,match(MEDIAN(pred_GDP_1qa!$C16:$Z16),pred_GDP_1qa!$C16:$Z16))</f>
        <v>CRNN</v>
      </c>
      <c r="H17" s="12">
        <f t="array" ref="H17">index(pred_GDP_1qa!$C17:$Z17,1,match(F16,pred_GDP_1qa!$C16:$Z16))</f>
        <v>0.7</v>
      </c>
      <c r="I17" s="14" t="str">
        <f t="array" ref="I17">index(pred_GDP_1qa!$C$1:$Z$1,1,match(min('Ens_1qa작업'!$C16:$Z16),'Ens_1qa작업'!$C16:$Z16,0))</f>
        <v>BEM1</v>
      </c>
      <c r="J17" s="12">
        <f t="array" ref="J17">index(pred_GDP_1qa!$C17:$Z17,1,match(min('Ens_1qa작업'!$C16:$Z16),'Ens_1qa작업'!$C16:$Z16,0))</f>
        <v>0.677511</v>
      </c>
      <c r="K17" s="12">
        <f>AVERAGE('Ens_1qa작업2'!$C17:$Z17)</f>
        <v>0.8007693234</v>
      </c>
      <c r="L17" s="12">
        <f>AVERAGE('Ens_1qa작업3'!$C17:$Z17)</f>
        <v>0.6851263837</v>
      </c>
      <c r="M17" s="12"/>
      <c r="N17" s="12">
        <f>percentile(pred_GDP_1qa!$C17:$Z17,0.1)</f>
        <v>0.58524388</v>
      </c>
      <c r="O17" s="12">
        <f>percentile(pred_GDP_1qa!$C17:$Z17,0.25)</f>
        <v>0.6605355601</v>
      </c>
      <c r="P17" s="12">
        <f>percentile(pred_GDP_1qa!$C17:$Z17,0.5)</f>
        <v>0.692307</v>
      </c>
      <c r="Q17" s="12">
        <f>percentile(pred_GDP_1qa!$C17:$Z17,0.75)</f>
        <v>0.7418191512</v>
      </c>
      <c r="R17" s="12">
        <f>percentile(pred_GDP_1qa!$C17:$Z17,0.9)</f>
        <v>1.219523125</v>
      </c>
      <c r="S17" s="13">
        <f t="shared" si="1"/>
        <v>0.6342792445</v>
      </c>
      <c r="T17" s="13">
        <f t="shared" si="2"/>
        <v>0.08128359104</v>
      </c>
    </row>
    <row r="18">
      <c r="A18" s="11">
        <v>202003.0</v>
      </c>
      <c r="B18" s="10">
        <v>-1.3</v>
      </c>
      <c r="C18" s="12">
        <f>min(pred_GDP_1qa!$C18:$Z18)</f>
        <v>0.029684</v>
      </c>
      <c r="D18" s="12">
        <f>MAX(pred_GDP_1qa!$C18:$Z18)</f>
        <v>0.9631466946</v>
      </c>
      <c r="E18" s="12">
        <f>AVERAGE(pred_GDP_1qa!$C18:$Z18)</f>
        <v>0.5636392674</v>
      </c>
      <c r="F18" s="12">
        <f>MEDIAN(pred_GDP_1qa!$C18:$Z18)</f>
        <v>0.549058</v>
      </c>
      <c r="G18" s="14" t="str">
        <f t="array" ref="G18">index(pred_GDP_1qa!$C$1:$Z$1,1,match(MEDIAN(pred_GDP_1qa!$C17:$Z17),pred_GDP_1qa!$C17:$Z17))</f>
        <v>LQR</v>
      </c>
      <c r="H18" s="12">
        <f t="array" ref="H18">index(pred_GDP_1qa!$C18:$Z18,1,match(F17,pred_GDP_1qa!$C17:$Z17))</f>
        <v>0.409247</v>
      </c>
      <c r="I18" s="14" t="str">
        <f t="array" ref="I18">index(pred_GDP_1qa!$C$1:$Z$1,1,match(min('Ens_1qa작업'!$C17:$Z17),'Ens_1qa작업'!$C17:$Z17,0))</f>
        <v>T-M</v>
      </c>
      <c r="J18" s="12">
        <f t="array" ref="J18">index(pred_GDP_1qa!$C18:$Z18,1,match(min('Ens_1qa작업'!$C17:$Z17),'Ens_1qa작업'!$C17:$Z17,0))</f>
        <v>0.9631466946</v>
      </c>
      <c r="K18" s="12">
        <f>AVERAGE('Ens_1qa작업2'!$C18:$Z18)</f>
        <v>0.6092509885</v>
      </c>
      <c r="L18" s="12">
        <f>AVERAGE('Ens_1qa작업3'!$C18:$Z18)</f>
        <v>0.7497236219</v>
      </c>
      <c r="M18" s="12"/>
      <c r="N18" s="12">
        <f>percentile(pred_GDP_1qa!$C18:$Z18,0.1)</f>
        <v>0.3031198616</v>
      </c>
      <c r="O18" s="12">
        <f>percentile(pred_GDP_1qa!$C18:$Z18,0.25)</f>
        <v>0.46986457</v>
      </c>
      <c r="P18" s="12">
        <f>percentile(pred_GDP_1qa!$C18:$Z18,0.5)</f>
        <v>0.549058</v>
      </c>
      <c r="Q18" s="12">
        <f>percentile(pred_GDP_1qa!$C18:$Z18,0.75)</f>
        <v>0.736839</v>
      </c>
      <c r="R18" s="12">
        <f>percentile(pred_GDP_1qa!$C18:$Z18,0.9)</f>
        <v>0.8855407314</v>
      </c>
      <c r="S18" s="13">
        <f t="shared" si="1"/>
        <v>0.5824208698</v>
      </c>
      <c r="T18" s="13">
        <f t="shared" si="2"/>
        <v>0.26697443</v>
      </c>
    </row>
    <row r="19">
      <c r="A19" s="11">
        <v>202006.0</v>
      </c>
      <c r="B19" s="10">
        <v>-3.0</v>
      </c>
      <c r="C19" s="12">
        <f>min(pred_GDP_1qa!$C19:$Z19)</f>
        <v>-3.194133282</v>
      </c>
      <c r="D19" s="12">
        <f>MAX(pred_GDP_1qa!$C19:$Z19)</f>
        <v>0.8443909807</v>
      </c>
      <c r="E19" s="12">
        <f>AVERAGE(pred_GDP_1qa!$C19:$Z19)</f>
        <v>-0.2530992604</v>
      </c>
      <c r="F19" s="12">
        <f>MEDIAN(pred_GDP_1qa!$C19:$Z19)</f>
        <v>0.025082</v>
      </c>
      <c r="G19" s="14" t="str">
        <f t="array" ref="G19">index(pred_GDP_1qa!$C$1:$Z$1,1,match(MEDIAN(pred_GDP_1qa!$C18:$Z18),pred_GDP_1qa!$C18:$Z18))</f>
        <v>CRNN</v>
      </c>
      <c r="H19" s="12">
        <f t="array" ref="H19">index(pred_GDP_1qa!$C19:$Z19,1,match(F18,pred_GDP_1qa!$C18:$Z18))</f>
        <v>0.7</v>
      </c>
      <c r="I19" s="14" t="str">
        <f t="array" ref="I19">index(pred_GDP_1qa!$C$1:$Z$1,1,match(min('Ens_1qa작업'!$C18:$Z18),'Ens_1qa작업'!$C18:$Z18,0))</f>
        <v>T-M</v>
      </c>
      <c r="J19" s="12">
        <f t="array" ref="J19">index(pred_GDP_1qa!$C19:$Z19,1,match(min('Ens_1qa작업'!$C18:$Z18),'Ens_1qa작업'!$C18:$Z18,0))</f>
        <v>-0.3154518791</v>
      </c>
      <c r="K19" s="12">
        <f>AVERAGE('Ens_1qa작업2'!$C19:$Z19)</f>
        <v>-0.661341415</v>
      </c>
      <c r="L19" s="12">
        <f>AVERAGE('Ens_1qa작업3'!$C19:$Z19)</f>
        <v>-0.9270590249</v>
      </c>
      <c r="M19" s="12"/>
      <c r="N19" s="12">
        <f>percentile(pred_GDP_1qa!$C19:$Z19,0.1)</f>
        <v>-1.280654587</v>
      </c>
      <c r="O19" s="12">
        <f>percentile(pred_GDP_1qa!$C19:$Z19,0.25)</f>
        <v>-0.3154518791</v>
      </c>
      <c r="P19" s="12">
        <f>percentile(pred_GDP_1qa!$C19:$Z19,0.5)</f>
        <v>0.025082</v>
      </c>
      <c r="Q19" s="12">
        <f>percentile(pred_GDP_1qa!$C19:$Z19,0.75)</f>
        <v>0.669851</v>
      </c>
      <c r="R19" s="12">
        <f>percentile(pred_GDP_1qa!$C19:$Z19,0.9)</f>
        <v>0.8128944</v>
      </c>
      <c r="S19" s="13">
        <f t="shared" si="1"/>
        <v>2.093548987</v>
      </c>
      <c r="T19" s="13">
        <f t="shared" si="2"/>
        <v>0.9853028791</v>
      </c>
    </row>
    <row r="20">
      <c r="A20" s="11">
        <v>202009.0</v>
      </c>
      <c r="B20" s="10">
        <v>2.3</v>
      </c>
      <c r="C20" s="12">
        <f>min(pred_GDP_1qa!$C20:$Z20)</f>
        <v>-1.43354</v>
      </c>
      <c r="D20" s="12">
        <f>MAX(pred_GDP_1qa!$C20:$Z20)</f>
        <v>1.979820997</v>
      </c>
      <c r="E20" s="12">
        <f>AVERAGE(pred_GDP_1qa!$C20:$Z20)</f>
        <v>0.6578482803</v>
      </c>
      <c r="F20" s="12">
        <f>MEDIAN(pred_GDP_1qa!$C20:$Z20)</f>
        <v>1.052633</v>
      </c>
      <c r="G20" s="14" t="str">
        <f t="array" ref="G20">index(pred_GDP_1qa!$C$1:$Z$1,1,match(MEDIAN(pred_GDP_1qa!$C19:$Z19),pred_GDP_1qa!$C19:$Z19))</f>
        <v>SVR-KNN</v>
      </c>
      <c r="H20" s="12">
        <f t="array" ref="H20">index(pred_GDP_1qa!$C20:$Z20,1,match(F19,pred_GDP_1qa!$C19:$Z19))</f>
        <v>1.455949004</v>
      </c>
      <c r="I20" s="14" t="str">
        <f t="array" ref="I20">index(pred_GDP_1qa!$C$1:$Z$1,1,match(min('Ens_1qa작업'!$C19:$Z19),'Ens_1qa작업'!$C19:$Z19,0))</f>
        <v>T-M</v>
      </c>
      <c r="J20" s="12">
        <f t="array" ref="J20">index(pred_GDP_1qa!$C20:$Z20,1,match(min('Ens_1qa작업'!$C19:$Z19),'Ens_1qa작업'!$C19:$Z19,0))</f>
        <v>1.979820997</v>
      </c>
      <c r="K20" s="12">
        <f>AVERAGE('Ens_1qa작업2'!$C20:$Z20)</f>
        <v>1.067623557</v>
      </c>
      <c r="L20" s="12">
        <f>AVERAGE('Ens_1qa작업3'!$C20:$Z20)</f>
        <v>1.567975294</v>
      </c>
      <c r="M20" s="12"/>
      <c r="N20" s="12">
        <f>percentile(pred_GDP_1qa!$C20:$Z20,0.1)</f>
        <v>-0.5516697934</v>
      </c>
      <c r="O20" s="12">
        <f>percentile(pred_GDP_1qa!$C20:$Z20,0.25)</f>
        <v>0.168204</v>
      </c>
      <c r="P20" s="12">
        <f>percentile(pred_GDP_1qa!$C20:$Z20,0.5)</f>
        <v>1.052633</v>
      </c>
      <c r="Q20" s="12">
        <f>percentile(pred_GDP_1qa!$C20:$Z20,0.75)</f>
        <v>1.303980231</v>
      </c>
      <c r="R20" s="12">
        <f>percentile(pred_GDP_1qa!$C20:$Z20,0.9)</f>
        <v>1.582928077</v>
      </c>
      <c r="S20" s="13">
        <f t="shared" si="1"/>
        <v>2.134597871</v>
      </c>
      <c r="T20" s="13">
        <f t="shared" si="2"/>
        <v>1.135776231</v>
      </c>
    </row>
    <row r="21">
      <c r="A21" s="11">
        <v>202012.0</v>
      </c>
      <c r="B21" s="10">
        <v>1.3</v>
      </c>
      <c r="C21" s="12">
        <f>min(pred_GDP_1qa!$C21:$Z21)</f>
        <v>-0.3</v>
      </c>
      <c r="D21" s="12">
        <f>MAX(pred_GDP_1qa!$C21:$Z21)</f>
        <v>1.970105237</v>
      </c>
      <c r="E21" s="12">
        <f>AVERAGE(pred_GDP_1qa!$C21:$Z21)</f>
        <v>0.7978684101</v>
      </c>
      <c r="F21" s="12">
        <f>MEDIAN(pred_GDP_1qa!$C21:$Z21)</f>
        <v>0.975803</v>
      </c>
      <c r="G21" s="14" t="str">
        <f t="array" ref="G21">index(pred_GDP_1qa!$C$1:$Z$1,1,match(MEDIAN(pred_GDP_1qa!$C20:$Z20),pred_GDP_1qa!$C20:$Z20))</f>
        <v>CRNN</v>
      </c>
      <c r="H21" s="12">
        <f t="array" ref="H21">index(pred_GDP_1qa!$C21:$Z21,1,match(F20,pred_GDP_1qa!$C20:$Z20))</f>
        <v>-0.3</v>
      </c>
      <c r="I21" s="14" t="str">
        <f t="array" ref="I21">index(pred_GDP_1qa!$C$1:$Z$1,1,match(min('Ens_1qa작업'!$C20:$Z20),'Ens_1qa작업'!$C20:$Z20,0))</f>
        <v>S-XGB</v>
      </c>
      <c r="J21" s="12">
        <f t="array" ref="J21">index(pred_GDP_1qa!$C21:$Z21,1,match(min('Ens_1qa작업'!$C20:$Z20),'Ens_1qa작업'!$C20:$Z20,0))</f>
        <v>1.076251626</v>
      </c>
      <c r="K21" s="12">
        <f>AVERAGE('Ens_1qa작업2'!$C21:$Z21)</f>
        <v>1.328430696</v>
      </c>
      <c r="L21" s="12">
        <f>AVERAGE('Ens_1qa작업3'!$C21:$Z21)</f>
        <v>1.223800081</v>
      </c>
      <c r="M21" s="12"/>
      <c r="N21" s="12">
        <f>percentile(pred_GDP_1qa!$C21:$Z21,0.1)</f>
        <v>-0.1561542061</v>
      </c>
      <c r="O21" s="12">
        <f>percentile(pred_GDP_1qa!$C21:$Z21,0.25)</f>
        <v>0.2671601815</v>
      </c>
      <c r="P21" s="12">
        <f>percentile(pred_GDP_1qa!$C21:$Z21,0.5)</f>
        <v>0.975803</v>
      </c>
      <c r="Q21" s="12">
        <f>percentile(pred_GDP_1qa!$C21:$Z21,0.75)</f>
        <v>1.131580883</v>
      </c>
      <c r="R21" s="12">
        <f>percentile(pred_GDP_1qa!$C21:$Z21,0.9)</f>
        <v>1.447091387</v>
      </c>
      <c r="S21" s="13">
        <f t="shared" si="1"/>
        <v>1.603245593</v>
      </c>
      <c r="T21" s="13">
        <f t="shared" si="2"/>
        <v>0.8644207013</v>
      </c>
    </row>
    <row r="22">
      <c r="A22" s="11">
        <v>202103.0</v>
      </c>
      <c r="B22" s="10">
        <v>1.8</v>
      </c>
      <c r="C22" s="12">
        <f>min(pred_GDP_1qa!$C22:$Z22)</f>
        <v>0.161777</v>
      </c>
      <c r="D22" s="12">
        <f>MAX(pred_GDP_1qa!$C22:$Z22)</f>
        <v>1.480901998</v>
      </c>
      <c r="E22" s="12">
        <f>AVERAGE(pred_GDP_1qa!$C22:$Z22)</f>
        <v>0.8642341318</v>
      </c>
      <c r="F22" s="12">
        <f>MEDIAN(pred_GDP_1qa!$C22:$Z22)</f>
        <v>0.8842695355</v>
      </c>
      <c r="G22" s="14" t="str">
        <f t="array" ref="G22">index(pred_GDP_1qa!$C$1:$Z$1,1,match(MEDIAN(pred_GDP_1qa!$C21:$Z21),pred_GDP_1qa!$C21:$Z21))</f>
        <v>LQR</v>
      </c>
      <c r="H22" s="12">
        <f t="array" ref="H22">index(pred_GDP_1qa!$C22:$Z22,1,match(F21,pred_GDP_1qa!$C21:$Z21))</f>
        <v>0.741075</v>
      </c>
      <c r="I22" s="14" t="str">
        <f t="array" ref="I22">index(pred_GDP_1qa!$C$1:$Z$1,1,match(min('Ens_1qa작업'!$C21:$Z21),'Ens_1qa작업'!$C21:$Z21,0))</f>
        <v>S-XGB</v>
      </c>
      <c r="J22" s="12">
        <f t="array" ref="J22">index(pred_GDP_1qa!$C22:$Z22,1,match(min('Ens_1qa작업'!$C21:$Z21),'Ens_1qa작업'!$C21:$Z21,0))</f>
        <v>0.8842695355</v>
      </c>
      <c r="K22" s="12">
        <f>AVERAGE('Ens_1qa작업2'!$C22:$Z22)</f>
        <v>0.8098515846</v>
      </c>
      <c r="L22" s="12">
        <f>AVERAGE('Ens_1qa작업3'!$C22:$Z22)</f>
        <v>0.9915690628</v>
      </c>
      <c r="M22" s="12"/>
      <c r="N22" s="12">
        <f>percentile(pred_GDP_1qa!$C22:$Z22,0.1)</f>
        <v>0.303129531</v>
      </c>
      <c r="O22" s="12">
        <f>percentile(pred_GDP_1qa!$C22:$Z22,0.25)</f>
        <v>0.72215955</v>
      </c>
      <c r="P22" s="12">
        <f>percentile(pred_GDP_1qa!$C22:$Z22,0.5)</f>
        <v>0.8842695355</v>
      </c>
      <c r="Q22" s="12">
        <f>percentile(pred_GDP_1qa!$C22:$Z22,0.75)</f>
        <v>1.13407</v>
      </c>
      <c r="R22" s="12">
        <f>percentile(pred_GDP_1qa!$C22:$Z22,0.9)</f>
        <v>1.202534528</v>
      </c>
      <c r="S22" s="13">
        <f t="shared" si="1"/>
        <v>0.8994049966</v>
      </c>
      <c r="T22" s="13">
        <f t="shared" si="2"/>
        <v>0.41191045</v>
      </c>
    </row>
    <row r="23">
      <c r="A23" s="11">
        <v>202106.0</v>
      </c>
      <c r="B23" s="10">
        <v>0.9</v>
      </c>
      <c r="C23" s="12">
        <f>min(pred_GDP_1qa!$C23:$Z23)</f>
        <v>-0.3058992135</v>
      </c>
      <c r="D23" s="12">
        <f>MAX(pred_GDP_1qa!$C23:$Z23)</f>
        <v>1.539498494</v>
      </c>
      <c r="E23" s="12">
        <f>AVERAGE(pred_GDP_1qa!$C23:$Z23)</f>
        <v>0.7385552247</v>
      </c>
      <c r="F23" s="12">
        <f>MEDIAN(pred_GDP_1qa!$C23:$Z23)</f>
        <v>0.89574391</v>
      </c>
      <c r="G23" s="14" t="str">
        <f t="array" ref="G23">index(pred_GDP_1qa!$C$1:$Z$1,1,match(MEDIAN(pred_GDP_1qa!$C22:$Z22),pred_GDP_1qa!$C22:$Z22))</f>
        <v>BEM2</v>
      </c>
      <c r="H23" s="12">
        <f t="array" ref="H23">index(pred_GDP_1qa!$C23:$Z23,1,match(F22,pred_GDP_1qa!$C22:$Z22))</f>
        <v>0.398934</v>
      </c>
      <c r="I23" s="14" t="str">
        <f t="array" ref="I23">index(pred_GDP_1qa!$C$1:$Z$1,1,match(min('Ens_1qa작업'!$C22:$Z22),'Ens_1qa작업'!$C22:$Z22,0))</f>
        <v>S-XGB</v>
      </c>
      <c r="J23" s="12">
        <f t="array" ref="J23">index(pred_GDP_1qa!$C23:$Z23,1,match(min('Ens_1qa작업'!$C22:$Z22),'Ens_1qa작업'!$C22:$Z22,0))</f>
        <v>1.279181361</v>
      </c>
      <c r="K23" s="12">
        <f>AVERAGE('Ens_1qa작업2'!$C23:$Z23)</f>
        <v>0.799117715</v>
      </c>
      <c r="L23" s="12">
        <f>AVERAGE('Ens_1qa작업3'!$C23:$Z23)</f>
        <v>0.8375935472</v>
      </c>
      <c r="M23" s="12"/>
      <c r="N23" s="12">
        <f>percentile(pred_GDP_1qa!$C23:$Z23,0.1)</f>
        <v>0.2576195458</v>
      </c>
      <c r="O23" s="12">
        <f>percentile(pred_GDP_1qa!$C23:$Z23,0.25)</f>
        <v>0.398934</v>
      </c>
      <c r="P23" s="12">
        <f>percentile(pred_GDP_1qa!$C23:$Z23,0.5)</f>
        <v>0.89574391</v>
      </c>
      <c r="Q23" s="12">
        <f>percentile(pred_GDP_1qa!$C23:$Z23,0.75)</f>
        <v>1.044378</v>
      </c>
      <c r="R23" s="12">
        <f>percentile(pred_GDP_1qa!$C23:$Z23,0.9)</f>
        <v>1.240119876</v>
      </c>
      <c r="S23" s="13">
        <f t="shared" si="1"/>
        <v>0.9825003298</v>
      </c>
      <c r="T23" s="13">
        <f t="shared" si="2"/>
        <v>0.645444</v>
      </c>
    </row>
    <row r="24">
      <c r="A24" s="11">
        <v>202109.0</v>
      </c>
      <c r="B24" s="10">
        <v>0.1</v>
      </c>
      <c r="C24" s="12">
        <f>min(pred_GDP_1qa!$C24:$Z24)</f>
        <v>-0.3031223002</v>
      </c>
      <c r="D24" s="12">
        <f>MAX(pred_GDP_1qa!$C24:$Z24)</f>
        <v>1.51028272</v>
      </c>
      <c r="E24" s="12">
        <f>AVERAGE(pred_GDP_1qa!$C24:$Z24)</f>
        <v>0.6637073901</v>
      </c>
      <c r="F24" s="12">
        <f>MEDIAN(pred_GDP_1qa!$C24:$Z24)</f>
        <v>0.7022875415</v>
      </c>
      <c r="G24" s="14" t="str">
        <f t="array" ref="G24">index(pred_GDP_1qa!$C$1:$Z$1,1,match(MEDIAN(pred_GDP_1qa!$C23:$Z23),pred_GDP_1qa!$C23:$Z23))</f>
        <v>LQR</v>
      </c>
      <c r="H24" s="12">
        <f t="array" ref="H24">index(pred_GDP_1qa!$C24:$Z24,1,match(F23,pred_GDP_1qa!$C23:$Z23))</f>
        <v>0.6025</v>
      </c>
      <c r="I24" s="14" t="str">
        <f t="array" ref="I24">index(pred_GDP_1qa!$C$1:$Z$1,1,match(min('Ens_1qa작업'!$C23:$Z23),'Ens_1qa작업'!$C23:$Z23,0))</f>
        <v>S-XGB</v>
      </c>
      <c r="J24" s="12">
        <f t="array" ref="J24">index(pred_GDP_1qa!$C24:$Z24,1,match(min('Ens_1qa작업'!$C23:$Z23),'Ens_1qa작업'!$C23:$Z23,0))</f>
        <v>0.8240099549</v>
      </c>
      <c r="K24" s="12">
        <f>AVERAGE('Ens_1qa작업2'!$C24:$Z24)</f>
        <v>0.6760939961</v>
      </c>
      <c r="L24" s="12">
        <f>AVERAGE('Ens_1qa작업3'!$C24:$Z24)</f>
        <v>0.7683534797</v>
      </c>
      <c r="M24" s="12"/>
      <c r="N24" s="12">
        <f>percentile(pred_GDP_1qa!$C24:$Z24,0.1)</f>
        <v>0.1894570143</v>
      </c>
      <c r="O24" s="12">
        <f>percentile(pred_GDP_1qa!$C24:$Z24,0.25)</f>
        <v>0.373122</v>
      </c>
      <c r="P24" s="12">
        <f>percentile(pred_GDP_1qa!$C24:$Z24,0.5)</f>
        <v>0.7022875415</v>
      </c>
      <c r="Q24" s="12">
        <f>percentile(pred_GDP_1qa!$C24:$Z24,0.75)</f>
        <v>0.9</v>
      </c>
      <c r="R24" s="12">
        <f>percentile(pred_GDP_1qa!$C24:$Z24,0.9)</f>
        <v>1.254543907</v>
      </c>
      <c r="S24" s="13">
        <f t="shared" si="1"/>
        <v>1.065086893</v>
      </c>
      <c r="T24" s="13">
        <f t="shared" si="2"/>
        <v>0.526878</v>
      </c>
    </row>
    <row r="25">
      <c r="A25" s="11">
        <v>202112.0</v>
      </c>
      <c r="B25" s="10">
        <v>1.4</v>
      </c>
      <c r="C25" s="12">
        <f>min(pred_GDP_1qa!$C25:$Z25)</f>
        <v>0.106398</v>
      </c>
      <c r="D25" s="12">
        <f>MAX(pred_GDP_1qa!$C25:$Z25)</f>
        <v>1.26923158</v>
      </c>
      <c r="E25" s="12">
        <f>AVERAGE(pred_GDP_1qa!$C25:$Z25)</f>
        <v>0.554274265</v>
      </c>
      <c r="F25" s="12">
        <f>MEDIAN(pred_GDP_1qa!$C25:$Z25)</f>
        <v>0.5</v>
      </c>
      <c r="G25" s="14" t="str">
        <f t="array" ref="G25">index(pred_GDP_1qa!$C$1:$Z$1,1,match(MEDIAN(pred_GDP_1qa!$C24:$Z24),pred_GDP_1qa!$C24:$Z24))</f>
        <v>LQR</v>
      </c>
      <c r="H25" s="12">
        <f t="array" ref="H25">index(pred_GDP_1qa!$C25:$Z25,1,match(F24,pred_GDP_1qa!$C24:$Z24))</f>
        <v>0.745762</v>
      </c>
      <c r="I25" s="14" t="str">
        <f t="array" ref="I25">index(pred_GDP_1qa!$C$1:$Z$1,1,match(min('Ens_1qa작업'!$C24:$Z24),'Ens_1qa작업'!$C24:$Z24,0))</f>
        <v>T-M</v>
      </c>
      <c r="J25" s="12">
        <f t="array" ref="J25">index(pred_GDP_1qa!$C25:$Z25,1,match(min('Ens_1qa작업'!$C24:$Z24),'Ens_1qa작업'!$C24:$Z24,0))</f>
        <v>0.5983249471</v>
      </c>
      <c r="K25" s="12">
        <f>AVERAGE('Ens_1qa작업2'!$C25:$Z25)</f>
        <v>0.5240966358</v>
      </c>
      <c r="L25" s="12">
        <f>AVERAGE('Ens_1qa작업3'!$C25:$Z25)</f>
        <v>0.5377206898</v>
      </c>
      <c r="M25" s="12"/>
      <c r="N25" s="12">
        <f>percentile(pred_GDP_1qa!$C25:$Z25,0.1)</f>
        <v>0.237771</v>
      </c>
      <c r="O25" s="12">
        <f>percentile(pred_GDP_1qa!$C25:$Z25,0.25)</f>
        <v>0.3099367893</v>
      </c>
      <c r="P25" s="12">
        <f>percentile(pred_GDP_1qa!$C25:$Z25,0.5)</f>
        <v>0.5</v>
      </c>
      <c r="Q25" s="12">
        <f>percentile(pred_GDP_1qa!$C25:$Z25,0.75)</f>
        <v>0.6973843202</v>
      </c>
      <c r="R25" s="12">
        <f>percentile(pred_GDP_1qa!$C25:$Z25,0.9)</f>
        <v>0.937586</v>
      </c>
      <c r="S25" s="13">
        <f t="shared" si="1"/>
        <v>0.699815</v>
      </c>
      <c r="T25" s="13">
        <f t="shared" si="2"/>
        <v>0.3874475309</v>
      </c>
    </row>
    <row r="26">
      <c r="A26" s="11">
        <v>202203.0</v>
      </c>
      <c r="B26" s="10">
        <v>0.7</v>
      </c>
      <c r="C26" s="12">
        <f>min(pred_GDP_1qa!$C26:$Z26)</f>
        <v>0.2289103647</v>
      </c>
      <c r="D26" s="12">
        <f>MAX(pred_GDP_1qa!$C26:$Z26)</f>
        <v>1.56852992</v>
      </c>
      <c r="E26" s="12">
        <f>AVERAGE(pred_GDP_1qa!$C26:$Z26)</f>
        <v>0.7388562008</v>
      </c>
      <c r="F26" s="12">
        <f>MEDIAN(pred_GDP_1qa!$C26:$Z26)</f>
        <v>0.6818377423</v>
      </c>
      <c r="G26" s="14" t="str">
        <f t="array" ref="G26">index(pred_GDP_1qa!$C$1:$Z$1,1,match(MEDIAN(pred_GDP_1qa!$C25:$Z25),pred_GDP_1qa!$C25:$Z25))</f>
        <v>CRNN</v>
      </c>
      <c r="H26" s="12">
        <f t="array" ref="H26">index(pred_GDP_1qa!$C26:$Z26,1,match(F25,pred_GDP_1qa!$C25:$Z25))</f>
        <v>0.5</v>
      </c>
      <c r="I26" s="14" t="str">
        <f t="array" ref="I26">index(pred_GDP_1qa!$C$1:$Z$1,1,match(min('Ens_1qa작업'!$C25:$Z25),'Ens_1qa작업'!$C25:$Z25,0))</f>
        <v>VAR</v>
      </c>
      <c r="J26" s="12">
        <f t="array" ref="J26">index(pred_GDP_1qa!$C26:$Z26,1,match(min('Ens_1qa작업'!$C25:$Z25),'Ens_1qa작업'!$C25:$Z25,0))</f>
        <v>0.572933</v>
      </c>
      <c r="K26" s="12">
        <f>AVERAGE('Ens_1qa작업2'!$C26:$Z26)</f>
        <v>0.7862305298</v>
      </c>
      <c r="L26" s="12">
        <f>AVERAGE('Ens_1qa작업3'!$C26:$Z26)</f>
        <v>0.7827120506</v>
      </c>
      <c r="M26" s="12"/>
      <c r="N26" s="12">
        <f>percentile(pred_GDP_1qa!$C26:$Z26,0.1)</f>
        <v>0.3187508521</v>
      </c>
      <c r="O26" s="12">
        <f>percentile(pred_GDP_1qa!$C26:$Z26,0.25)</f>
        <v>0.572933</v>
      </c>
      <c r="P26" s="12">
        <f>percentile(pred_GDP_1qa!$C26:$Z26,0.5)</f>
        <v>0.6818377423</v>
      </c>
      <c r="Q26" s="12">
        <f>percentile(pred_GDP_1qa!$C26:$Z26,0.75)</f>
        <v>0.9011787549</v>
      </c>
      <c r="R26" s="12">
        <f>percentile(pred_GDP_1qa!$C26:$Z26,0.9)</f>
        <v>0.9382809436</v>
      </c>
      <c r="S26" s="13">
        <f t="shared" si="1"/>
        <v>0.6195300915</v>
      </c>
      <c r="T26" s="13">
        <f t="shared" si="2"/>
        <v>0.3282457549</v>
      </c>
    </row>
    <row r="27">
      <c r="A27" s="11">
        <v>202206.0</v>
      </c>
      <c r="B27" s="10">
        <v>0.8</v>
      </c>
      <c r="C27" s="12">
        <f>min(pred_GDP_1qa!$C27:$Z27)</f>
        <v>0.031349</v>
      </c>
      <c r="D27" s="12">
        <f>MAX(pred_GDP_1qa!$C27:$Z27)</f>
        <v>0.93684512</v>
      </c>
      <c r="E27" s="12">
        <f>AVERAGE(pred_GDP_1qa!$C27:$Z27)</f>
        <v>0.5912755825</v>
      </c>
      <c r="F27" s="12">
        <f>MEDIAN(pred_GDP_1qa!$C27:$Z27)</f>
        <v>0.6556564957</v>
      </c>
      <c r="G27" s="14" t="str">
        <f t="array" ref="G27">index(pred_GDP_1qa!$C$1:$Z$1,1,match(MEDIAN(pred_GDP_1qa!$C26:$Z26),pred_GDP_1qa!$C26:$Z26))</f>
        <v>RF-DVS</v>
      </c>
      <c r="H27" s="12">
        <f t="array" ref="H27">index(pred_GDP_1qa!$C27:$Z27,1,match(F26,pred_GDP_1qa!$C26:$Z26))</f>
        <v>0.6556564957</v>
      </c>
      <c r="I27" s="14" t="str">
        <f t="array" ref="I27">index(pred_GDP_1qa!$C$1:$Z$1,1,match(min('Ens_1qa작업'!$C26:$Z26),'Ens_1qa작업'!$C26:$Z26,0))</f>
        <v>LQR</v>
      </c>
      <c r="J27" s="12">
        <f t="array" ref="J27">index(pred_GDP_1qa!$C27:$Z27,1,match(min('Ens_1qa작업'!$C26:$Z26),'Ens_1qa작업'!$C26:$Z26,0))</f>
        <v>0.178326</v>
      </c>
      <c r="K27" s="12">
        <f>AVERAGE('Ens_1qa작업2'!$C27:$Z27)</f>
        <v>0.6421835942</v>
      </c>
      <c r="L27" s="12">
        <f>AVERAGE('Ens_1qa작업3'!$C27:$Z27)</f>
        <v>0.5394721185</v>
      </c>
      <c r="M27" s="12"/>
      <c r="N27" s="12">
        <f>percentile(pred_GDP_1qa!$C27:$Z27,0.1)</f>
        <v>0.1132444</v>
      </c>
      <c r="O27" s="12">
        <f>percentile(pred_GDP_1qa!$C27:$Z27,0.25)</f>
        <v>0.494463</v>
      </c>
      <c r="P27" s="12">
        <f>percentile(pred_GDP_1qa!$C27:$Z27,0.5)</f>
        <v>0.6556564957</v>
      </c>
      <c r="Q27" s="12">
        <f>percentile(pred_GDP_1qa!$C27:$Z27,0.75)</f>
        <v>0.8234522541</v>
      </c>
      <c r="R27" s="12">
        <f>percentile(pred_GDP_1qa!$C27:$Z27,0.9)</f>
        <v>0.8926683103</v>
      </c>
      <c r="S27" s="13">
        <f t="shared" si="1"/>
        <v>0.7794239103</v>
      </c>
      <c r="T27" s="13">
        <f t="shared" si="2"/>
        <v>0.3289892541</v>
      </c>
    </row>
    <row r="28">
      <c r="A28" s="11">
        <v>202209.0</v>
      </c>
      <c r="B28" s="10">
        <v>0.2</v>
      </c>
      <c r="C28" s="12">
        <f>min(pred_GDP_1qa!$C28:$Z28)</f>
        <v>-0.02288</v>
      </c>
      <c r="D28" s="12">
        <f>MAX(pred_GDP_1qa!$C28:$Z28)</f>
        <v>1.10883911</v>
      </c>
      <c r="E28" s="12">
        <f>AVERAGE(pred_GDP_1qa!$C28:$Z28)</f>
        <v>0.4096439983</v>
      </c>
      <c r="F28" s="12">
        <f>MEDIAN(pred_GDP_1qa!$C28:$Z28)</f>
        <v>0.342689</v>
      </c>
      <c r="G28" s="14" t="str">
        <f t="array" ref="G28">index(pred_GDP_1qa!$C$1:$Z$1,1,match(MEDIAN(pred_GDP_1qa!$C27:$Z27),pred_GDP_1qa!$C27:$Z27))</f>
        <v>LQR</v>
      </c>
      <c r="H28" s="12">
        <f t="array" ref="H28">index(pred_GDP_1qa!$C28:$Z28,1,match(F27,pred_GDP_1qa!$C27:$Z27))</f>
        <v>0.024278</v>
      </c>
      <c r="I28" s="14" t="str">
        <f t="array" ref="I28">index(pred_GDP_1qa!$C$1:$Z$1,1,match(min('Ens_1qa작업'!$C27:$Z27),'Ens_1qa작업'!$C27:$Z27,0))</f>
        <v>LQR</v>
      </c>
      <c r="J28" s="12">
        <f t="array" ref="J28">index(pred_GDP_1qa!$C28:$Z28,1,match(min('Ens_1qa작업'!$C27:$Z27),'Ens_1qa작업'!$C27:$Z27,0))</f>
        <v>0.024278</v>
      </c>
      <c r="K28" s="12">
        <f>AVERAGE('Ens_1qa작업2'!$C28:$Z28)</f>
        <v>0.1261631485</v>
      </c>
      <c r="L28" s="12">
        <f>AVERAGE('Ens_1qa작업3'!$C28:$Z28)</f>
        <v>0.1563654045</v>
      </c>
      <c r="M28" s="12"/>
      <c r="N28" s="12">
        <f>percentile(pred_GDP_1qa!$C28:$Z28,0.1)</f>
        <v>0.0279176</v>
      </c>
      <c r="O28" s="12">
        <f>percentile(pred_GDP_1qa!$C28:$Z28,0.25)</f>
        <v>0.07906615122</v>
      </c>
      <c r="P28" s="12">
        <f>percentile(pred_GDP_1qa!$C28:$Z28,0.5)</f>
        <v>0.342689</v>
      </c>
      <c r="Q28" s="12">
        <f>percentile(pred_GDP_1qa!$C28:$Z28,0.75)</f>
        <v>0.7</v>
      </c>
      <c r="R28" s="12">
        <f>percentile(pred_GDP_1qa!$C28:$Z28,0.9)</f>
        <v>0.9034151973</v>
      </c>
      <c r="S28" s="13">
        <f t="shared" si="1"/>
        <v>0.8754975973</v>
      </c>
      <c r="T28" s="13">
        <f t="shared" si="2"/>
        <v>0.6209338488</v>
      </c>
    </row>
    <row r="29">
      <c r="A29" s="11">
        <v>202212.0</v>
      </c>
      <c r="B29" s="10">
        <v>-0.3</v>
      </c>
      <c r="C29" s="12">
        <f>min(pred_GDP_1qa!$C29:$Z29)</f>
        <v>0.229872</v>
      </c>
      <c r="D29" s="12">
        <f>MAX(pred_GDP_1qa!$C29:$Z29)</f>
        <v>0.74323709</v>
      </c>
      <c r="E29" s="12">
        <f>AVERAGE(pred_GDP_1qa!$C29:$Z29)</f>
        <v>0.4837254577</v>
      </c>
      <c r="F29" s="12">
        <f>MEDIAN(pred_GDP_1qa!$C29:$Z29)</f>
        <v>0.491229</v>
      </c>
      <c r="G29" s="14" t="str">
        <f t="array" ref="G29">index(pred_GDP_1qa!$C$1:$Z$1,1,match(MEDIAN(pred_GDP_1qa!$C28:$Z28),pred_GDP_1qa!$C28:$Z28))</f>
        <v>VAR</v>
      </c>
      <c r="H29" s="12">
        <f t="array" ref="H29">index(pred_GDP_1qa!$C29:$Z29,1,match(F28,pred_GDP_1qa!$C28:$Z28))</f>
        <v>0.229872</v>
      </c>
      <c r="I29" s="14" t="str">
        <f t="array" ref="I29">index(pred_GDP_1qa!$C$1:$Z$1,1,match(min('Ens_1qa작업'!$C28:$Z28),'Ens_1qa작업'!$C28:$Z28,0))</f>
        <v>T-M</v>
      </c>
      <c r="J29" s="12">
        <f t="array" ref="J29">index(pred_GDP_1qa!$C29:$Z29,1,match(min('Ens_1qa작업'!$C28:$Z28),'Ens_1qa작업'!$C28:$Z28,0))</f>
        <v>0.4557275231</v>
      </c>
      <c r="K29" s="12">
        <f>AVERAGE('Ens_1qa작업2'!$C29:$Z29)</f>
        <v>0.5648113174</v>
      </c>
      <c r="L29" s="12">
        <f>AVERAGE('Ens_1qa작업3'!$C29:$Z29)</f>
        <v>0.5521535536</v>
      </c>
      <c r="M29" s="12"/>
      <c r="N29" s="12">
        <f>percentile(pred_GDP_1qa!$C29:$Z29,0.1)</f>
        <v>0.2467522748</v>
      </c>
      <c r="O29" s="12">
        <f>percentile(pred_GDP_1qa!$C29:$Z29,0.25)</f>
        <v>0.2997556789</v>
      </c>
      <c r="P29" s="12">
        <f>percentile(pred_GDP_1qa!$C29:$Z29,0.5)</f>
        <v>0.491229</v>
      </c>
      <c r="Q29" s="12">
        <f>percentile(pred_GDP_1qa!$C29:$Z29,0.75)</f>
        <v>0.6724416739</v>
      </c>
      <c r="R29" s="12">
        <f>percentile(pred_GDP_1qa!$C29:$Z29,0.9)</f>
        <v>0.6952733853</v>
      </c>
      <c r="S29" s="13">
        <f t="shared" si="1"/>
        <v>0.4485211104</v>
      </c>
      <c r="T29" s="13">
        <f t="shared" si="2"/>
        <v>0.372685995</v>
      </c>
    </row>
    <row r="30">
      <c r="A30" s="11">
        <v>202303.0</v>
      </c>
      <c r="B30" s="10">
        <v>0.3</v>
      </c>
      <c r="C30" s="12">
        <f>min(pred_GDP_1qa!$C30:$Z30)</f>
        <v>-0.284810353</v>
      </c>
      <c r="D30" s="12">
        <f>MAX(pred_GDP_1qa!$C30:$Z30)</f>
        <v>0.8937415531</v>
      </c>
      <c r="E30" s="12">
        <f>AVERAGE(pred_GDP_1qa!$C30:$Z30)</f>
        <v>0.3892003404</v>
      </c>
      <c r="F30" s="12">
        <f>MEDIAN(pred_GDP_1qa!$C30:$Z30)</f>
        <v>0.399041</v>
      </c>
      <c r="G30" s="14" t="str">
        <f t="array" ref="G30">index(pred_GDP_1qa!$C$1:$Z$1,1,match(MEDIAN(pred_GDP_1qa!$C29:$Z29),pred_GDP_1qa!$C29:$Z29))</f>
        <v>VAR</v>
      </c>
      <c r="H30" s="12">
        <f t="array" ref="H30">index(pred_GDP_1qa!$C30:$Z30,1,match(F29,pred_GDP_1qa!$C29:$Z29))</f>
        <v>-0.17197</v>
      </c>
      <c r="I30" s="14" t="str">
        <f t="array" ref="I30">index(pred_GDP_1qa!$C$1:$Z$1,1,match(min('Ens_1qa작업'!$C29:$Z29),'Ens_1qa작업'!$C29:$Z29,0))</f>
        <v>T-M</v>
      </c>
      <c r="J30" s="12"/>
      <c r="K30" s="12"/>
      <c r="L30" s="12"/>
      <c r="N30" s="12">
        <f>percentile(pred_GDP_1qa!$C30:$Z30,0.1)</f>
        <v>-0.1223606233</v>
      </c>
      <c r="O30" s="12">
        <f>percentile(pred_GDP_1qa!$C30:$Z30,0.25)</f>
        <v>0.324923</v>
      </c>
      <c r="P30" s="12">
        <f>percentile(pred_GDP_1qa!$C30:$Z30,0.5)</f>
        <v>0.399041</v>
      </c>
      <c r="Q30" s="12">
        <f>percentile(pred_GDP_1qa!$C30:$Z30,0.75)</f>
        <v>0.62314627</v>
      </c>
      <c r="R30" s="12">
        <f>percentile(pred_GDP_1qa!$C30:$Z30,0.9)</f>
        <v>0.7347561979</v>
      </c>
      <c r="S30" s="13">
        <f t="shared" si="1"/>
        <v>0.8571168213</v>
      </c>
      <c r="T30" s="13">
        <f t="shared" si="2"/>
        <v>0.29822327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9"/>
      <c r="B1" s="10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H1" s="2" t="s">
        <v>108</v>
      </c>
      <c r="J1" s="2" t="s">
        <v>110</v>
      </c>
      <c r="K1" s="2" t="s">
        <v>135</v>
      </c>
      <c r="L1" s="2" t="s">
        <v>135</v>
      </c>
      <c r="AB1" s="2" t="s">
        <v>133</v>
      </c>
      <c r="AC1" s="2" t="s">
        <v>134</v>
      </c>
    </row>
    <row r="2">
      <c r="A2" s="11">
        <v>201603.0</v>
      </c>
      <c r="B2" s="10">
        <v>0.3</v>
      </c>
      <c r="C2" s="12">
        <f>abs(pred_Ens_1qa!C2-pred_Ens_1qa!$B2)</f>
        <v>0.028101</v>
      </c>
      <c r="D2" s="12">
        <f>abs(pred_Ens_1qa!D2-pred_Ens_1qa!$B2)</f>
        <v>0.8203204393</v>
      </c>
      <c r="E2" s="12">
        <f>abs(pred_Ens_1qa!E2-pred_Ens_1qa!$B2)</f>
        <v>0.3466613703</v>
      </c>
      <c r="F2" s="12">
        <f>abs(pred_Ens_1qa!F2-pred_Ens_1qa!$B2)</f>
        <v>0.422176985</v>
      </c>
      <c r="G2" s="12"/>
      <c r="H2" s="12"/>
      <c r="I2" s="12"/>
      <c r="J2" s="12"/>
      <c r="M2" s="12"/>
      <c r="N2" s="12"/>
    </row>
    <row r="3">
      <c r="A3" s="11">
        <v>201606.0</v>
      </c>
      <c r="B3" s="10">
        <v>1.2</v>
      </c>
      <c r="C3" s="12">
        <f>abs(pred_Ens_1qa!C3-pred_Ens_1qa!$B3)</f>
        <v>1.23484</v>
      </c>
      <c r="D3" s="12">
        <f>abs(pred_Ens_1qa!D3-pred_Ens_1qa!$B3)</f>
        <v>0.0953063488</v>
      </c>
      <c r="E3" s="12">
        <f>abs(pred_Ens_1qa!E3-pred_Ens_1qa!$B3)</f>
        <v>0.4738357629</v>
      </c>
      <c r="F3" s="12">
        <f>abs(pred_Ens_1qa!F3-pred_Ens_1qa!$B3)</f>
        <v>0.4092652158</v>
      </c>
      <c r="G3" s="12"/>
      <c r="H3" s="12">
        <f>abs(pred_Ens_1qa!H3-pred_Ens_1qa!$B3)</f>
        <v>1.23484</v>
      </c>
      <c r="I3" s="12"/>
      <c r="J3" s="12"/>
      <c r="M3" s="12"/>
      <c r="N3" s="12"/>
    </row>
    <row r="4">
      <c r="A4" s="11">
        <v>201609.0</v>
      </c>
      <c r="B4" s="10">
        <v>0.4</v>
      </c>
      <c r="C4" s="12">
        <f>abs(pred_Ens_1qa!C4-pred_Ens_1qa!$B4)</f>
        <v>0.005793092989</v>
      </c>
      <c r="D4" s="12">
        <f>abs(pred_Ens_1qa!D4-pred_Ens_1qa!$B4)</f>
        <v>0.7350500584</v>
      </c>
      <c r="E4" s="12">
        <f>abs(pred_Ens_1qa!E4-pred_Ens_1qa!$B4)</f>
        <v>0.3098655732</v>
      </c>
      <c r="F4" s="12">
        <f>abs(pred_Ens_1qa!F4-pred_Ens_1qa!$B4)</f>
        <v>0.288193</v>
      </c>
      <c r="G4" s="12"/>
      <c r="H4" s="12">
        <f>abs(pred_Ens_1qa!H4-pred_Ens_1qa!$B4)</f>
        <v>0.288193</v>
      </c>
      <c r="I4" s="12"/>
      <c r="J4" s="12"/>
      <c r="M4" s="12"/>
      <c r="N4" s="12"/>
    </row>
    <row r="5">
      <c r="A5" s="11">
        <v>201612.0</v>
      </c>
      <c r="B5" s="10">
        <v>0.6</v>
      </c>
      <c r="C5" s="12">
        <f>abs(pred_Ens_1qa!C5-pred_Ens_1qa!$B5)</f>
        <v>0.359798</v>
      </c>
      <c r="D5" s="12">
        <f>abs(pred_Ens_1qa!D5-pred_Ens_1qa!$B5)</f>
        <v>0.6468637228</v>
      </c>
      <c r="E5" s="12">
        <f>abs(pred_Ens_1qa!E5-pred_Ens_1qa!$B5)</f>
        <v>0.03666506632</v>
      </c>
      <c r="F5" s="12">
        <f>abs(pred_Ens_1qa!F5-pred_Ens_1qa!$B5)</f>
        <v>0.0308</v>
      </c>
      <c r="G5" s="12"/>
      <c r="H5" s="12">
        <f>abs(pred_Ens_1qa!H5-pred_Ens_1qa!$B5)</f>
        <v>0.0308</v>
      </c>
      <c r="I5" s="12"/>
      <c r="J5" s="12"/>
      <c r="M5" s="12"/>
      <c r="N5" s="12"/>
    </row>
    <row r="6">
      <c r="A6" s="11">
        <v>201703.0</v>
      </c>
      <c r="B6" s="10">
        <v>1.0</v>
      </c>
      <c r="C6" s="12">
        <f>abs(pred_Ens_1qa!C6-pred_Ens_1qa!$B6)</f>
        <v>0.893081</v>
      </c>
      <c r="D6" s="12">
        <f>abs(pred_Ens_1qa!D6-pred_Ens_1qa!$B6)</f>
        <v>0.3430739952</v>
      </c>
      <c r="E6" s="12">
        <f>abs(pred_Ens_1qa!E6-pred_Ens_1qa!$B6)</f>
        <v>0.1334027521</v>
      </c>
      <c r="F6" s="12">
        <f>abs(pred_Ens_1qa!F6-pred_Ens_1qa!$B6)</f>
        <v>0.083911</v>
      </c>
      <c r="G6" s="12"/>
      <c r="H6" s="12">
        <f>abs(pred_Ens_1qa!H6-pred_Ens_1qa!$B6)</f>
        <v>0.014579</v>
      </c>
      <c r="I6" s="12"/>
      <c r="J6" s="12"/>
      <c r="M6" s="12"/>
      <c r="N6" s="12"/>
      <c r="AB6" s="15" t="str">
        <f t="shared" ref="AB6:AB29" si="1">index($C$1:$AA$1, match(min(C6:AA6),C6:AA6,0))</f>
        <v>Adaptive selection</v>
      </c>
      <c r="AC6" s="13">
        <f t="shared" ref="AC6:AC29" si="2">min(C6:AA6)</f>
        <v>0.014579</v>
      </c>
    </row>
    <row r="7">
      <c r="A7" s="11">
        <v>201706.0</v>
      </c>
      <c r="B7" s="10">
        <v>0.8</v>
      </c>
      <c r="C7" s="12">
        <f>abs(pred_Ens_1qa!C7-pred_Ens_1qa!$B7)</f>
        <v>1.158109222</v>
      </c>
      <c r="D7" s="12">
        <f>abs(pred_Ens_1qa!D7-pred_Ens_1qa!$B7)</f>
        <v>0.43765</v>
      </c>
      <c r="E7" s="12">
        <f>abs(pred_Ens_1qa!E7-pred_Ens_1qa!$B7)</f>
        <v>0.1315127143</v>
      </c>
      <c r="F7" s="12">
        <f>abs(pred_Ens_1qa!F7-pred_Ens_1qa!$B7)</f>
        <v>0.09238201</v>
      </c>
      <c r="G7" s="12"/>
      <c r="H7" s="12">
        <f>abs(pred_Ens_1qa!H7-pred_Ens_1qa!$B7)</f>
        <v>0.390114656</v>
      </c>
      <c r="I7" s="12"/>
      <c r="J7" s="12">
        <f>abs(pred_Ens_1qa!J7-pred_Ens_1qa!$B7)</f>
        <v>0.390114656</v>
      </c>
      <c r="K7" s="12">
        <f>abs(pred_Ens_1qa!K7-pred_Ens_1qa!$B7)</f>
        <v>0.2698938113</v>
      </c>
      <c r="L7" s="12">
        <f>abs(pred_Ens_1qa!L7-pred_Ens_1qa!$B7)</f>
        <v>0.6261642927</v>
      </c>
      <c r="M7" s="12"/>
      <c r="N7" s="12"/>
      <c r="AB7" s="15" t="str">
        <f t="shared" si="1"/>
        <v>Median</v>
      </c>
      <c r="AC7" s="13">
        <f t="shared" si="2"/>
        <v>0.09238201</v>
      </c>
    </row>
    <row r="8">
      <c r="A8" s="11">
        <v>201709.0</v>
      </c>
      <c r="B8" s="10">
        <v>1.4</v>
      </c>
      <c r="C8" s="12">
        <f>abs(pred_Ens_1qa!C8-pred_Ens_1qa!$B8)</f>
        <v>1.275315</v>
      </c>
      <c r="D8" s="12">
        <f>abs(pred_Ens_1qa!D8-pred_Ens_1qa!$B8)</f>
        <v>0.181433</v>
      </c>
      <c r="E8" s="12">
        <f>abs(pred_Ens_1qa!E8-pred_Ens_1qa!$B8)</f>
        <v>0.7087514815</v>
      </c>
      <c r="F8" s="12">
        <f>abs(pred_Ens_1qa!F8-pred_Ens_1qa!$B8)</f>
        <v>0.6836020964</v>
      </c>
      <c r="G8" s="12"/>
      <c r="H8" s="12">
        <f>abs(pred_Ens_1qa!H8-pred_Ens_1qa!$B8)</f>
        <v>0.9476589755</v>
      </c>
      <c r="I8" s="12"/>
      <c r="J8" s="12">
        <f>abs(pred_Ens_1qa!J8-pred_Ens_1qa!$B8)</f>
        <v>0.899292</v>
      </c>
      <c r="K8" s="12">
        <f>abs(pred_Ens_1qa!K8-pred_Ens_1qa!$B8)</f>
        <v>0.8072176144</v>
      </c>
      <c r="L8" s="12">
        <f>abs(pred_Ens_1qa!L8-pred_Ens_1qa!$B8)</f>
        <v>0.8435176906</v>
      </c>
      <c r="M8" s="12"/>
      <c r="N8" s="12"/>
      <c r="AB8" s="15" t="str">
        <f t="shared" si="1"/>
        <v>Max</v>
      </c>
      <c r="AC8" s="13">
        <f t="shared" si="2"/>
        <v>0.181433</v>
      </c>
    </row>
    <row r="9">
      <c r="A9" s="11">
        <v>201712.0</v>
      </c>
      <c r="B9" s="10">
        <v>-0.3</v>
      </c>
      <c r="C9" s="12">
        <f>abs(pred_Ens_1qa!C9-pred_Ens_1qa!$B9)</f>
        <v>0.384091</v>
      </c>
      <c r="D9" s="12">
        <f>abs(pred_Ens_1qa!D9-pred_Ens_1qa!$B9)</f>
        <v>1.547796416</v>
      </c>
      <c r="E9" s="12">
        <f>abs(pred_Ens_1qa!E9-pred_Ens_1qa!$B9)</f>
        <v>1.038516905</v>
      </c>
      <c r="F9" s="12">
        <f>abs(pred_Ens_1qa!F9-pred_Ens_1qa!$B9)</f>
        <v>1.149378</v>
      </c>
      <c r="G9" s="12"/>
      <c r="H9" s="12">
        <f>abs(pred_Ens_1qa!H9-pred_Ens_1qa!$B9)</f>
        <v>0.8096688741</v>
      </c>
      <c r="I9" s="12"/>
      <c r="J9" s="12">
        <f>abs(pred_Ens_1qa!J9-pred_Ens_1qa!$B9)</f>
        <v>1.149378</v>
      </c>
      <c r="K9" s="12">
        <f>abs(pred_Ens_1qa!K9-pred_Ens_1qa!$B9)</f>
        <v>0.9543498193</v>
      </c>
      <c r="L9" s="12">
        <f>abs(pred_Ens_1qa!L9-pred_Ens_1qa!$B9)</f>
        <v>1.053726032</v>
      </c>
      <c r="M9" s="12"/>
      <c r="N9" s="12"/>
      <c r="AB9" s="15" t="str">
        <f t="shared" si="1"/>
        <v>Min</v>
      </c>
      <c r="AC9" s="13">
        <f t="shared" si="2"/>
        <v>0.384091</v>
      </c>
    </row>
    <row r="10">
      <c r="A10" s="11">
        <v>201803.0</v>
      </c>
      <c r="B10" s="10">
        <v>1.3</v>
      </c>
      <c r="C10" s="12">
        <f>abs(pred_Ens_1qa!C10-pred_Ens_1qa!$B10)</f>
        <v>1.093543</v>
      </c>
      <c r="D10" s="12">
        <f>abs(pred_Ens_1qa!D10-pred_Ens_1qa!$B10)</f>
        <v>0.2</v>
      </c>
      <c r="E10" s="12">
        <f>abs(pred_Ens_1qa!E10-pred_Ens_1qa!$B10)</f>
        <v>0.5605458955</v>
      </c>
      <c r="F10" s="12">
        <f>abs(pred_Ens_1qa!F10-pred_Ens_1qa!$B10)</f>
        <v>0.527525</v>
      </c>
      <c r="G10" s="12"/>
      <c r="H10" s="12">
        <f>abs(pred_Ens_1qa!H10-pred_Ens_1qa!$B10)</f>
        <v>0.751219</v>
      </c>
      <c r="I10" s="12"/>
      <c r="J10" s="12">
        <f>abs(pred_Ens_1qa!J10-pred_Ens_1qa!$B10)</f>
        <v>0.751219</v>
      </c>
      <c r="K10" s="12">
        <f>abs(pred_Ens_1qa!K10-pred_Ens_1qa!$B10)</f>
        <v>0.5176960443</v>
      </c>
      <c r="L10" s="12">
        <f>abs(pred_Ens_1qa!L10-pred_Ens_1qa!$B10)</f>
        <v>0.4849930261</v>
      </c>
      <c r="M10" s="12"/>
      <c r="N10" s="12"/>
      <c r="AB10" s="15" t="str">
        <f t="shared" si="1"/>
        <v>Max</v>
      </c>
      <c r="AC10" s="13">
        <f t="shared" si="2"/>
        <v>0.2</v>
      </c>
    </row>
    <row r="11">
      <c r="A11" s="11">
        <v>201806.0</v>
      </c>
      <c r="B11" s="10">
        <v>0.7</v>
      </c>
      <c r="C11" s="12">
        <f>abs(pred_Ens_1qa!C11-pred_Ens_1qa!$B11)</f>
        <v>0.428534</v>
      </c>
      <c r="D11" s="12">
        <f>abs(pred_Ens_1qa!D11-pred_Ens_1qa!$B11)</f>
        <v>0.302659</v>
      </c>
      <c r="E11" s="12">
        <f>abs(pred_Ens_1qa!E11-pred_Ens_1qa!$B11)</f>
        <v>0.1101002283</v>
      </c>
      <c r="F11" s="12">
        <f>abs(pred_Ens_1qa!F11-pred_Ens_1qa!$B11)</f>
        <v>0.1</v>
      </c>
      <c r="G11" s="12"/>
      <c r="H11" s="12">
        <f>abs(pred_Ens_1qa!H11-pred_Ens_1qa!$B11)</f>
        <v>0.302659</v>
      </c>
      <c r="I11" s="12"/>
      <c r="J11" s="12">
        <f>abs(pred_Ens_1qa!J11-pred_Ens_1qa!$B11)</f>
        <v>0.1849597989</v>
      </c>
      <c r="K11" s="12">
        <f>abs(pred_Ens_1qa!K11-pred_Ens_1qa!$B11)</f>
        <v>0.07400479578</v>
      </c>
      <c r="L11" s="12">
        <f>abs(pred_Ens_1qa!L11-pred_Ens_1qa!$B11)</f>
        <v>0.103511993</v>
      </c>
      <c r="M11" s="12"/>
      <c r="N11" s="12"/>
      <c r="AB11" s="15" t="str">
        <f t="shared" si="1"/>
        <v>Adaptive top2 1y</v>
      </c>
      <c r="AC11" s="13">
        <f t="shared" si="2"/>
        <v>0.07400479578</v>
      </c>
    </row>
    <row r="12">
      <c r="A12" s="11">
        <v>201809.0</v>
      </c>
      <c r="B12" s="10">
        <v>0.6</v>
      </c>
      <c r="C12" s="12">
        <f>abs(pred_Ens_1qa!C12-pred_Ens_1qa!$B12)</f>
        <v>0.402032</v>
      </c>
      <c r="D12" s="12">
        <f>abs(pred_Ens_1qa!D12-pred_Ens_1qa!$B12)</f>
        <v>0.8617551565</v>
      </c>
      <c r="E12" s="12">
        <f>abs(pred_Ens_1qa!E12-pred_Ens_1qa!$B12)</f>
        <v>0.1956922891</v>
      </c>
      <c r="F12" s="12">
        <f>abs(pred_Ens_1qa!F12-pred_Ens_1qa!$B12)</f>
        <v>0.1957078641</v>
      </c>
      <c r="G12" s="12"/>
      <c r="H12" s="12">
        <f>abs(pred_Ens_1qa!H12-pred_Ens_1qa!$B12)</f>
        <v>0.02087222987</v>
      </c>
      <c r="I12" s="12"/>
      <c r="J12" s="12">
        <f>abs(pred_Ens_1qa!J12-pred_Ens_1qa!$B12)</f>
        <v>0.1957078641</v>
      </c>
      <c r="K12" s="12">
        <f>abs(pred_Ens_1qa!K12-pred_Ens_1qa!$B12)</f>
        <v>0.3040541301</v>
      </c>
      <c r="L12" s="12">
        <f>abs(pred_Ens_1qa!L12-pred_Ens_1qa!$B12)</f>
        <v>0.2169288314</v>
      </c>
      <c r="M12" s="12"/>
      <c r="N12" s="12"/>
      <c r="AB12" s="15" t="str">
        <f t="shared" si="1"/>
        <v>Adaptive selection</v>
      </c>
      <c r="AC12" s="13">
        <f t="shared" si="2"/>
        <v>0.02087222987</v>
      </c>
    </row>
    <row r="13">
      <c r="A13" s="11">
        <v>201812.0</v>
      </c>
      <c r="B13" s="10">
        <v>0.6</v>
      </c>
      <c r="C13" s="12">
        <f>abs(pred_Ens_1qa!C13-pred_Ens_1qa!$B13)</f>
        <v>0.5048</v>
      </c>
      <c r="D13" s="12">
        <f>abs(pred_Ens_1qa!D13-pred_Ens_1qa!$B13)</f>
        <v>0.370054</v>
      </c>
      <c r="E13" s="12">
        <f>abs(pred_Ens_1qa!E13-pred_Ens_1qa!$B13)</f>
        <v>0.01871154407</v>
      </c>
      <c r="F13" s="12">
        <f>abs(pred_Ens_1qa!F13-pred_Ens_1qa!$B13)</f>
        <v>0.06785624981</v>
      </c>
      <c r="G13" s="12"/>
      <c r="H13" s="12">
        <f>abs(pred_Ens_1qa!H13-pred_Ens_1qa!$B13)</f>
        <v>0.370054</v>
      </c>
      <c r="I13" s="12"/>
      <c r="J13" s="12">
        <f>abs(pred_Ens_1qa!J13-pred_Ens_1qa!$B13)</f>
        <v>0.06785624981</v>
      </c>
      <c r="K13" s="12">
        <f>abs(pred_Ens_1qa!K13-pred_Ens_1qa!$B13)</f>
        <v>0.0007514599628</v>
      </c>
      <c r="L13" s="12">
        <f>abs(pred_Ens_1qa!L13-pred_Ens_1qa!$B13)</f>
        <v>0.07353843327</v>
      </c>
      <c r="M13" s="12"/>
      <c r="N13" s="12"/>
      <c r="AB13" s="15" t="str">
        <f t="shared" si="1"/>
        <v>Adaptive top2 1y</v>
      </c>
      <c r="AC13" s="13">
        <f t="shared" si="2"/>
        <v>0.0007514599628</v>
      </c>
    </row>
    <row r="14">
      <c r="A14" s="11">
        <v>201903.0</v>
      </c>
      <c r="B14" s="10">
        <v>-0.1</v>
      </c>
      <c r="C14" s="12">
        <f>abs(pred_Ens_1qa!C14-pred_Ens_1qa!$B14)</f>
        <v>0.4249372297</v>
      </c>
      <c r="D14" s="12">
        <f>abs(pred_Ens_1qa!D14-pred_Ens_1qa!$B14)</f>
        <v>0.8</v>
      </c>
      <c r="E14" s="12">
        <f>abs(pred_Ens_1qa!E14-pred_Ens_1qa!$B14)</f>
        <v>0.5015567712</v>
      </c>
      <c r="F14" s="12">
        <f>abs(pred_Ens_1qa!F14-pred_Ens_1qa!$B14)</f>
        <v>0.6622048445</v>
      </c>
      <c r="G14" s="12"/>
      <c r="H14" s="12">
        <f>abs(pred_Ens_1qa!H14-pred_Ens_1qa!$B14)</f>
        <v>0.7892892872</v>
      </c>
      <c r="I14" s="12"/>
      <c r="J14" s="12">
        <f>abs(pred_Ens_1qa!J14-pred_Ens_1qa!$B14)</f>
        <v>0.349530522</v>
      </c>
      <c r="K14" s="12">
        <f>abs(pred_Ens_1qa!K14-pred_Ens_1qa!$B14)</f>
        <v>0.3285167159</v>
      </c>
      <c r="L14" s="12">
        <f>abs(pred_Ens_1qa!L14-pred_Ens_1qa!$B14)</f>
        <v>0.426077174</v>
      </c>
      <c r="M14" s="12"/>
      <c r="N14" s="12"/>
      <c r="AB14" s="15" t="str">
        <f t="shared" si="1"/>
        <v>Adaptive top2 1y</v>
      </c>
      <c r="AC14" s="13">
        <f t="shared" si="2"/>
        <v>0.3285167159</v>
      </c>
    </row>
    <row r="15">
      <c r="A15" s="11">
        <v>201906.0</v>
      </c>
      <c r="B15" s="10">
        <v>1.1</v>
      </c>
      <c r="C15" s="12">
        <f>abs(pred_Ens_1qa!C15-pred_Ens_1qa!$B15)</f>
        <v>1.39079</v>
      </c>
      <c r="D15" s="12">
        <f>abs(pred_Ens_1qa!D15-pred_Ens_1qa!$B15)</f>
        <v>0.1099923794</v>
      </c>
      <c r="E15" s="12">
        <f>abs(pred_Ens_1qa!E15-pred_Ens_1qa!$B15)</f>
        <v>0.5283046484</v>
      </c>
      <c r="F15" s="12">
        <f>abs(pred_Ens_1qa!F15-pred_Ens_1qa!$B15)</f>
        <v>0.465795</v>
      </c>
      <c r="G15" s="12"/>
      <c r="H15" s="12">
        <f>abs(pred_Ens_1qa!H15-pred_Ens_1qa!$B15)</f>
        <v>0.4817856376</v>
      </c>
      <c r="I15" s="12"/>
      <c r="J15" s="12">
        <f>abs(pred_Ens_1qa!J15-pred_Ens_1qa!$B15)</f>
        <v>0.427509</v>
      </c>
      <c r="K15" s="12">
        <f>abs(pred_Ens_1qa!K15-pred_Ens_1qa!$B15)</f>
        <v>0.5014842426</v>
      </c>
      <c r="L15" s="12">
        <f>abs(pred_Ens_1qa!L15-pred_Ens_1qa!$B15)</f>
        <v>0.4980975277</v>
      </c>
      <c r="M15" s="12"/>
      <c r="N15" s="12"/>
      <c r="AB15" s="15" t="str">
        <f t="shared" si="1"/>
        <v>Max</v>
      </c>
      <c r="AC15" s="13">
        <f t="shared" si="2"/>
        <v>0.1099923794</v>
      </c>
    </row>
    <row r="16">
      <c r="A16" s="11">
        <v>201909.0</v>
      </c>
      <c r="B16" s="10">
        <v>0.4</v>
      </c>
      <c r="C16" s="12">
        <f>abs(pred_Ens_1qa!C16-pred_Ens_1qa!$B16)</f>
        <v>0.2</v>
      </c>
      <c r="D16" s="12">
        <f>abs(pred_Ens_1qa!D16-pred_Ens_1qa!$B16)</f>
        <v>0.6588374138</v>
      </c>
      <c r="E16" s="12">
        <f>abs(pred_Ens_1qa!E16-pred_Ens_1qa!$B16)</f>
        <v>0.1803263449</v>
      </c>
      <c r="F16" s="12">
        <f>abs(pred_Ens_1qa!F16-pred_Ens_1qa!$B16)</f>
        <v>0.1905915314</v>
      </c>
      <c r="G16" s="12"/>
      <c r="H16" s="12">
        <f>abs(pred_Ens_1qa!H16-pred_Ens_1qa!$B16)</f>
        <v>0.1842240764</v>
      </c>
      <c r="I16" s="12"/>
      <c r="J16" s="12">
        <f>abs(pred_Ens_1qa!J16-pred_Ens_1qa!$B16)</f>
        <v>0.203259</v>
      </c>
      <c r="K16" s="12">
        <f>abs(pred_Ens_1qa!K16-pred_Ens_1qa!$B16)</f>
        <v>0.2006996907</v>
      </c>
      <c r="L16" s="12">
        <f>abs(pred_Ens_1qa!L16-pred_Ens_1qa!$B16)</f>
        <v>0.1936912994</v>
      </c>
      <c r="M16" s="12"/>
      <c r="N16" s="12"/>
      <c r="AB16" s="15" t="str">
        <f t="shared" si="1"/>
        <v>Avg</v>
      </c>
      <c r="AC16" s="13">
        <f t="shared" si="2"/>
        <v>0.1803263449</v>
      </c>
    </row>
    <row r="17">
      <c r="A17" s="11">
        <v>201912.0</v>
      </c>
      <c r="B17" s="10">
        <v>1.2</v>
      </c>
      <c r="C17" s="12">
        <f>abs(pred_Ens_1qa!C17-pred_Ens_1qa!$B17)</f>
        <v>1.025501</v>
      </c>
      <c r="D17" s="12">
        <f>abs(pred_Ens_1qa!D17-pred_Ens_1qa!$B17)</f>
        <v>0.5895944693</v>
      </c>
      <c r="E17" s="12">
        <f>abs(pred_Ens_1qa!E17-pred_Ens_1qa!$B17)</f>
        <v>0.4107062042</v>
      </c>
      <c r="F17" s="12">
        <f>abs(pred_Ens_1qa!F17-pred_Ens_1qa!$B17)</f>
        <v>0.507693</v>
      </c>
      <c r="G17" s="12"/>
      <c r="H17" s="12">
        <f>abs(pred_Ens_1qa!H17-pred_Ens_1qa!$B17)</f>
        <v>0.5</v>
      </c>
      <c r="I17" s="12"/>
      <c r="J17" s="12">
        <f>abs(pred_Ens_1qa!J17-pred_Ens_1qa!$B17)</f>
        <v>0.522489</v>
      </c>
      <c r="K17" s="12">
        <f>abs(pred_Ens_1qa!K17-pred_Ens_1qa!$B17)</f>
        <v>0.3992306766</v>
      </c>
      <c r="L17" s="12">
        <f>abs(pred_Ens_1qa!L17-pred_Ens_1qa!$B17)</f>
        <v>0.5148736163</v>
      </c>
      <c r="M17" s="12"/>
      <c r="N17" s="12"/>
      <c r="AB17" s="15" t="str">
        <f t="shared" si="1"/>
        <v>Adaptive top2 1y</v>
      </c>
      <c r="AC17" s="13">
        <f t="shared" si="2"/>
        <v>0.3992306766</v>
      </c>
    </row>
    <row r="18">
      <c r="A18" s="11">
        <v>202003.0</v>
      </c>
      <c r="B18" s="10">
        <v>-1.3</v>
      </c>
      <c r="C18" s="12">
        <f>abs(pred_Ens_1qa!C18-pred_Ens_1qa!$B18)</f>
        <v>1.329684</v>
      </c>
      <c r="D18" s="12">
        <f>abs(pred_Ens_1qa!D18-pred_Ens_1qa!$B18)</f>
        <v>2.263146695</v>
      </c>
      <c r="E18" s="12">
        <f>abs(pred_Ens_1qa!E18-pred_Ens_1qa!$B18)</f>
        <v>1.863639267</v>
      </c>
      <c r="F18" s="12">
        <f>abs(pred_Ens_1qa!F18-pred_Ens_1qa!$B18)</f>
        <v>1.849058</v>
      </c>
      <c r="G18" s="12"/>
      <c r="H18" s="12">
        <f>abs(pred_Ens_1qa!H18-pred_Ens_1qa!$B18)</f>
        <v>1.709247</v>
      </c>
      <c r="I18" s="12"/>
      <c r="J18" s="12">
        <f>abs(pred_Ens_1qa!J18-pred_Ens_1qa!$B18)</f>
        <v>2.263146695</v>
      </c>
      <c r="K18" s="12">
        <f>abs(pred_Ens_1qa!K18-pred_Ens_1qa!$B18)</f>
        <v>1.909250989</v>
      </c>
      <c r="L18" s="12">
        <f>abs(pred_Ens_1qa!L18-pred_Ens_1qa!$B18)</f>
        <v>2.049723622</v>
      </c>
      <c r="M18" s="12"/>
      <c r="N18" s="12"/>
      <c r="AB18" s="15" t="str">
        <f t="shared" si="1"/>
        <v>Min</v>
      </c>
      <c r="AC18" s="13">
        <f t="shared" si="2"/>
        <v>1.329684</v>
      </c>
    </row>
    <row r="19">
      <c r="A19" s="11">
        <v>202006.0</v>
      </c>
      <c r="B19" s="10">
        <v>-3.0</v>
      </c>
      <c r="C19" s="12">
        <f>abs(pred_Ens_1qa!C19-pred_Ens_1qa!$B19)</f>
        <v>0.1941332817</v>
      </c>
      <c r="D19" s="12">
        <f>abs(pred_Ens_1qa!D19-pred_Ens_1qa!$B19)</f>
        <v>3.844390981</v>
      </c>
      <c r="E19" s="12">
        <f>abs(pred_Ens_1qa!E19-pred_Ens_1qa!$B19)</f>
        <v>2.74690074</v>
      </c>
      <c r="F19" s="12">
        <f>abs(pred_Ens_1qa!F19-pred_Ens_1qa!$B19)</f>
        <v>3.025082</v>
      </c>
      <c r="G19" s="12"/>
      <c r="H19" s="12">
        <f>abs(pred_Ens_1qa!H19-pred_Ens_1qa!$B19)</f>
        <v>3.7</v>
      </c>
      <c r="I19" s="12"/>
      <c r="J19" s="12">
        <f>abs(pred_Ens_1qa!J19-pred_Ens_1qa!$B19)</f>
        <v>2.684548121</v>
      </c>
      <c r="K19" s="12">
        <f>abs(pred_Ens_1qa!K19-pred_Ens_1qa!$B19)</f>
        <v>2.338658585</v>
      </c>
      <c r="L19" s="12">
        <f>abs(pred_Ens_1qa!L19-pred_Ens_1qa!$B19)</f>
        <v>2.072940975</v>
      </c>
      <c r="M19" s="12"/>
      <c r="N19" s="12"/>
      <c r="AB19" s="15" t="str">
        <f t="shared" si="1"/>
        <v>Min</v>
      </c>
      <c r="AC19" s="13">
        <f t="shared" si="2"/>
        <v>0.1941332817</v>
      </c>
    </row>
    <row r="20">
      <c r="A20" s="11">
        <v>202009.0</v>
      </c>
      <c r="B20" s="10">
        <v>2.3</v>
      </c>
      <c r="C20" s="12">
        <f>abs(pred_Ens_1qa!C20-pred_Ens_1qa!$B20)</f>
        <v>3.73354</v>
      </c>
      <c r="D20" s="12">
        <f>abs(pred_Ens_1qa!D20-pred_Ens_1qa!$B20)</f>
        <v>0.320179003</v>
      </c>
      <c r="E20" s="12">
        <f>abs(pred_Ens_1qa!E20-pred_Ens_1qa!$B20)</f>
        <v>1.64215172</v>
      </c>
      <c r="F20" s="12">
        <f>abs(pred_Ens_1qa!F20-pred_Ens_1qa!$B20)</f>
        <v>1.247367</v>
      </c>
      <c r="G20" s="12"/>
      <c r="H20" s="12">
        <f>abs(pred_Ens_1qa!H20-pred_Ens_1qa!$B20)</f>
        <v>0.8440509955</v>
      </c>
      <c r="I20" s="12"/>
      <c r="J20" s="12">
        <f>abs(pred_Ens_1qa!J20-pred_Ens_1qa!$B20)</f>
        <v>0.320179003</v>
      </c>
      <c r="K20" s="12">
        <f>abs(pred_Ens_1qa!K20-pred_Ens_1qa!$B20)</f>
        <v>1.232376443</v>
      </c>
      <c r="L20" s="12">
        <f>abs(pred_Ens_1qa!L20-pred_Ens_1qa!$B20)</f>
        <v>0.7320247056</v>
      </c>
      <c r="M20" s="12"/>
      <c r="N20" s="12"/>
      <c r="AB20" s="15" t="str">
        <f t="shared" si="1"/>
        <v>Max</v>
      </c>
      <c r="AC20" s="13">
        <f t="shared" si="2"/>
        <v>0.320179003</v>
      </c>
    </row>
    <row r="21">
      <c r="A21" s="11">
        <v>202012.0</v>
      </c>
      <c r="B21" s="10">
        <v>1.3</v>
      </c>
      <c r="C21" s="12">
        <f>abs(pred_Ens_1qa!C21-pred_Ens_1qa!$B21)</f>
        <v>1.6</v>
      </c>
      <c r="D21" s="12">
        <f>abs(pred_Ens_1qa!D21-pred_Ens_1qa!$B21)</f>
        <v>0.6701052374</v>
      </c>
      <c r="E21" s="12">
        <f>abs(pred_Ens_1qa!E21-pred_Ens_1qa!$B21)</f>
        <v>0.5021315899</v>
      </c>
      <c r="F21" s="12">
        <f>abs(pred_Ens_1qa!F21-pred_Ens_1qa!$B21)</f>
        <v>0.324197</v>
      </c>
      <c r="G21" s="12"/>
      <c r="H21" s="12">
        <f>abs(pred_Ens_1qa!H21-pred_Ens_1qa!$B21)</f>
        <v>1.6</v>
      </c>
      <c r="I21" s="12"/>
      <c r="J21" s="12">
        <f>abs(pred_Ens_1qa!J21-pred_Ens_1qa!$B21)</f>
        <v>0.223748374</v>
      </c>
      <c r="K21" s="12">
        <f>abs(pred_Ens_1qa!K21-pred_Ens_1qa!$B21)</f>
        <v>0.02843069609</v>
      </c>
      <c r="L21" s="12">
        <f>abs(pred_Ens_1qa!L21-pred_Ens_1qa!$B21)</f>
        <v>0.076199919</v>
      </c>
      <c r="M21" s="12"/>
      <c r="N21" s="12"/>
      <c r="AB21" s="15" t="str">
        <f t="shared" si="1"/>
        <v>Adaptive top2 1y</v>
      </c>
      <c r="AC21" s="13">
        <f t="shared" si="2"/>
        <v>0.02843069609</v>
      </c>
    </row>
    <row r="22">
      <c r="A22" s="11">
        <v>202103.0</v>
      </c>
      <c r="B22" s="10">
        <v>1.8</v>
      </c>
      <c r="C22" s="12">
        <f>abs(pred_Ens_1qa!C22-pred_Ens_1qa!$B22)</f>
        <v>1.638223</v>
      </c>
      <c r="D22" s="12">
        <f>abs(pred_Ens_1qa!D22-pred_Ens_1qa!$B22)</f>
        <v>0.3190980019</v>
      </c>
      <c r="E22" s="12">
        <f>abs(pred_Ens_1qa!E22-pred_Ens_1qa!$B22)</f>
        <v>0.9357658682</v>
      </c>
      <c r="F22" s="12">
        <f>abs(pred_Ens_1qa!F22-pred_Ens_1qa!$B22)</f>
        <v>0.9157304645</v>
      </c>
      <c r="G22" s="12"/>
      <c r="H22" s="12">
        <f>abs(pred_Ens_1qa!H22-pred_Ens_1qa!$B22)</f>
        <v>1.058925</v>
      </c>
      <c r="I22" s="12"/>
      <c r="J22" s="12">
        <f>abs(pred_Ens_1qa!J22-pred_Ens_1qa!$B22)</f>
        <v>0.9157304645</v>
      </c>
      <c r="K22" s="12">
        <f>abs(pred_Ens_1qa!K22-pred_Ens_1qa!$B22)</f>
        <v>0.9901484154</v>
      </c>
      <c r="L22" s="12">
        <f>abs(pred_Ens_1qa!L22-pred_Ens_1qa!$B22)</f>
        <v>0.8084309372</v>
      </c>
      <c r="M22" s="12"/>
      <c r="N22" s="12"/>
      <c r="AB22" s="15" t="str">
        <f t="shared" si="1"/>
        <v>Max</v>
      </c>
      <c r="AC22" s="13">
        <f t="shared" si="2"/>
        <v>0.3190980019</v>
      </c>
    </row>
    <row r="23">
      <c r="A23" s="11">
        <v>202106.0</v>
      </c>
      <c r="B23" s="10">
        <v>0.9</v>
      </c>
      <c r="C23" s="12">
        <f>abs(pred_Ens_1qa!C23-pred_Ens_1qa!$B23)</f>
        <v>1.205899213</v>
      </c>
      <c r="D23" s="12">
        <f>abs(pred_Ens_1qa!D23-pred_Ens_1qa!$B23)</f>
        <v>0.6394984938</v>
      </c>
      <c r="E23" s="12">
        <f>abs(pred_Ens_1qa!E23-pred_Ens_1qa!$B23)</f>
        <v>0.1614447753</v>
      </c>
      <c r="F23" s="12">
        <f>abs(pred_Ens_1qa!F23-pred_Ens_1qa!$B23)</f>
        <v>0.00425609</v>
      </c>
      <c r="G23" s="12"/>
      <c r="H23" s="12">
        <f>abs(pred_Ens_1qa!H23-pred_Ens_1qa!$B23)</f>
        <v>0.501066</v>
      </c>
      <c r="I23" s="12"/>
      <c r="J23" s="12">
        <f>abs(pred_Ens_1qa!J23-pred_Ens_1qa!$B23)</f>
        <v>0.3791813612</v>
      </c>
      <c r="K23" s="12">
        <f>abs(pred_Ens_1qa!K23-pred_Ens_1qa!$B23)</f>
        <v>0.100882285</v>
      </c>
      <c r="L23" s="12">
        <f>abs(pred_Ens_1qa!L23-pred_Ens_1qa!$B23)</f>
        <v>0.06240645283</v>
      </c>
      <c r="M23" s="12"/>
      <c r="N23" s="12"/>
      <c r="AB23" s="15" t="str">
        <f t="shared" si="1"/>
        <v>Median</v>
      </c>
      <c r="AC23" s="13">
        <f t="shared" si="2"/>
        <v>0.00425609</v>
      </c>
    </row>
    <row r="24">
      <c r="A24" s="11">
        <v>202109.0</v>
      </c>
      <c r="B24" s="10">
        <v>0.1</v>
      </c>
      <c r="C24" s="12">
        <f>abs(pred_Ens_1qa!C24-pred_Ens_1qa!$B24)</f>
        <v>0.4031223002</v>
      </c>
      <c r="D24" s="12">
        <f>abs(pred_Ens_1qa!D24-pred_Ens_1qa!$B24)</f>
        <v>1.41028272</v>
      </c>
      <c r="E24" s="12">
        <f>abs(pred_Ens_1qa!E24-pred_Ens_1qa!$B24)</f>
        <v>0.5637073901</v>
      </c>
      <c r="F24" s="12">
        <f>abs(pred_Ens_1qa!F24-pred_Ens_1qa!$B24)</f>
        <v>0.6022875415</v>
      </c>
      <c r="G24" s="12"/>
      <c r="H24" s="12">
        <f>abs(pred_Ens_1qa!H24-pred_Ens_1qa!$B24)</f>
        <v>0.5025</v>
      </c>
      <c r="I24" s="12"/>
      <c r="J24" s="12">
        <f>abs(pred_Ens_1qa!J24-pred_Ens_1qa!$B24)</f>
        <v>0.7240099549</v>
      </c>
      <c r="K24" s="12">
        <f>abs(pred_Ens_1qa!K24-pred_Ens_1qa!$B24)</f>
        <v>0.5760939961</v>
      </c>
      <c r="L24" s="12">
        <f>abs(pred_Ens_1qa!L24-pred_Ens_1qa!$B24)</f>
        <v>0.6683534797</v>
      </c>
      <c r="M24" s="12"/>
      <c r="N24" s="12"/>
      <c r="AB24" s="15" t="str">
        <f t="shared" si="1"/>
        <v>Min</v>
      </c>
      <c r="AC24" s="13">
        <f t="shared" si="2"/>
        <v>0.4031223002</v>
      </c>
    </row>
    <row r="25">
      <c r="A25" s="11">
        <v>202112.0</v>
      </c>
      <c r="B25" s="10">
        <v>1.4</v>
      </c>
      <c r="C25" s="12">
        <f>abs(pred_Ens_1qa!C25-pred_Ens_1qa!$B25)</f>
        <v>1.293602</v>
      </c>
      <c r="D25" s="12">
        <f>abs(pred_Ens_1qa!D25-pred_Ens_1qa!$B25)</f>
        <v>0.13076842</v>
      </c>
      <c r="E25" s="12">
        <f>abs(pred_Ens_1qa!E25-pred_Ens_1qa!$B25)</f>
        <v>0.845725735</v>
      </c>
      <c r="F25" s="12">
        <f>abs(pred_Ens_1qa!F25-pred_Ens_1qa!$B25)</f>
        <v>0.9</v>
      </c>
      <c r="G25" s="12"/>
      <c r="H25" s="12">
        <f>abs(pred_Ens_1qa!H25-pred_Ens_1qa!$B25)</f>
        <v>0.654238</v>
      </c>
      <c r="I25" s="12"/>
      <c r="J25" s="12">
        <f>abs(pred_Ens_1qa!J25-pred_Ens_1qa!$B25)</f>
        <v>0.8016750529</v>
      </c>
      <c r="K25" s="12">
        <f>abs(pred_Ens_1qa!K25-pred_Ens_1qa!$B25)</f>
        <v>0.8759033642</v>
      </c>
      <c r="L25" s="12">
        <f>abs(pred_Ens_1qa!L25-pred_Ens_1qa!$B25)</f>
        <v>0.8622793102</v>
      </c>
      <c r="M25" s="12"/>
      <c r="N25" s="12"/>
      <c r="AB25" s="15" t="str">
        <f t="shared" si="1"/>
        <v>Max</v>
      </c>
      <c r="AC25" s="13">
        <f t="shared" si="2"/>
        <v>0.13076842</v>
      </c>
    </row>
    <row r="26">
      <c r="A26" s="11">
        <v>202203.0</v>
      </c>
      <c r="B26" s="10">
        <v>0.7</v>
      </c>
      <c r="C26" s="12">
        <f>abs(pred_Ens_1qa!C26-pred_Ens_1qa!$B26)</f>
        <v>0.4710896353</v>
      </c>
      <c r="D26" s="12">
        <f>abs(pred_Ens_1qa!D26-pred_Ens_1qa!$B26)</f>
        <v>0.86852992</v>
      </c>
      <c r="E26" s="12">
        <f>abs(pred_Ens_1qa!E26-pred_Ens_1qa!$B26)</f>
        <v>0.03885620076</v>
      </c>
      <c r="F26" s="12">
        <f>abs(pred_Ens_1qa!F26-pred_Ens_1qa!$B26)</f>
        <v>0.0181622577</v>
      </c>
      <c r="G26" s="12"/>
      <c r="H26" s="12">
        <f>abs(pred_Ens_1qa!H26-pred_Ens_1qa!$B26)</f>
        <v>0.2</v>
      </c>
      <c r="I26" s="12"/>
      <c r="J26" s="12">
        <f>abs(pred_Ens_1qa!J26-pred_Ens_1qa!$B26)</f>
        <v>0.127067</v>
      </c>
      <c r="K26" s="12">
        <f>abs(pred_Ens_1qa!K26-pred_Ens_1qa!$B26)</f>
        <v>0.08623052978</v>
      </c>
      <c r="L26" s="12">
        <f>abs(pred_Ens_1qa!L26-pred_Ens_1qa!$B26)</f>
        <v>0.08271205057</v>
      </c>
      <c r="M26" s="12"/>
      <c r="N26" s="12"/>
      <c r="AB26" s="15" t="str">
        <f t="shared" si="1"/>
        <v>Median</v>
      </c>
      <c r="AC26" s="13">
        <f t="shared" si="2"/>
        <v>0.0181622577</v>
      </c>
    </row>
    <row r="27">
      <c r="A27" s="11">
        <v>202206.0</v>
      </c>
      <c r="B27" s="10">
        <v>0.8</v>
      </c>
      <c r="C27" s="12">
        <f>abs(pred_Ens_1qa!C27-pred_Ens_1qa!$B27)</f>
        <v>0.768651</v>
      </c>
      <c r="D27" s="12">
        <f>abs(pred_Ens_1qa!D27-pred_Ens_1qa!$B27)</f>
        <v>0.13684512</v>
      </c>
      <c r="E27" s="12">
        <f>abs(pred_Ens_1qa!E27-pred_Ens_1qa!$B27)</f>
        <v>0.2087244175</v>
      </c>
      <c r="F27" s="12">
        <f>abs(pred_Ens_1qa!F27-pred_Ens_1qa!$B27)</f>
        <v>0.1443435043</v>
      </c>
      <c r="G27" s="12"/>
      <c r="H27" s="12">
        <f>abs(pred_Ens_1qa!H27-pred_Ens_1qa!$B27)</f>
        <v>0.1443435043</v>
      </c>
      <c r="I27" s="12"/>
      <c r="J27" s="12">
        <f>abs(pred_Ens_1qa!J27-pred_Ens_1qa!$B27)</f>
        <v>0.621674</v>
      </c>
      <c r="K27" s="12">
        <f>abs(pred_Ens_1qa!K27-pred_Ens_1qa!$B27)</f>
        <v>0.1578164058</v>
      </c>
      <c r="L27" s="12">
        <f>abs(pred_Ens_1qa!L27-pred_Ens_1qa!$B27)</f>
        <v>0.2605278815</v>
      </c>
      <c r="M27" s="12"/>
      <c r="N27" s="12"/>
      <c r="AB27" s="15" t="str">
        <f t="shared" si="1"/>
        <v>Max</v>
      </c>
      <c r="AC27" s="13">
        <f t="shared" si="2"/>
        <v>0.13684512</v>
      </c>
    </row>
    <row r="28">
      <c r="A28" s="11">
        <v>202209.0</v>
      </c>
      <c r="B28" s="10">
        <v>0.2</v>
      </c>
      <c r="C28" s="12">
        <f>abs(pred_Ens_1qa!C28-pred_Ens_1qa!$B28)</f>
        <v>0.22288</v>
      </c>
      <c r="D28" s="12">
        <f>abs(pred_Ens_1qa!D28-pred_Ens_1qa!$B28)</f>
        <v>0.90883911</v>
      </c>
      <c r="E28" s="12">
        <f>abs(pred_Ens_1qa!E28-pred_Ens_1qa!$B28)</f>
        <v>0.2096439983</v>
      </c>
      <c r="F28" s="12">
        <f>abs(pred_Ens_1qa!F28-pred_Ens_1qa!$B28)</f>
        <v>0.142689</v>
      </c>
      <c r="G28" s="12"/>
      <c r="H28" s="12">
        <f>abs(pred_Ens_1qa!H28-pred_Ens_1qa!$B28)</f>
        <v>0.175722</v>
      </c>
      <c r="I28" s="12"/>
      <c r="J28" s="12">
        <f>abs(pred_Ens_1qa!J28-pred_Ens_1qa!$B28)</f>
        <v>0.175722</v>
      </c>
      <c r="K28" s="12">
        <f>abs(pred_Ens_1qa!K28-pred_Ens_1qa!$B28)</f>
        <v>0.07383685148</v>
      </c>
      <c r="L28" s="12">
        <f>abs(pred_Ens_1qa!L28-pred_Ens_1qa!$B28)</f>
        <v>0.04363459554</v>
      </c>
      <c r="M28" s="12"/>
      <c r="N28" s="12"/>
      <c r="AB28" s="15" t="str">
        <f t="shared" si="1"/>
        <v>Adaptive top2 1y</v>
      </c>
      <c r="AC28" s="13">
        <f t="shared" si="2"/>
        <v>0.04363459554</v>
      </c>
    </row>
    <row r="29">
      <c r="A29" s="11">
        <v>202212.0</v>
      </c>
      <c r="B29" s="10">
        <v>-0.3</v>
      </c>
      <c r="C29" s="12">
        <f>abs(pred_Ens_1qa!C29-pred_Ens_1qa!$B29)</f>
        <v>0.529872</v>
      </c>
      <c r="D29" s="12">
        <f>abs(pred_Ens_1qa!D29-pred_Ens_1qa!$B29)</f>
        <v>1.04323709</v>
      </c>
      <c r="E29" s="12">
        <f>abs(pred_Ens_1qa!E29-pred_Ens_1qa!$B29)</f>
        <v>0.7837254577</v>
      </c>
      <c r="F29" s="12">
        <f>abs(pred_Ens_1qa!F29-pred_Ens_1qa!$B29)</f>
        <v>0.791229</v>
      </c>
      <c r="G29" s="12"/>
      <c r="H29" s="12">
        <f>abs(pred_Ens_1qa!H29-pred_Ens_1qa!$B29)</f>
        <v>0.529872</v>
      </c>
      <c r="I29" s="12"/>
      <c r="J29" s="12">
        <f>abs(pred_Ens_1qa!J29-pred_Ens_1qa!$B29)</f>
        <v>0.7557275231</v>
      </c>
      <c r="K29" s="12">
        <f>abs(pred_Ens_1qa!K29-pred_Ens_1qa!$B29)</f>
        <v>0.8648113174</v>
      </c>
      <c r="L29" s="12">
        <f>abs(pred_Ens_1qa!L29-pred_Ens_1qa!$B29)</f>
        <v>0.8521535536</v>
      </c>
      <c r="M29" s="12"/>
      <c r="N29" s="12"/>
      <c r="AB29" s="15" t="str">
        <f t="shared" si="1"/>
        <v>Min</v>
      </c>
      <c r="AC29" s="13">
        <f t="shared" si="2"/>
        <v>0.529872</v>
      </c>
    </row>
    <row r="30">
      <c r="A30" s="11">
        <v>202303.0</v>
      </c>
      <c r="B30" s="10">
        <v>0.3</v>
      </c>
      <c r="C30" s="12">
        <f>abs(pred_Ens_1qa!C30-pred_Ens_1qa!$B30)</f>
        <v>0.584810353</v>
      </c>
      <c r="D30" s="12">
        <f>abs(pred_Ens_1qa!D30-pred_Ens_1qa!$B30)</f>
        <v>0.5937415531</v>
      </c>
      <c r="E30" s="12">
        <f>abs(pred_Ens_1qa!E30-pred_Ens_1qa!$B30)</f>
        <v>0.08920034037</v>
      </c>
      <c r="F30" s="12">
        <f>abs(pred_Ens_1qa!F30-pred_Ens_1qa!$B30)</f>
        <v>0.099041</v>
      </c>
      <c r="G30" s="12"/>
      <c r="H30" s="12">
        <f>abs(pred_Ens_1qa!H30-pred_Ens_1qa!$B30)</f>
        <v>0.47197</v>
      </c>
      <c r="J30" s="12"/>
      <c r="K30" s="12"/>
      <c r="L30" s="12"/>
    </row>
    <row r="31">
      <c r="K31" s="13"/>
      <c r="L31" s="13"/>
    </row>
    <row r="32">
      <c r="B32" s="2" t="s">
        <v>118</v>
      </c>
      <c r="C32" s="13">
        <f t="shared" ref="C32:F32" si="3">AVERAGE(C2:C30)</f>
        <v>0.8546473217</v>
      </c>
      <c r="D32" s="13">
        <f t="shared" si="3"/>
        <v>0.7534154739</v>
      </c>
      <c r="E32" s="13">
        <f t="shared" si="3"/>
        <v>0.5612680362</v>
      </c>
      <c r="F32" s="13">
        <f t="shared" si="3"/>
        <v>0.549673264</v>
      </c>
      <c r="H32" s="13">
        <f>AVERAGE(H2:H30)</f>
        <v>0.6859961513</v>
      </c>
      <c r="J32" s="13">
        <f t="shared" ref="J32:L32" si="4">AVERAGE(J2:J30)</f>
        <v>0.6579880278</v>
      </c>
      <c r="K32" s="13">
        <f t="shared" si="4"/>
        <v>0.5909712556</v>
      </c>
      <c r="L32" s="13">
        <f t="shared" si="4"/>
        <v>0.5915872782</v>
      </c>
      <c r="AC32" s="13">
        <f>AVERAGE(AC2:AC30)</f>
        <v>0.2268485574</v>
      </c>
    </row>
    <row r="33">
      <c r="B33" s="2" t="s">
        <v>119</v>
      </c>
      <c r="C33" s="13">
        <f t="shared" ref="C33:F33" si="5">(sumsq(C2:C30)/count(C2:C30))^(0.5)</f>
        <v>1.119335794</v>
      </c>
      <c r="D33" s="13">
        <f t="shared" si="5"/>
        <v>1.064035299</v>
      </c>
      <c r="E33" s="13">
        <f t="shared" si="5"/>
        <v>0.8256282263</v>
      </c>
      <c r="F33" s="13">
        <f t="shared" si="5"/>
        <v>0.839423273</v>
      </c>
      <c r="G33" s="13"/>
      <c r="H33" s="13">
        <f>(sumsq(H2:H30)/count(H2:H30))^(0.5)</f>
        <v>0.996051168</v>
      </c>
      <c r="J33" s="13">
        <f t="shared" ref="J33:L33" si="6">(sumsq(J2:J30)/count(J2:J30))^(0.5)</f>
        <v>0.91313427</v>
      </c>
      <c r="K33" s="13">
        <f t="shared" si="6"/>
        <v>0.8358727471</v>
      </c>
      <c r="L33" s="13">
        <f t="shared" si="6"/>
        <v>0.8058259623</v>
      </c>
      <c r="AC33" s="13">
        <f>(sumsq(AC2:AC30)/count(AC2:AC30))^(0.5)</f>
        <v>0.3558600247</v>
      </c>
    </row>
    <row r="34">
      <c r="B34" s="2" t="s">
        <v>120</v>
      </c>
      <c r="C34" s="13">
        <f t="shared" ref="C34:F34" si="7">MAX(C2:C30)</f>
        <v>3.73354</v>
      </c>
      <c r="D34" s="13">
        <f t="shared" si="7"/>
        <v>3.844390981</v>
      </c>
      <c r="E34" s="13">
        <f t="shared" si="7"/>
        <v>2.74690074</v>
      </c>
      <c r="F34" s="13">
        <f t="shared" si="7"/>
        <v>3.025082</v>
      </c>
      <c r="H34" s="13">
        <f>MAX(H2:H30)</f>
        <v>3.7</v>
      </c>
      <c r="J34" s="13">
        <f t="shared" ref="J34:L34" si="8">MAX(J2:J30)</f>
        <v>2.684548121</v>
      </c>
      <c r="K34" s="13">
        <f t="shared" si="8"/>
        <v>2.338658585</v>
      </c>
      <c r="L34" s="13">
        <f t="shared" si="8"/>
        <v>2.072940975</v>
      </c>
      <c r="AC34" s="13">
        <f>MAX(AC2:AC30)</f>
        <v>1.329684</v>
      </c>
    </row>
    <row r="36">
      <c r="B36" s="2" t="s">
        <v>118</v>
      </c>
      <c r="C36" s="13">
        <f t="shared" ref="C36:F36" si="9">AVERAGE(C7:C30)</f>
        <v>0.9276316348</v>
      </c>
      <c r="D36" s="13">
        <f t="shared" si="9"/>
        <v>0.8003514242</v>
      </c>
      <c r="E36" s="13">
        <f t="shared" si="9"/>
        <v>0.6240142719</v>
      </c>
      <c r="F36" s="13">
        <f t="shared" si="9"/>
        <v>0.6127574356</v>
      </c>
      <c r="H36" s="13">
        <f>AVERAGE(H7:H30)</f>
        <v>0.7349783432</v>
      </c>
      <c r="J36" s="13">
        <f t="shared" ref="J36:L36" si="10">AVERAGE(J7:J30)</f>
        <v>0.6579880278</v>
      </c>
      <c r="K36" s="13">
        <f t="shared" si="10"/>
        <v>0.5909712556</v>
      </c>
      <c r="L36" s="13">
        <f t="shared" si="10"/>
        <v>0.5915872782</v>
      </c>
    </row>
    <row r="37">
      <c r="B37" s="2" t="s">
        <v>119</v>
      </c>
      <c r="C37" s="13">
        <f t="shared" ref="C37:F37" si="11">(sumsq(C7:C30)/count(C7:C30))^(0.5)</f>
        <v>1.188166737</v>
      </c>
      <c r="D37" s="13">
        <f t="shared" si="11"/>
        <v>1.137880384</v>
      </c>
      <c r="E37" s="13">
        <f t="shared" si="11"/>
        <v>0.8969472612</v>
      </c>
      <c r="F37" s="13">
        <f t="shared" si="11"/>
        <v>0.912814676</v>
      </c>
      <c r="H37" s="13">
        <f>(sumsq(H7:H30)/count(H7:H30))^(0.5)</f>
        <v>1.044235282</v>
      </c>
      <c r="J37" s="13">
        <f t="shared" ref="J37:L37" si="12">(sumsq(J7:J30)/count(J7:J30))^(0.5)</f>
        <v>0.91313427</v>
      </c>
      <c r="K37" s="13">
        <f t="shared" si="12"/>
        <v>0.8358727471</v>
      </c>
      <c r="L37" s="13">
        <f t="shared" si="12"/>
        <v>0.8058259623</v>
      </c>
    </row>
    <row r="38">
      <c r="B38" s="2" t="s">
        <v>120</v>
      </c>
      <c r="C38" s="13">
        <f t="shared" ref="C38:F38" si="13">MAX(C7:C30)</f>
        <v>3.73354</v>
      </c>
      <c r="D38" s="13">
        <f t="shared" si="13"/>
        <v>3.844390981</v>
      </c>
      <c r="E38" s="13">
        <f t="shared" si="13"/>
        <v>2.74690074</v>
      </c>
      <c r="F38" s="13">
        <f t="shared" si="13"/>
        <v>3.025082</v>
      </c>
      <c r="H38" s="13">
        <f>MAX(H7:H30)</f>
        <v>3.7</v>
      </c>
      <c r="J38" s="13">
        <f t="shared" ref="J38:L38" si="14">MAX(J7:J30)</f>
        <v>2.684548121</v>
      </c>
      <c r="K38" s="13">
        <f t="shared" si="14"/>
        <v>2.338658585</v>
      </c>
      <c r="L38" s="13">
        <f t="shared" si="14"/>
        <v>2.072940975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9"/>
      <c r="B1" s="10" t="s">
        <v>102</v>
      </c>
      <c r="C1" s="2" t="s">
        <v>121</v>
      </c>
      <c r="D1" s="2" t="s">
        <v>122</v>
      </c>
      <c r="E1" s="2" t="s">
        <v>123</v>
      </c>
      <c r="F1" s="2" t="s">
        <v>124</v>
      </c>
      <c r="H1" s="2" t="s">
        <v>76</v>
      </c>
      <c r="I1" s="2" t="s">
        <v>56</v>
      </c>
      <c r="J1" s="2" t="s">
        <v>125</v>
      </c>
      <c r="K1" s="2" t="s">
        <v>126</v>
      </c>
      <c r="L1" s="2" t="s">
        <v>127</v>
      </c>
      <c r="M1" s="2" t="s">
        <v>128</v>
      </c>
      <c r="O1" s="2" t="s">
        <v>129</v>
      </c>
      <c r="P1" s="2" t="s">
        <v>130</v>
      </c>
      <c r="Q1" s="2" t="s">
        <v>131</v>
      </c>
      <c r="R1" s="2" t="s">
        <v>132</v>
      </c>
      <c r="AA1" s="2" t="s">
        <v>87</v>
      </c>
      <c r="AB1" s="2" t="s">
        <v>133</v>
      </c>
      <c r="AC1" s="2" t="s">
        <v>134</v>
      </c>
    </row>
    <row r="2">
      <c r="A2" s="11">
        <v>201603.0</v>
      </c>
      <c r="B2" s="10">
        <v>0.3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2"/>
      <c r="N2" s="12"/>
    </row>
    <row r="3">
      <c r="A3" s="11">
        <v>201606.0</v>
      </c>
      <c r="B3" s="10">
        <v>1.2</v>
      </c>
      <c r="C3" s="12"/>
      <c r="D3" s="12"/>
      <c r="E3" s="12"/>
      <c r="F3" s="12"/>
      <c r="G3" s="12"/>
      <c r="H3" s="12"/>
      <c r="I3" s="12"/>
      <c r="J3" s="12"/>
      <c r="K3" s="12"/>
      <c r="L3" s="13"/>
      <c r="M3" s="12"/>
      <c r="N3" s="12"/>
    </row>
    <row r="4">
      <c r="A4" s="11">
        <v>201609.0</v>
      </c>
      <c r="B4" s="10">
        <v>0.4</v>
      </c>
      <c r="C4" s="12"/>
      <c r="D4" s="12"/>
      <c r="E4" s="12"/>
      <c r="F4" s="12"/>
      <c r="G4" s="12"/>
      <c r="H4" s="12"/>
      <c r="I4" s="12"/>
      <c r="J4" s="12"/>
      <c r="K4" s="12"/>
      <c r="L4" s="13"/>
      <c r="M4" s="12"/>
      <c r="N4" s="12"/>
    </row>
    <row r="5">
      <c r="A5" s="11">
        <v>201612.0</v>
      </c>
      <c r="B5" s="10">
        <v>0.6</v>
      </c>
      <c r="C5" s="12"/>
      <c r="D5" s="12"/>
      <c r="E5" s="12"/>
      <c r="F5" s="12"/>
      <c r="G5" s="12"/>
      <c r="H5" s="12"/>
      <c r="I5" s="12"/>
      <c r="J5" s="12"/>
      <c r="K5" s="12"/>
      <c r="L5" s="13"/>
      <c r="M5" s="12"/>
      <c r="N5" s="12"/>
    </row>
    <row r="6">
      <c r="A6" s="11">
        <v>201703.0</v>
      </c>
      <c r="B6" s="10">
        <v>1.0</v>
      </c>
      <c r="C6" s="12">
        <f>average(err_GDP_1qa!C2:C5)</f>
        <v>0.3607368367</v>
      </c>
      <c r="D6" s="12">
        <f>average(err_GDP_1qa!D2:D5)</f>
        <v>0.2358996667</v>
      </c>
      <c r="E6" s="12">
        <f>average(err_GDP_1qa!E2:E5)</f>
        <v>0.2775506667</v>
      </c>
      <c r="F6" s="12">
        <f>average(err_GDP_1qa!F2:F5)</f>
        <v>0.373097264</v>
      </c>
      <c r="G6" s="12"/>
      <c r="H6" s="12"/>
      <c r="I6" s="12">
        <f>average(err_GDP_1qa!I2:I5)</f>
        <v>0.2710138052</v>
      </c>
      <c r="J6" s="12">
        <f>average(err_GDP_1qa!J2:J5)</f>
        <v>0.2566664361</v>
      </c>
      <c r="K6" s="12">
        <f>average(err_GDP_1qa!K2:K5)</f>
        <v>0.5363586667</v>
      </c>
      <c r="L6" s="12">
        <f>average(err_GDP_1qa!L2:L5)</f>
        <v>0.1793679872</v>
      </c>
      <c r="M6" s="12"/>
      <c r="N6" s="12"/>
      <c r="O6" s="12">
        <f>average(err_GDP_1qa!O2:O5)</f>
        <v>0.1618896832</v>
      </c>
      <c r="P6" s="12">
        <f>average(err_GDP_1qa!P2:P5)</f>
        <v>0.49240671</v>
      </c>
      <c r="Q6" s="12">
        <f>average(err_GDP_1qa!Q2:Q5)</f>
        <v>0.2896953333</v>
      </c>
      <c r="R6" s="12"/>
      <c r="S6" s="12"/>
      <c r="T6" s="12"/>
      <c r="U6" s="12"/>
      <c r="V6" s="12"/>
      <c r="W6" s="12"/>
      <c r="X6" s="12"/>
      <c r="Y6" s="12"/>
      <c r="Z6" s="12"/>
      <c r="AA6" s="12">
        <f>average(err_GDP_1qa!AA2:AA5)</f>
        <v>0.407060079</v>
      </c>
      <c r="AB6" s="15" t="str">
        <f t="shared" ref="AB6:AB29" si="1">index($C$1:$AA$1, match(min(C6:AA6),C6:AA6,0))</f>
        <v>RF-DVS</v>
      </c>
      <c r="AC6" s="13">
        <f t="shared" ref="AC6:AC29" si="2">min(C6:AA6)</f>
        <v>0.1618896832</v>
      </c>
    </row>
    <row r="7">
      <c r="A7" s="11">
        <v>201706.0</v>
      </c>
      <c r="B7" s="10">
        <v>0.8</v>
      </c>
      <c r="C7" s="12">
        <f>average(err_GDP_1qa!C3:C6)</f>
        <v>0.2929662</v>
      </c>
      <c r="D7" s="12">
        <f>average(err_GDP_1qa!D3:D6)</f>
        <v>0.1979025</v>
      </c>
      <c r="E7" s="12">
        <f>average(err_GDP_1qa!E3:E6)</f>
        <v>0.2387915</v>
      </c>
      <c r="F7" s="12">
        <f>average(err_GDP_1qa!F3:F6)</f>
        <v>0.3333721659</v>
      </c>
      <c r="G7" s="12"/>
      <c r="H7" s="12"/>
      <c r="I7" s="12">
        <f>average(err_GDP_1qa!I3:I6)</f>
        <v>0.2890288527</v>
      </c>
      <c r="J7" s="12">
        <f>average(err_GDP_1qa!J3:J6)</f>
        <v>0.2170878659</v>
      </c>
      <c r="K7" s="12">
        <f>average(err_GDP_1qa!K3:K6)</f>
        <v>0.62553925</v>
      </c>
      <c r="L7" s="12">
        <f>average(err_GDP_1qa!L3:L6)</f>
        <v>0.3385667428</v>
      </c>
      <c r="M7" s="12"/>
      <c r="N7" s="12"/>
      <c r="O7" s="12">
        <f>average(err_GDP_1qa!O3:O6)</f>
        <v>0.2020108939</v>
      </c>
      <c r="P7" s="12">
        <f>average(err_GDP_1qa!P3:P6)</f>
        <v>0.42986058</v>
      </c>
      <c r="Q7" s="12">
        <f>average(err_GDP_1qa!Q3:Q6)</f>
        <v>0.22091625</v>
      </c>
      <c r="R7" s="12"/>
      <c r="S7" s="12"/>
      <c r="T7" s="12"/>
      <c r="U7" s="12"/>
      <c r="V7" s="12"/>
      <c r="W7" s="12"/>
      <c r="X7" s="12"/>
      <c r="Y7" s="12"/>
      <c r="Z7" s="12"/>
      <c r="AA7" s="12">
        <f>average(err_GDP_1qa!AA3:AA6)</f>
        <v>0.414291039</v>
      </c>
      <c r="AB7" s="15" t="str">
        <f t="shared" si="1"/>
        <v>BEM1</v>
      </c>
      <c r="AC7" s="13">
        <f t="shared" si="2"/>
        <v>0.1979025</v>
      </c>
    </row>
    <row r="8">
      <c r="A8" s="11">
        <v>201709.0</v>
      </c>
      <c r="B8" s="10">
        <v>1.4</v>
      </c>
      <c r="C8" s="12">
        <f>average(err_GDP_1qa!C4:C7)</f>
        <v>0.14652959</v>
      </c>
      <c r="D8" s="12">
        <f>average(err_GDP_1qa!D4:D7)</f>
        <v>0.15090375</v>
      </c>
      <c r="E8" s="12">
        <f>average(err_GDP_1qa!E4:E7)</f>
        <v>0.17850975</v>
      </c>
      <c r="F8" s="12">
        <f>average(err_GDP_1qa!F4:F7)</f>
        <v>0.150179096</v>
      </c>
      <c r="G8" s="12"/>
      <c r="H8" s="12"/>
      <c r="I8" s="12">
        <f>average(err_GDP_1qa!I4:I7)</f>
        <v>0.3207064808</v>
      </c>
      <c r="J8" s="12">
        <f>average(err_GDP_1qa!J4:J7)</f>
        <v>0.2340144256</v>
      </c>
      <c r="K8" s="12">
        <f>average(err_GDP_1qa!K4:K7)</f>
        <v>0.41516725</v>
      </c>
      <c r="L8" s="12">
        <f>average(err_GDP_1qa!L4:L7)</f>
        <v>0.542073623</v>
      </c>
      <c r="M8" s="12"/>
      <c r="N8" s="12"/>
      <c r="O8" s="12">
        <f>average(err_GDP_1qa!O4:O7)</f>
        <v>0.197223254</v>
      </c>
      <c r="P8" s="12">
        <f>average(err_GDP_1qa!P4:P7)</f>
        <v>0.4563367248</v>
      </c>
      <c r="Q8" s="12">
        <f>average(err_GDP_1qa!Q4:Q7)</f>
        <v>0.08875475</v>
      </c>
      <c r="R8" s="12"/>
      <c r="S8" s="12"/>
      <c r="T8" s="12"/>
      <c r="U8" s="12"/>
      <c r="V8" s="12"/>
      <c r="W8" s="12"/>
      <c r="X8" s="12"/>
      <c r="Y8" s="12"/>
      <c r="Z8" s="12"/>
      <c r="AA8" s="12">
        <f>average(err_GDP_1qa!AA4:AA7)</f>
        <v>0.4115713713</v>
      </c>
      <c r="AB8" s="15" t="str">
        <f t="shared" si="1"/>
        <v>LQR</v>
      </c>
      <c r="AC8" s="13">
        <f t="shared" si="2"/>
        <v>0.08875475</v>
      </c>
    </row>
    <row r="9">
      <c r="A9" s="11">
        <v>201712.0</v>
      </c>
      <c r="B9" s="10">
        <v>-0.3</v>
      </c>
      <c r="C9" s="12">
        <f>average(err_GDP_1qa!C5:C8)</f>
        <v>0.16916537</v>
      </c>
      <c r="D9" s="12">
        <f>average(err_GDP_1qa!D5:D8)</f>
        <v>0.36260025</v>
      </c>
      <c r="E9" s="12">
        <f>average(err_GDP_1qa!E5:E8)</f>
        <v>0.40604325</v>
      </c>
      <c r="F9" s="12">
        <f>average(err_GDP_1qa!F5:F8)</f>
        <v>0.2100594187</v>
      </c>
      <c r="G9" s="12"/>
      <c r="H9" s="12"/>
      <c r="I9" s="12">
        <f>average(err_GDP_1qa!I5:I8)</f>
        <v>0.3626876676</v>
      </c>
      <c r="J9" s="12">
        <f>average(err_GDP_1qa!J5:J8)</f>
        <v>0.2830423224</v>
      </c>
      <c r="K9" s="12">
        <f>average(err_GDP_1qa!K5:K8)</f>
        <v>0.7303865</v>
      </c>
      <c r="L9" s="12">
        <f>average(err_GDP_1qa!L5:L8)</f>
        <v>0.8044830503</v>
      </c>
      <c r="M9" s="12"/>
      <c r="N9" s="12"/>
      <c r="O9" s="12">
        <f>average(err_GDP_1qa!O5:O8)</f>
        <v>0.4326897246</v>
      </c>
      <c r="P9" s="12">
        <f>average(err_GDP_1qa!P5:P8)</f>
        <v>0.3948760927</v>
      </c>
      <c r="Q9" s="12">
        <f>average(err_GDP_1qa!Q5:Q8)</f>
        <v>0.155359</v>
      </c>
      <c r="R9" s="12"/>
      <c r="S9" s="12"/>
      <c r="T9" s="12"/>
      <c r="U9" s="12"/>
      <c r="V9" s="12"/>
      <c r="W9" s="12"/>
      <c r="X9" s="12"/>
      <c r="Y9" s="12"/>
      <c r="Z9" s="12"/>
      <c r="AA9" s="12">
        <f>average(err_GDP_1qa!AA5:AA8)</f>
        <v>0.3021761114</v>
      </c>
      <c r="AB9" s="15" t="str">
        <f t="shared" si="1"/>
        <v>LQR</v>
      </c>
      <c r="AC9" s="13">
        <f t="shared" si="2"/>
        <v>0.155359</v>
      </c>
    </row>
    <row r="10">
      <c r="A10" s="11">
        <v>201803.0</v>
      </c>
      <c r="B10" s="10">
        <v>1.3</v>
      </c>
      <c r="C10" s="12">
        <f>average(err_GDP_1qa!C6:C9)</f>
        <v>0.48311217</v>
      </c>
      <c r="D10" s="12">
        <f>average(err_GDP_1qa!D6:D9)</f>
        <v>0.540306</v>
      </c>
      <c r="E10" s="12">
        <f>average(err_GDP_1qa!E6:E9)</f>
        <v>0.54651375</v>
      </c>
      <c r="F10" s="12">
        <f>average(err_GDP_1qa!F6:F9)</f>
        <v>0.3745043511</v>
      </c>
      <c r="G10" s="12"/>
      <c r="H10" s="12"/>
      <c r="I10" s="12">
        <f>average(err_GDP_1qa!I6:I9)</f>
        <v>0.6728840144</v>
      </c>
      <c r="J10" s="12">
        <f>average(err_GDP_1qa!J6:J9)</f>
        <v>0.605034521</v>
      </c>
      <c r="K10" s="12">
        <f>average(err_GDP_1qa!K6:K9)</f>
        <v>0.73645975</v>
      </c>
      <c r="L10" s="12">
        <f>average(err_GDP_1qa!L6:L9)</f>
        <v>0.9626213071</v>
      </c>
      <c r="M10" s="12"/>
      <c r="N10" s="12"/>
      <c r="O10" s="12">
        <f>average(err_GDP_1qa!O6:O9)</f>
        <v>0.6174542579</v>
      </c>
      <c r="P10" s="12">
        <f>average(err_GDP_1qa!P6:P9)</f>
        <v>0.620109266</v>
      </c>
      <c r="Q10" s="12">
        <f>average(err_GDP_1qa!Q6:Q9)</f>
        <v>0.4350035</v>
      </c>
      <c r="R10" s="12"/>
      <c r="S10" s="12"/>
      <c r="T10" s="12"/>
      <c r="U10" s="12"/>
      <c r="V10" s="12"/>
      <c r="W10" s="12"/>
      <c r="X10" s="12"/>
      <c r="Y10" s="12"/>
      <c r="Z10" s="12"/>
      <c r="AA10" s="12">
        <f>average(err_GDP_1qa!AA6:AA9)</f>
        <v>0.4336214336</v>
      </c>
      <c r="AB10" s="15" t="str">
        <f t="shared" si="1"/>
        <v>BEM3</v>
      </c>
      <c r="AC10" s="13">
        <f t="shared" si="2"/>
        <v>0.3745043511</v>
      </c>
    </row>
    <row r="11">
      <c r="A11" s="11">
        <v>201806.0</v>
      </c>
      <c r="B11" s="10">
        <v>0.7</v>
      </c>
      <c r="C11" s="12">
        <f>average(err_GDP_1qa!C7:C10)</f>
        <v>0.554471405</v>
      </c>
      <c r="D11" s="12">
        <f>average(err_GDP_1qa!D7:D10)</f>
        <v>0.676974</v>
      </c>
      <c r="E11" s="12">
        <f>average(err_GDP_1qa!E7:E10)</f>
        <v>0.68740025</v>
      </c>
      <c r="F11" s="12">
        <f>average(err_GDP_1qa!F7:F10)</f>
        <v>0.4031223452</v>
      </c>
      <c r="G11" s="12"/>
      <c r="H11" s="12"/>
      <c r="I11" s="12">
        <f>average(err_GDP_1qa!I7:I10)</f>
        <v>0.7026992163</v>
      </c>
      <c r="J11" s="12">
        <f>average(err_GDP_1qa!J7:J10)</f>
        <v>0.706176018</v>
      </c>
      <c r="K11" s="12">
        <f>average(err_GDP_1qa!K7:K10)</f>
        <v>0.78657525</v>
      </c>
      <c r="L11" s="12">
        <f>average(err_GDP_1qa!L7:L10)</f>
        <v>0.9256998654</v>
      </c>
      <c r="M11" s="12"/>
      <c r="N11" s="12"/>
      <c r="O11" s="12">
        <f>average(err_GDP_1qa!O7:O10)</f>
        <v>0.6952822296</v>
      </c>
      <c r="P11" s="12">
        <f>average(err_GDP_1qa!P7:P10)</f>
        <v>0.6663012087</v>
      </c>
      <c r="Q11" s="12">
        <f>average(err_GDP_1qa!Q7:Q10)</f>
        <v>0.6191635</v>
      </c>
      <c r="R11" s="12"/>
      <c r="S11" s="12"/>
      <c r="T11" s="12"/>
      <c r="U11" s="12"/>
      <c r="V11" s="12"/>
      <c r="W11" s="12"/>
      <c r="X11" s="12"/>
      <c r="Y11" s="12"/>
      <c r="Z11" s="12"/>
      <c r="AA11" s="12">
        <f>average(err_GDP_1qa!AA7:AA10)</f>
        <v>0.5208962887</v>
      </c>
      <c r="AB11" s="15" t="str">
        <f t="shared" si="1"/>
        <v>BEM3</v>
      </c>
      <c r="AC11" s="13">
        <f t="shared" si="2"/>
        <v>0.4031223452</v>
      </c>
    </row>
    <row r="12">
      <c r="A12" s="11">
        <v>201809.0</v>
      </c>
      <c r="B12" s="10">
        <v>0.6</v>
      </c>
      <c r="C12" s="12">
        <f>average(err_GDP_1qa!C8:C11)</f>
        <v>0.5536326975</v>
      </c>
      <c r="D12" s="12">
        <f>average(err_GDP_1qa!D8:D11)</f>
        <v>0.59705675</v>
      </c>
      <c r="E12" s="12">
        <f>average(err_GDP_1qa!E8:E11)</f>
        <v>0.612173</v>
      </c>
      <c r="F12" s="12">
        <f>average(err_GDP_1qa!F8:F11)</f>
        <v>0.4348820818</v>
      </c>
      <c r="G12" s="12"/>
      <c r="H12" s="12"/>
      <c r="I12" s="12">
        <f>average(err_GDP_1qa!I8:I11)</f>
        <v>0.7321046727</v>
      </c>
      <c r="J12" s="12">
        <f>average(err_GDP_1qa!J8:J11)</f>
        <v>0.6875703509</v>
      </c>
      <c r="K12" s="12">
        <f>average(err_GDP_1qa!K8:K11)</f>
        <v>0.79537075</v>
      </c>
      <c r="L12" s="12">
        <f>average(err_GDP_1qa!L8:L11)</f>
        <v>0.6911115517</v>
      </c>
      <c r="M12" s="12"/>
      <c r="N12" s="12"/>
      <c r="O12" s="12">
        <f>average(err_GDP_1qa!O8:O11)</f>
        <v>0.6291902942</v>
      </c>
      <c r="P12" s="12">
        <f>average(err_GDP_1qa!P8:P11)</f>
        <v>0.6365789443</v>
      </c>
      <c r="Q12" s="12">
        <f>average(err_GDP_1qa!Q8:Q11)</f>
        <v>0.622939</v>
      </c>
      <c r="R12" s="12"/>
      <c r="S12" s="12"/>
      <c r="T12" s="12"/>
      <c r="U12" s="12"/>
      <c r="V12" s="12"/>
      <c r="W12" s="12"/>
      <c r="X12" s="12"/>
      <c r="Y12" s="12"/>
      <c r="Z12" s="12"/>
      <c r="AA12" s="12">
        <f>average(err_GDP_1qa!AA8:AA11)</f>
        <v>0.6149266025</v>
      </c>
      <c r="AB12" s="15" t="str">
        <f t="shared" si="1"/>
        <v>BEM3</v>
      </c>
      <c r="AC12" s="13">
        <f t="shared" si="2"/>
        <v>0.4348820818</v>
      </c>
    </row>
    <row r="13">
      <c r="A13" s="11">
        <v>201812.0</v>
      </c>
      <c r="B13" s="10">
        <v>0.6</v>
      </c>
      <c r="C13" s="12">
        <f>average(err_GDP_1qa!C9:C12)</f>
        <v>0.546211245</v>
      </c>
      <c r="D13" s="12">
        <f>average(err_GDP_1qa!D9:D12)</f>
        <v>0.374166</v>
      </c>
      <c r="E13" s="12">
        <f>average(err_GDP_1qa!E9:E12)</f>
        <v>0.38308425</v>
      </c>
      <c r="F13" s="12">
        <f>average(err_GDP_1qa!F9:F12)</f>
        <v>0.3621479169</v>
      </c>
      <c r="G13" s="12"/>
      <c r="H13" s="12"/>
      <c r="I13" s="12">
        <f>average(err_GDP_1qa!I9:I12)</f>
        <v>0.6974290561</v>
      </c>
      <c r="J13" s="12">
        <f>average(err_GDP_1qa!J9:J12)</f>
        <v>0.5974669186</v>
      </c>
      <c r="K13" s="12">
        <f>average(err_GDP_1qa!K9:K12)</f>
        <v>0.57705</v>
      </c>
      <c r="L13" s="12">
        <f>average(err_GDP_1qa!L9:L12)</f>
        <v>0.4133457373</v>
      </c>
      <c r="M13" s="12"/>
      <c r="N13" s="12"/>
      <c r="O13" s="12">
        <f>average(err_GDP_1qa!O9:O12)</f>
        <v>0.3974936078</v>
      </c>
      <c r="P13" s="12">
        <f>average(err_GDP_1qa!P9:P12)</f>
        <v>0.7297158509</v>
      </c>
      <c r="Q13" s="12">
        <f>average(err_GDP_1qa!Q9:Q12)</f>
        <v>0.48601075</v>
      </c>
      <c r="R13" s="12"/>
      <c r="S13" s="12"/>
      <c r="T13" s="12"/>
      <c r="U13" s="12"/>
      <c r="V13" s="12"/>
      <c r="W13" s="12"/>
      <c r="X13" s="12"/>
      <c r="Y13" s="12"/>
      <c r="Z13" s="12"/>
      <c r="AA13" s="12">
        <f>average(err_GDP_1qa!AA9:AA12)</f>
        <v>0.6649777427</v>
      </c>
      <c r="AB13" s="15" t="str">
        <f t="shared" si="1"/>
        <v>BEM3</v>
      </c>
      <c r="AC13" s="13">
        <f t="shared" si="2"/>
        <v>0.3621479169</v>
      </c>
    </row>
    <row r="14">
      <c r="A14" s="11">
        <v>201903.0</v>
      </c>
      <c r="B14" s="10">
        <v>-0.1</v>
      </c>
      <c r="C14" s="12">
        <f>average(err_GDP_1qa!C10:C13)</f>
        <v>0.2425990225</v>
      </c>
      <c r="D14" s="12">
        <f>average(err_GDP_1qa!D10:D13)</f>
        <v>0.18589375</v>
      </c>
      <c r="E14" s="12">
        <f>average(err_GDP_1qa!E10:E13)</f>
        <v>0.2306785</v>
      </c>
      <c r="F14" s="12">
        <f>average(err_GDP_1qa!F10:F13)</f>
        <v>0.1942981903</v>
      </c>
      <c r="G14" s="12"/>
      <c r="H14" s="12"/>
      <c r="I14" s="12">
        <f>average(err_GDP_1qa!I10:I13)</f>
        <v>0.4426810961</v>
      </c>
      <c r="J14" s="12">
        <f>average(err_GDP_1qa!J10:J13)</f>
        <v>0.2786821613</v>
      </c>
      <c r="K14" s="12">
        <f>average(err_GDP_1qa!K10:K13)</f>
        <v>0.60722725</v>
      </c>
      <c r="L14" s="12">
        <f>average(err_GDP_1qa!L10:L13)</f>
        <v>0.2666583271</v>
      </c>
      <c r="M14" s="12"/>
      <c r="N14" s="12"/>
      <c r="O14" s="12">
        <f>average(err_GDP_1qa!O10:O13)</f>
        <v>0.216674542</v>
      </c>
      <c r="P14" s="12">
        <f>average(err_GDP_1qa!P10:P13)</f>
        <v>0.4304596245</v>
      </c>
      <c r="Q14" s="12">
        <f>average(err_GDP_1qa!Q10:Q13)</f>
        <v>0.29117975</v>
      </c>
      <c r="R14" s="12"/>
      <c r="S14" s="12"/>
      <c r="T14" s="12"/>
      <c r="U14" s="12"/>
      <c r="V14" s="12"/>
      <c r="W14" s="12"/>
      <c r="X14" s="12"/>
      <c r="Y14" s="12"/>
      <c r="Z14" s="12"/>
      <c r="AA14" s="12">
        <f>average(err_GDP_1qa!AA10:AA13)</f>
        <v>0.5648763485</v>
      </c>
      <c r="AB14" s="15" t="str">
        <f t="shared" si="1"/>
        <v>BEM1</v>
      </c>
      <c r="AC14" s="13">
        <f t="shared" si="2"/>
        <v>0.18589375</v>
      </c>
    </row>
    <row r="15">
      <c r="A15" s="11">
        <v>201906.0</v>
      </c>
      <c r="B15" s="10">
        <v>1.1</v>
      </c>
      <c r="C15" s="12">
        <f>average(err_GDP_1qa!C11:C14)</f>
        <v>0.3182665</v>
      </c>
      <c r="D15" s="12">
        <f>average(err_GDP_1qa!D11:D14)</f>
        <v>0.1520215</v>
      </c>
      <c r="E15" s="12">
        <f>average(err_GDP_1qa!E11:E14)</f>
        <v>0.16756525</v>
      </c>
      <c r="F15" s="12">
        <f>average(err_GDP_1qa!F11:F14)</f>
        <v>0.1995136087</v>
      </c>
      <c r="G15" s="12"/>
      <c r="H15" s="12"/>
      <c r="I15" s="12">
        <f>average(err_GDP_1qa!I11:I14)</f>
        <v>0.4926486065</v>
      </c>
      <c r="J15" s="12">
        <f>average(err_GDP_1qa!J11:J14)</f>
        <v>0.3309230062</v>
      </c>
      <c r="K15" s="12">
        <f>average(err_GDP_1qa!K11:K14)</f>
        <v>0.3562665</v>
      </c>
      <c r="L15" s="12">
        <f>average(err_GDP_1qa!L11:L14)</f>
        <v>0.2057733237</v>
      </c>
      <c r="M15" s="12"/>
      <c r="N15" s="12"/>
      <c r="O15" s="12">
        <f>average(err_GDP_1qa!O11:O14)</f>
        <v>0.2555752605</v>
      </c>
      <c r="P15" s="12">
        <f>average(err_GDP_1qa!P11:P14)</f>
        <v>0.5033686191</v>
      </c>
      <c r="Q15" s="12">
        <f>average(err_GDP_1qa!Q11:Q14)</f>
        <v>0.29398225</v>
      </c>
      <c r="R15" s="12"/>
      <c r="S15" s="12"/>
      <c r="T15" s="12"/>
      <c r="U15" s="12"/>
      <c r="V15" s="12"/>
      <c r="W15" s="12"/>
      <c r="X15" s="12"/>
      <c r="Y15" s="12"/>
      <c r="Z15" s="12"/>
      <c r="AA15" s="12">
        <f>average(err_GDP_1qa!AA11:AA14)</f>
        <v>0.4397041749</v>
      </c>
      <c r="AB15" s="15" t="str">
        <f t="shared" si="1"/>
        <v>BEM1</v>
      </c>
      <c r="AC15" s="13">
        <f t="shared" si="2"/>
        <v>0.1520215</v>
      </c>
    </row>
    <row r="16">
      <c r="A16" s="11">
        <v>201909.0</v>
      </c>
      <c r="B16" s="10">
        <v>0.4</v>
      </c>
      <c r="C16" s="12">
        <f>average(err_GDP_1qa!C12:C15)</f>
        <v>0.4328431125</v>
      </c>
      <c r="D16" s="12">
        <f>average(err_GDP_1qa!D12:D15)</f>
        <v>0.25624875</v>
      </c>
      <c r="E16" s="12">
        <f>average(err_GDP_1qa!E12:E15)</f>
        <v>0.271792</v>
      </c>
      <c r="F16" s="12">
        <f>average(err_GDP_1qa!F12:F15)</f>
        <v>0.3260641493</v>
      </c>
      <c r="G16" s="12"/>
      <c r="H16" s="12"/>
      <c r="I16" s="12">
        <f>average(err_GDP_1qa!I12:I15)</f>
        <v>0.4334879971</v>
      </c>
      <c r="J16" s="12">
        <f>average(err_GDP_1qa!J12:J15)</f>
        <v>0.3068593162</v>
      </c>
      <c r="K16" s="12">
        <f>average(err_GDP_1qa!K12:K15)</f>
        <v>0.5968305</v>
      </c>
      <c r="L16" s="12">
        <f>average(err_GDP_1qa!L12:L15)</f>
        <v>0.2712807414</v>
      </c>
      <c r="M16" s="12"/>
      <c r="N16" s="12"/>
      <c r="O16" s="12">
        <f>average(err_GDP_1qa!O12:O15)</f>
        <v>0.3180439374</v>
      </c>
      <c r="P16" s="12">
        <f>average(err_GDP_1qa!P12:P15)</f>
        <v>0.5321823508</v>
      </c>
      <c r="Q16" s="12">
        <f>average(err_GDP_1qa!Q12:Q15)</f>
        <v>0.5284145</v>
      </c>
      <c r="R16" s="12"/>
      <c r="S16" s="12"/>
      <c r="T16" s="12"/>
      <c r="U16" s="12"/>
      <c r="V16" s="12"/>
      <c r="W16" s="12"/>
      <c r="X16" s="12"/>
      <c r="Y16" s="12"/>
      <c r="Z16" s="12"/>
      <c r="AA16" s="12">
        <f>average(err_GDP_1qa!AA12:AA15)</f>
        <v>0.5264263213</v>
      </c>
      <c r="AB16" s="15" t="str">
        <f t="shared" si="1"/>
        <v>BEM1</v>
      </c>
      <c r="AC16" s="13">
        <f t="shared" si="2"/>
        <v>0.25624875</v>
      </c>
    </row>
    <row r="17">
      <c r="A17" s="11">
        <v>201912.0</v>
      </c>
      <c r="B17" s="10">
        <v>1.2</v>
      </c>
      <c r="C17" s="12">
        <f>average(err_GDP_1qa!C13:C16)</f>
        <v>0.338913315</v>
      </c>
      <c r="D17" s="12">
        <f>average(err_GDP_1qa!D13:D16)</f>
        <v>0.30513125</v>
      </c>
      <c r="E17" s="12">
        <f>average(err_GDP_1qa!E13:E16)</f>
        <v>0.312735</v>
      </c>
      <c r="F17" s="12">
        <f>average(err_GDP_1qa!F13:F16)</f>
        <v>0.3220054079</v>
      </c>
      <c r="G17" s="12"/>
      <c r="H17" s="12"/>
      <c r="I17" s="12">
        <f>average(err_GDP_1qa!I13:I16)</f>
        <v>0.2815600936</v>
      </c>
      <c r="J17" s="12">
        <f>average(err_GDP_1qa!J13:J16)</f>
        <v>0.2737101072</v>
      </c>
      <c r="K17" s="12">
        <f>average(err_GDP_1qa!K13:K16)</f>
        <v>0.505848</v>
      </c>
      <c r="L17" s="12">
        <f>average(err_GDP_1qa!L13:L16)</f>
        <v>0.3067837601</v>
      </c>
      <c r="M17" s="12"/>
      <c r="N17" s="12"/>
      <c r="O17" s="12">
        <f>average(err_GDP_1qa!O13:O16)</f>
        <v>0.3723759996</v>
      </c>
      <c r="P17" s="12">
        <f>average(err_GDP_1qa!P13:P16)</f>
        <v>0.4814529151</v>
      </c>
      <c r="Q17" s="12">
        <f>average(err_GDP_1qa!Q13:Q16)</f>
        <v>0.593197</v>
      </c>
      <c r="R17" s="12"/>
      <c r="S17" s="12"/>
      <c r="T17" s="12"/>
      <c r="U17" s="12"/>
      <c r="V17" s="12"/>
      <c r="W17" s="12"/>
      <c r="X17" s="12"/>
      <c r="Y17" s="12"/>
      <c r="Z17" s="12"/>
      <c r="AA17" s="12">
        <f>average(err_GDP_1qa!AA13:AA16)</f>
        <v>0.4524871278</v>
      </c>
      <c r="AB17" s="15" t="str">
        <f t="shared" si="1"/>
        <v>T-M</v>
      </c>
      <c r="AC17" s="13">
        <f t="shared" si="2"/>
        <v>0.2737101072</v>
      </c>
    </row>
    <row r="18">
      <c r="A18" s="11">
        <v>202003.0</v>
      </c>
      <c r="B18" s="10">
        <v>-1.3</v>
      </c>
      <c r="C18" s="12">
        <f>average(err_GDP_1qa!C14:C17)</f>
        <v>0.4812536525</v>
      </c>
      <c r="D18" s="12">
        <f>average(err_GDP_1qa!D14:D17)</f>
        <v>0.41208775</v>
      </c>
      <c r="E18" s="12">
        <f>average(err_GDP_1qa!E14:E17)</f>
        <v>0.41542375</v>
      </c>
      <c r="F18" s="12">
        <f>average(err_GDP_1qa!F14:F17)</f>
        <v>0.4360748709</v>
      </c>
      <c r="G18" s="12"/>
      <c r="H18" s="12"/>
      <c r="I18" s="12">
        <f>average(err_GDP_1qa!I14:I17)</f>
        <v>0.3621642674</v>
      </c>
      <c r="J18" s="12">
        <f>average(err_GDP_1qa!J14:J17)</f>
        <v>0.2750993347</v>
      </c>
      <c r="K18" s="12">
        <f>average(err_GDP_1qa!K14:K17)</f>
        <v>0.63602325</v>
      </c>
      <c r="L18" s="12">
        <f>average(err_GDP_1qa!L14:L17)</f>
        <v>0.3872819481</v>
      </c>
      <c r="M18" s="12"/>
      <c r="N18" s="12"/>
      <c r="O18" s="12">
        <f>average(err_GDP_1qa!O14:O17)</f>
        <v>0.4856439569</v>
      </c>
      <c r="P18" s="12">
        <f>average(err_GDP_1qa!P14:P17)</f>
        <v>0.5171910971</v>
      </c>
      <c r="Q18" s="12">
        <f>average(err_GDP_1qa!Q14:Q17)</f>
        <v>0.62760675</v>
      </c>
      <c r="R18" s="12"/>
      <c r="S18" s="12"/>
      <c r="T18" s="12"/>
      <c r="U18" s="12"/>
      <c r="V18" s="12"/>
      <c r="W18" s="12"/>
      <c r="X18" s="12"/>
      <c r="Y18" s="12"/>
      <c r="Z18" s="12"/>
      <c r="AA18" s="12">
        <f>average(err_GDP_1qa!AA14:AA17)</f>
        <v>0.4949941007</v>
      </c>
      <c r="AB18" s="15" t="str">
        <f t="shared" si="1"/>
        <v>T-M</v>
      </c>
      <c r="AC18" s="13">
        <f t="shared" si="2"/>
        <v>0.2750993347</v>
      </c>
    </row>
    <row r="19">
      <c r="A19" s="11">
        <v>202006.0</v>
      </c>
      <c r="B19" s="10">
        <v>-3.0</v>
      </c>
      <c r="C19" s="12">
        <f>average(err_GDP_1qa!C15:C18)</f>
        <v>0.75427951</v>
      </c>
      <c r="D19" s="12">
        <f>average(err_GDP_1qa!D15:D18)</f>
        <v>0.75057875</v>
      </c>
      <c r="E19" s="12">
        <f>average(err_GDP_1qa!E15:E18)</f>
        <v>0.762146</v>
      </c>
      <c r="F19" s="12">
        <f>average(err_GDP_1qa!F15:F18)</f>
        <v>0.8203570737</v>
      </c>
      <c r="G19" s="12"/>
      <c r="H19" s="12"/>
      <c r="I19" s="12">
        <f>average(err_GDP_1qa!I15:I18)</f>
        <v>0.7058545991</v>
      </c>
      <c r="J19" s="12">
        <f>average(err_GDP_1qa!J15:J18)</f>
        <v>0.6629156278</v>
      </c>
      <c r="K19" s="12">
        <f>average(err_GDP_1qa!K15:K18)</f>
        <v>0.94601925</v>
      </c>
      <c r="L19" s="12">
        <f>average(err_GDP_1qa!L15:L18)</f>
        <v>0.67519466</v>
      </c>
      <c r="M19" s="12"/>
      <c r="N19" s="12"/>
      <c r="O19" s="12">
        <f>average(err_GDP_1qa!O15:O18)</f>
        <v>0.7698409498</v>
      </c>
      <c r="P19" s="12">
        <f>average(err_GDP_1qa!P15:P18)</f>
        <v>0.8932057053</v>
      </c>
      <c r="Q19" s="12">
        <f>average(err_GDP_1qa!Q15:Q18)</f>
        <v>0.86431125</v>
      </c>
      <c r="R19" s="12"/>
      <c r="S19" s="12"/>
      <c r="T19" s="12"/>
      <c r="U19" s="12"/>
      <c r="V19" s="12"/>
      <c r="W19" s="12"/>
      <c r="X19" s="12"/>
      <c r="Y19" s="12"/>
      <c r="Z19" s="12"/>
      <c r="AA19" s="12">
        <f>average(err_GDP_1qa!AA15:AA18)</f>
        <v>1.035126077</v>
      </c>
      <c r="AB19" s="15" t="str">
        <f t="shared" si="1"/>
        <v>T-M</v>
      </c>
      <c r="AC19" s="13">
        <f t="shared" si="2"/>
        <v>0.6629156278</v>
      </c>
    </row>
    <row r="20">
      <c r="A20" s="11">
        <v>202009.0</v>
      </c>
      <c r="B20" s="10">
        <v>2.3</v>
      </c>
      <c r="C20" s="12">
        <f>average(err_GDP_1qa!C16:C19)</f>
        <v>1.385950073</v>
      </c>
      <c r="D20" s="12">
        <f>average(err_GDP_1qa!D16:D19)</f>
        <v>1.3340665</v>
      </c>
      <c r="E20" s="12">
        <f>average(err_GDP_1qa!E16:E19)</f>
        <v>1.32394975</v>
      </c>
      <c r="F20" s="12">
        <f>average(err_GDP_1qa!F16:F19)</f>
        <v>1.411589611</v>
      </c>
      <c r="G20" s="12"/>
      <c r="H20" s="12"/>
      <c r="I20" s="12">
        <f>average(err_GDP_1qa!I16:I19)</f>
        <v>1.09539227</v>
      </c>
      <c r="J20" s="12">
        <f>average(err_GDP_1qa!J16:J19)</f>
        <v>1.306554563</v>
      </c>
      <c r="K20" s="12">
        <f>average(err_GDP_1qa!K16:K19)</f>
        <v>1.35459225</v>
      </c>
      <c r="L20" s="12">
        <f>average(err_GDP_1qa!L16:L19)</f>
        <v>1.01644593</v>
      </c>
      <c r="M20" s="12"/>
      <c r="N20" s="12"/>
      <c r="O20" s="12">
        <f>average(err_GDP_1qa!O16:O19)</f>
        <v>1.63703329</v>
      </c>
      <c r="P20" s="12">
        <f>average(err_GDP_1qa!P16:P19)</f>
        <v>0.8923448265</v>
      </c>
      <c r="Q20" s="12">
        <f>average(err_GDP_1qa!Q16:Q19)</f>
        <v>1.58102125</v>
      </c>
      <c r="R20" s="12"/>
      <c r="S20" s="12"/>
      <c r="T20" s="12"/>
      <c r="U20" s="12"/>
      <c r="V20" s="12"/>
      <c r="W20" s="12"/>
      <c r="X20" s="12"/>
      <c r="Y20" s="12"/>
      <c r="Z20" s="12"/>
      <c r="AA20" s="12">
        <f>average(err_GDP_1qa!AA16:AA19)</f>
        <v>1.3501579</v>
      </c>
      <c r="AB20" s="15" t="str">
        <f t="shared" si="1"/>
        <v>S-XGB</v>
      </c>
      <c r="AC20" s="13">
        <f t="shared" si="2"/>
        <v>0.8923448265</v>
      </c>
    </row>
    <row r="21">
      <c r="A21" s="11">
        <v>202012.0</v>
      </c>
      <c r="B21" s="10">
        <v>1.3</v>
      </c>
      <c r="C21" s="12">
        <f>average(err_GDP_1qa!C17:C20)</f>
        <v>2.071705488</v>
      </c>
      <c r="D21" s="12">
        <f>average(err_GDP_1qa!D17:D20)</f>
        <v>1.57083275</v>
      </c>
      <c r="E21" s="12">
        <f>average(err_GDP_1qa!E17:E20)</f>
        <v>1.586206</v>
      </c>
      <c r="F21" s="12">
        <f>average(err_GDP_1qa!F17:F20)</f>
        <v>2.08190044</v>
      </c>
      <c r="G21" s="12"/>
      <c r="H21" s="12"/>
      <c r="I21" s="12">
        <f>average(err_GDP_1qa!I17:I20)</f>
        <v>1.336472211</v>
      </c>
      <c r="J21" s="12">
        <f>average(err_GDP_1qa!J17:J20)</f>
        <v>1.338951431</v>
      </c>
      <c r="K21" s="12">
        <f>average(err_GDP_1qa!K17:K20)</f>
        <v>2.27845175</v>
      </c>
      <c r="L21" s="12">
        <f>average(err_GDP_1qa!L17:L20)</f>
        <v>1.18140266</v>
      </c>
      <c r="M21" s="12"/>
      <c r="N21" s="12"/>
      <c r="O21" s="12">
        <f>average(err_GDP_1qa!O17:O20)</f>
        <v>1.748814958</v>
      </c>
      <c r="P21" s="12">
        <f>average(err_GDP_1qa!P17:P20)</f>
        <v>0.9766404152</v>
      </c>
      <c r="Q21" s="12">
        <f>average(err_GDP_1qa!Q17:Q20)</f>
        <v>2.0474635</v>
      </c>
      <c r="R21" s="12"/>
      <c r="S21" s="12"/>
      <c r="T21" s="12"/>
      <c r="U21" s="12"/>
      <c r="V21" s="12"/>
      <c r="W21" s="12"/>
      <c r="X21" s="12"/>
      <c r="Y21" s="12"/>
      <c r="Z21" s="12"/>
      <c r="AA21" s="12">
        <f>average(err_GDP_1qa!AA17:AA20)</f>
        <v>10.11340397</v>
      </c>
      <c r="AB21" s="15" t="str">
        <f t="shared" si="1"/>
        <v>S-XGB</v>
      </c>
      <c r="AC21" s="13">
        <f t="shared" si="2"/>
        <v>0.9766404152</v>
      </c>
    </row>
    <row r="22">
      <c r="A22" s="11">
        <v>202103.0</v>
      </c>
      <c r="B22" s="10">
        <v>1.8</v>
      </c>
      <c r="C22" s="12">
        <f>average(err_GDP_1qa!C18:C21)</f>
        <v>2.300544113</v>
      </c>
      <c r="D22" s="12">
        <f>average(err_GDP_1qa!D18:D21)</f>
        <v>1.57018475</v>
      </c>
      <c r="E22" s="12">
        <f>average(err_GDP_1qa!E18:E21)</f>
        <v>1.52005625</v>
      </c>
      <c r="F22" s="12">
        <f>average(err_GDP_1qa!F18:F21)</f>
        <v>2.228247773</v>
      </c>
      <c r="G22" s="12"/>
      <c r="H22" s="12"/>
      <c r="I22" s="12">
        <f>average(err_GDP_1qa!I18:I21)</f>
        <v>1.229965528</v>
      </c>
      <c r="J22" s="12">
        <f>average(err_GDP_1qa!J18:J21)</f>
        <v>1.484494764</v>
      </c>
      <c r="K22" s="12">
        <f>average(err_GDP_1qa!K18:K21)</f>
        <v>2.10312575</v>
      </c>
      <c r="L22" s="12">
        <f>average(err_GDP_1qa!L18:L21)</f>
        <v>1.108962227</v>
      </c>
      <c r="M22" s="12"/>
      <c r="N22" s="12"/>
      <c r="O22" s="12">
        <f>average(err_GDP_1qa!O18:O21)</f>
        <v>1.872158803</v>
      </c>
      <c r="P22" s="12">
        <f>average(err_GDP_1qa!P18:P21)</f>
        <v>0.909146449</v>
      </c>
      <c r="Q22" s="12">
        <f>average(err_GDP_1qa!Q18:Q21)</f>
        <v>2.0759855</v>
      </c>
      <c r="R22" s="12"/>
      <c r="S22" s="12"/>
      <c r="T22" s="12"/>
      <c r="U22" s="12"/>
      <c r="V22" s="12"/>
      <c r="W22" s="12"/>
      <c r="X22" s="12"/>
      <c r="Y22" s="12"/>
      <c r="Z22" s="12"/>
      <c r="AA22" s="12">
        <f>average(err_GDP_1qa!AA18:AA21)</f>
        <v>9.898767211</v>
      </c>
      <c r="AB22" s="15" t="str">
        <f t="shared" si="1"/>
        <v>S-XGB</v>
      </c>
      <c r="AC22" s="13">
        <f t="shared" si="2"/>
        <v>0.909146449</v>
      </c>
    </row>
    <row r="23">
      <c r="A23" s="11">
        <v>202106.0</v>
      </c>
      <c r="B23" s="10">
        <v>0.9</v>
      </c>
      <c r="C23" s="12">
        <f>average(err_GDP_1qa!C19:C22)</f>
        <v>2.127538083</v>
      </c>
      <c r="D23" s="12">
        <f>average(err_GDP_1qa!D19:D22)</f>
        <v>1.50128825</v>
      </c>
      <c r="E23" s="12">
        <f>average(err_GDP_1qa!E19:E22)</f>
        <v>1.474488</v>
      </c>
      <c r="F23" s="12">
        <f>average(err_GDP_1qa!F19:F22)</f>
        <v>1.905790899</v>
      </c>
      <c r="G23" s="12"/>
      <c r="H23" s="12"/>
      <c r="I23" s="12">
        <f>average(err_GDP_1qa!I19:I22)</f>
        <v>0.8004984853</v>
      </c>
      <c r="J23" s="12">
        <f>average(err_GDP_1qa!J19:J22)</f>
        <v>1.156702407</v>
      </c>
      <c r="K23" s="12">
        <f>average(err_GDP_1qa!K19:K22)</f>
        <v>1.9725015</v>
      </c>
      <c r="L23" s="12">
        <f>average(err_GDP_1qa!L19:L22)</f>
        <v>1.012431294</v>
      </c>
      <c r="M23" s="12"/>
      <c r="N23" s="12"/>
      <c r="O23" s="12">
        <f>average(err_GDP_1qa!O19:O22)</f>
        <v>1.582958718</v>
      </c>
      <c r="P23" s="12">
        <f>average(err_GDP_1qa!P19:P22)</f>
        <v>0.5824079722</v>
      </c>
      <c r="Q23" s="12">
        <f>average(err_GDP_1qa!Q19:Q22)</f>
        <v>1.913405</v>
      </c>
      <c r="R23" s="12"/>
      <c r="S23" s="12"/>
      <c r="T23" s="12"/>
      <c r="U23" s="12"/>
      <c r="V23" s="12"/>
      <c r="W23" s="12"/>
      <c r="X23" s="12"/>
      <c r="Y23" s="12"/>
      <c r="Z23" s="12"/>
      <c r="AA23" s="12">
        <f>average(err_GDP_1qa!AA19:AA22)</f>
        <v>9.485152881</v>
      </c>
      <c r="AB23" s="15" t="str">
        <f t="shared" si="1"/>
        <v>S-XGB</v>
      </c>
      <c r="AC23" s="13">
        <f t="shared" si="2"/>
        <v>0.5824079722</v>
      </c>
    </row>
    <row r="24">
      <c r="A24" s="11">
        <v>202109.0</v>
      </c>
      <c r="B24" s="10">
        <v>0.1</v>
      </c>
      <c r="C24" s="12">
        <f>average(err_GDP_1qa!C20:C23)</f>
        <v>1.360098135</v>
      </c>
      <c r="D24" s="12">
        <f>average(err_GDP_1qa!D20:D23)</f>
        <v>0.92689725</v>
      </c>
      <c r="E24" s="12">
        <f>average(err_GDP_1qa!E20:E23)</f>
        <v>0.921502</v>
      </c>
      <c r="F24" s="12">
        <f>average(err_GDP_1qa!F20:F23)</f>
        <v>1.143077686</v>
      </c>
      <c r="G24" s="12"/>
      <c r="H24" s="12"/>
      <c r="I24" s="12">
        <f>average(err_GDP_1qa!I20:I23)</f>
        <v>0.5385020871</v>
      </c>
      <c r="J24" s="12">
        <f>average(err_GDP_1qa!J20:J23)</f>
        <v>0.5315338597</v>
      </c>
      <c r="K24" s="12">
        <f>average(err_GDP_1qa!K20:K23)</f>
        <v>1.34420475</v>
      </c>
      <c r="L24" s="12">
        <f>average(err_GDP_1qa!L20:L23)</f>
        <v>0.8522084179</v>
      </c>
      <c r="M24" s="12"/>
      <c r="N24" s="12"/>
      <c r="O24" s="12">
        <f>average(err_GDP_1qa!O20:O23)</f>
        <v>0.7906114274</v>
      </c>
      <c r="P24" s="12">
        <f>average(err_GDP_1qa!P20:P23)</f>
        <v>0.6286699921</v>
      </c>
      <c r="Q24" s="12">
        <f>average(err_GDP_1qa!Q20:Q23)</f>
        <v>0.97536025</v>
      </c>
      <c r="R24" s="12"/>
      <c r="S24" s="12"/>
      <c r="T24" s="12"/>
      <c r="U24" s="12"/>
      <c r="V24" s="12"/>
      <c r="W24" s="12"/>
      <c r="X24" s="12"/>
      <c r="Y24" s="12"/>
      <c r="Z24" s="12"/>
      <c r="AA24" s="12">
        <f>average(err_GDP_1qa!AA20:AA23)</f>
        <v>9.279652575</v>
      </c>
      <c r="AB24" s="15" t="str">
        <f t="shared" si="1"/>
        <v>T-M</v>
      </c>
      <c r="AC24" s="13">
        <f t="shared" si="2"/>
        <v>0.5315338597</v>
      </c>
    </row>
    <row r="25">
      <c r="A25" s="11">
        <v>202112.0</v>
      </c>
      <c r="B25" s="10">
        <v>1.4</v>
      </c>
      <c r="C25" s="12">
        <f>average(err_GDP_1qa!C21:C24)</f>
        <v>1.00879779</v>
      </c>
      <c r="D25" s="12">
        <f>average(err_GDP_1qa!D21:D24)</f>
        <v>0.72124125</v>
      </c>
      <c r="E25" s="12">
        <f>average(err_GDP_1qa!E21:E24)</f>
        <v>0.67794075</v>
      </c>
      <c r="F25" s="12">
        <f>average(err_GDP_1qa!F21:F24)</f>
        <v>0.6395620491</v>
      </c>
      <c r="G25" s="12"/>
      <c r="H25" s="12"/>
      <c r="I25" s="12">
        <f>average(err_GDP_1qa!I21:I24)</f>
        <v>0.5884201741</v>
      </c>
      <c r="J25" s="12">
        <f>average(err_GDP_1qa!J21:J24)</f>
        <v>0.6020609944</v>
      </c>
      <c r="K25" s="12">
        <f>average(err_GDP_1qa!K21:K24)</f>
        <v>0.473107</v>
      </c>
      <c r="L25" s="12">
        <f>average(err_GDP_1qa!L21:L24)</f>
        <v>0.6535791734</v>
      </c>
      <c r="M25" s="12"/>
      <c r="N25" s="12"/>
      <c r="O25" s="12">
        <f>average(err_GDP_1qa!O21:O24)</f>
        <v>0.7200602139</v>
      </c>
      <c r="P25" s="12">
        <f>average(err_GDP_1qa!P21:P24)</f>
        <v>0.5606675386</v>
      </c>
      <c r="Q25" s="12">
        <f>average(err_GDP_1qa!Q21:Q24)</f>
        <v>0.56803625</v>
      </c>
      <c r="R25" s="12"/>
      <c r="S25" s="12"/>
      <c r="T25" s="12"/>
      <c r="U25" s="12"/>
      <c r="V25" s="12"/>
      <c r="W25" s="12"/>
      <c r="X25" s="12"/>
      <c r="Y25" s="12"/>
      <c r="Z25" s="12"/>
      <c r="AA25" s="12">
        <f>average(err_GDP_1qa!AA21:AA24)</f>
        <v>0.6771195149</v>
      </c>
      <c r="AB25" s="15" t="str">
        <f t="shared" si="1"/>
        <v>VAR</v>
      </c>
      <c r="AC25" s="13">
        <f t="shared" si="2"/>
        <v>0.473107</v>
      </c>
    </row>
    <row r="26">
      <c r="A26" s="11">
        <v>202203.0</v>
      </c>
      <c r="B26" s="10">
        <v>0.7</v>
      </c>
      <c r="C26" s="12">
        <f>average(err_GDP_1qa!C22:C25)</f>
        <v>0.65578692</v>
      </c>
      <c r="D26" s="12">
        <f>average(err_GDP_1qa!D22:D25)</f>
        <v>0.87135525</v>
      </c>
      <c r="E26" s="12">
        <f>average(err_GDP_1qa!E22:E25)</f>
        <v>0.89627725</v>
      </c>
      <c r="F26" s="12">
        <f>average(err_GDP_1qa!F22:F25)</f>
        <v>0.59438127</v>
      </c>
      <c r="G26" s="12"/>
      <c r="H26" s="12"/>
      <c r="I26" s="12">
        <f>average(err_GDP_1qa!I22:I25)</f>
        <v>0.8177951727</v>
      </c>
      <c r="J26" s="12">
        <f>average(err_GDP_1qa!J22:J25)</f>
        <v>0.6349534482</v>
      </c>
      <c r="K26" s="12">
        <f>average(err_GDP_1qa!K22:K25)</f>
        <v>0.71545825</v>
      </c>
      <c r="L26" s="12">
        <f>average(err_GDP_1qa!L22:L25)</f>
        <v>0.8839901968</v>
      </c>
      <c r="M26" s="12"/>
      <c r="N26" s="12"/>
      <c r="O26" s="12">
        <f>average(err_GDP_1qa!O22:O25)</f>
        <v>0.6375041792</v>
      </c>
      <c r="P26" s="12">
        <f>average(err_GDP_1qa!P22:P25)</f>
        <v>0.6807542324</v>
      </c>
      <c r="Q26" s="12">
        <f>average(err_GDP_1qa!Q22:Q25)</f>
        <v>0.5761505</v>
      </c>
      <c r="R26" s="12"/>
      <c r="S26" s="12"/>
      <c r="T26" s="12"/>
      <c r="U26" s="12"/>
      <c r="V26" s="12"/>
      <c r="W26" s="12"/>
      <c r="X26" s="12"/>
      <c r="Y26" s="12"/>
      <c r="Z26" s="12"/>
      <c r="AA26" s="12">
        <f>average(err_GDP_1qa!AA22:AA25)</f>
        <v>0.7502093137</v>
      </c>
      <c r="AB26" s="15" t="str">
        <f t="shared" si="1"/>
        <v>LQR</v>
      </c>
      <c r="AC26" s="13">
        <f t="shared" si="2"/>
        <v>0.5761505</v>
      </c>
    </row>
    <row r="27">
      <c r="A27" s="11">
        <v>202206.0</v>
      </c>
      <c r="B27" s="10">
        <v>0.8</v>
      </c>
      <c r="C27" s="12">
        <f>average(err_GDP_1qa!C23:C26)</f>
        <v>0.6034592875</v>
      </c>
      <c r="D27" s="12">
        <f>average(err_GDP_1qa!D23:D26)</f>
        <v>0.488419</v>
      </c>
      <c r="E27" s="12">
        <f>average(err_GDP_1qa!E23:E26)</f>
        <v>0.50387225</v>
      </c>
      <c r="F27" s="12">
        <f>average(err_GDP_1qa!F23:F26)</f>
        <v>0.5033673376</v>
      </c>
      <c r="G27" s="12"/>
      <c r="H27" s="12"/>
      <c r="I27" s="12">
        <f>average(err_GDP_1qa!I23:I26)</f>
        <v>0.788315361</v>
      </c>
      <c r="J27" s="12">
        <f>average(err_GDP_1qa!J23:J26)</f>
        <v>0.4014996964</v>
      </c>
      <c r="K27" s="12">
        <f>average(err_GDP_1qa!K23:K26)</f>
        <v>0.54542825</v>
      </c>
      <c r="L27" s="12">
        <f>average(err_GDP_1qa!L23:L26)</f>
        <v>0.7041465193</v>
      </c>
      <c r="M27" s="12"/>
      <c r="N27" s="12"/>
      <c r="O27" s="12">
        <f>average(err_GDP_1qa!O23:O26)</f>
        <v>0.5518253082</v>
      </c>
      <c r="P27" s="12">
        <f>average(err_GDP_1qa!P23:P26)</f>
        <v>0.5117359042</v>
      </c>
      <c r="Q27" s="12">
        <f>average(err_GDP_1qa!Q23:Q26)</f>
        <v>0.34530575</v>
      </c>
      <c r="R27" s="12"/>
      <c r="S27" s="12"/>
      <c r="T27" s="12"/>
      <c r="U27" s="12"/>
      <c r="V27" s="12"/>
      <c r="W27" s="12"/>
      <c r="X27" s="12"/>
      <c r="Y27" s="12"/>
      <c r="Z27" s="12"/>
      <c r="AA27" s="12">
        <f>average(err_GDP_1qa!AA23:AA26)</f>
        <v>0.723995101</v>
      </c>
      <c r="AB27" s="15" t="str">
        <f t="shared" si="1"/>
        <v>LQR</v>
      </c>
      <c r="AC27" s="13">
        <f t="shared" si="2"/>
        <v>0.34530575</v>
      </c>
    </row>
    <row r="28">
      <c r="A28" s="11">
        <v>202209.0</v>
      </c>
      <c r="B28" s="10">
        <v>0.2</v>
      </c>
      <c r="C28" s="12">
        <f>average(err_GDP_1qa!C24:C27)</f>
        <v>0.636606545</v>
      </c>
      <c r="D28" s="12">
        <f>average(err_GDP_1qa!D24:D27)</f>
        <v>0.5482015</v>
      </c>
      <c r="E28" s="12">
        <f>average(err_GDP_1qa!E24:E27)</f>
        <v>0.5707685</v>
      </c>
      <c r="F28" s="12">
        <f>average(err_GDP_1qa!F24:F27)</f>
        <v>0.5478979987</v>
      </c>
      <c r="G28" s="12"/>
      <c r="H28" s="12"/>
      <c r="I28" s="12">
        <f>average(err_GDP_1qa!I24:I27)</f>
        <v>0.6442761254</v>
      </c>
      <c r="J28" s="12">
        <f>average(err_GDP_1qa!J24:J27)</f>
        <v>0.3613942766</v>
      </c>
      <c r="K28" s="12">
        <f>average(err_GDP_1qa!K24:K27)</f>
        <v>0.49383875</v>
      </c>
      <c r="L28" s="12">
        <f>average(err_GDP_1qa!L24:L27)</f>
        <v>0.4455584709</v>
      </c>
      <c r="M28" s="12"/>
      <c r="N28" s="12"/>
      <c r="O28" s="12">
        <f>average(err_GDP_1qa!O24:O27)</f>
        <v>0.4191607298</v>
      </c>
      <c r="P28" s="12">
        <f>average(err_GDP_1qa!P24:P27)</f>
        <v>0.4226927966</v>
      </c>
      <c r="Q28" s="12">
        <f>average(err_GDP_1qa!Q24:Q27)</f>
        <v>0.4784895</v>
      </c>
      <c r="R28" s="12"/>
      <c r="S28" s="12"/>
      <c r="T28" s="12"/>
      <c r="U28" s="12"/>
      <c r="V28" s="12"/>
      <c r="W28" s="12"/>
      <c r="X28" s="12"/>
      <c r="Y28" s="12"/>
      <c r="Z28" s="12"/>
      <c r="AA28" s="12">
        <f>average(err_GDP_1qa!AA24:AA27)</f>
        <v>0.5884994385</v>
      </c>
      <c r="AB28" s="15" t="str">
        <f t="shared" si="1"/>
        <v>T-M</v>
      </c>
      <c r="AC28" s="13">
        <f t="shared" si="2"/>
        <v>0.3613942766</v>
      </c>
    </row>
    <row r="29">
      <c r="A29" s="11">
        <v>202212.0</v>
      </c>
      <c r="B29" s="10">
        <v>-0.3</v>
      </c>
      <c r="C29" s="12">
        <f>average(err_GDP_1qa!C25:C28)</f>
        <v>0.5112456425</v>
      </c>
      <c r="D29" s="12">
        <f>average(err_GDP_1qa!D25:D28)</f>
        <v>0.5056575</v>
      </c>
      <c r="E29" s="12">
        <f>average(err_GDP_1qa!E25:E28)</f>
        <v>0.558208</v>
      </c>
      <c r="F29" s="12">
        <f>average(err_GDP_1qa!F25:F28)</f>
        <v>0.3400846986</v>
      </c>
      <c r="G29" s="12"/>
      <c r="H29" s="12"/>
      <c r="I29" s="12">
        <f>average(err_GDP_1qa!I25:I28)</f>
        <v>0.366630471</v>
      </c>
      <c r="J29" s="12">
        <f>average(err_GDP_1qa!J25:J28)</f>
        <v>0.2614079445</v>
      </c>
      <c r="K29" s="12">
        <f>average(err_GDP_1qa!K25:K28)</f>
        <v>0.44996175</v>
      </c>
      <c r="L29" s="12">
        <f>average(err_GDP_1qa!L25:L28)</f>
        <v>0.5817094992</v>
      </c>
      <c r="M29" s="12"/>
      <c r="N29" s="12"/>
      <c r="O29" s="12">
        <f>average(err_GDP_1qa!O25:O28)</f>
        <v>0.5010637707</v>
      </c>
      <c r="P29" s="12">
        <f>average(err_GDP_1qa!P25:P28)</f>
        <v>0.3080524027</v>
      </c>
      <c r="Q29" s="12">
        <f>average(err_GDP_1qa!Q25:Q28)</f>
        <v>0.396795</v>
      </c>
      <c r="R29" s="12"/>
      <c r="S29" s="12"/>
      <c r="T29" s="12"/>
      <c r="U29" s="12"/>
      <c r="V29" s="12"/>
      <c r="W29" s="12"/>
      <c r="X29" s="12"/>
      <c r="Y29" s="12"/>
      <c r="Z29" s="12"/>
      <c r="AA29" s="12">
        <f>average(err_GDP_1qa!AA25:AA28)</f>
        <v>0.4778575002</v>
      </c>
      <c r="AB29" s="15" t="str">
        <f t="shared" si="1"/>
        <v>T-M</v>
      </c>
      <c r="AC29" s="13">
        <f t="shared" si="2"/>
        <v>0.2614079445</v>
      </c>
    </row>
    <row r="30">
      <c r="A30" s="11">
        <v>202303.0</v>
      </c>
      <c r="B30" s="10">
        <v>0.3</v>
      </c>
      <c r="C30" s="12">
        <f>average(err_GDP_1qa!C26:C29)</f>
        <v>0.73936281</v>
      </c>
      <c r="D30" s="12">
        <f>average(err_GDP_1qa!D26:D29)</f>
        <v>0.38099075</v>
      </c>
      <c r="E30" s="12">
        <f>average(err_GDP_1qa!E26:E29)</f>
        <v>0.40520825</v>
      </c>
      <c r="F30" s="12">
        <f>average(err_GDP_1qa!F26:F29)</f>
        <v>0.2578235398</v>
      </c>
      <c r="G30" s="12"/>
      <c r="H30" s="12"/>
      <c r="I30" s="12">
        <f>average(err_GDP_1qa!I26:I29)</f>
        <v>0.2321799372</v>
      </c>
      <c r="J30" s="12">
        <f>average(err_GDP_1qa!J26:J29)</f>
        <v>0.2499210621</v>
      </c>
      <c r="K30" s="12">
        <f>average(err_GDP_1qa!K26:K29)</f>
        <v>0.25902925</v>
      </c>
      <c r="L30" s="12">
        <f>average(err_GDP_1qa!L26:L29)</f>
        <v>0.5532854281</v>
      </c>
      <c r="M30" s="12"/>
      <c r="N30" s="12"/>
      <c r="O30" s="12">
        <f>average(err_GDP_1qa!O26:O29)</f>
        <v>0.5685202692</v>
      </c>
      <c r="P30" s="12">
        <f>average(err_GDP_1qa!P26:P29)</f>
        <v>0.3391014814</v>
      </c>
      <c r="Q30" s="12">
        <f>average(err_GDP_1qa!Q26:Q29)</f>
        <v>0.43104275</v>
      </c>
      <c r="R30" s="12"/>
      <c r="S30" s="12"/>
      <c r="T30" s="12"/>
      <c r="U30" s="12"/>
      <c r="V30" s="12"/>
      <c r="W30" s="12"/>
      <c r="X30" s="12"/>
      <c r="Y30" s="12"/>
      <c r="Z30" s="12"/>
      <c r="AA30" s="12">
        <f>average(err_GDP_1qa!AA26:AA29)</f>
        <v>0.4049305235</v>
      </c>
    </row>
    <row r="32">
      <c r="B32" s="2" t="s">
        <v>118</v>
      </c>
      <c r="C32" s="13">
        <f t="shared" ref="C32:F32" si="3">AVERAGE(C2:C30)</f>
        <v>0.7630430205</v>
      </c>
      <c r="D32" s="13">
        <f t="shared" si="3"/>
        <v>0.6246762167</v>
      </c>
      <c r="E32" s="13">
        <f t="shared" si="3"/>
        <v>0.6371553567</v>
      </c>
      <c r="F32" s="13">
        <f t="shared" si="3"/>
        <v>0.6637360497</v>
      </c>
      <c r="G32" s="13"/>
      <c r="H32" s="13"/>
      <c r="I32" s="13">
        <f t="shared" ref="I32:L32" si="4">AVERAGE(I2:I30)</f>
        <v>0.6082159299</v>
      </c>
      <c r="J32" s="13">
        <f t="shared" si="4"/>
        <v>0.5617889143</v>
      </c>
      <c r="K32" s="13">
        <f t="shared" si="4"/>
        <v>0.8336328567</v>
      </c>
      <c r="L32" s="13">
        <f t="shared" si="4"/>
        <v>0.6385584976</v>
      </c>
      <c r="M32" s="13"/>
      <c r="N32" s="13"/>
      <c r="O32" s="18">
        <f t="shared" ref="O32:Q32" si="5">AVERAGE(O2:O30)</f>
        <v>0.6712440104</v>
      </c>
      <c r="P32" s="18">
        <f t="shared" si="5"/>
        <v>0.583850388</v>
      </c>
      <c r="Q32" s="18">
        <f t="shared" si="5"/>
        <v>0.7002235533</v>
      </c>
      <c r="R32" s="18"/>
      <c r="S32" s="13"/>
      <c r="T32" s="13"/>
      <c r="U32" s="13"/>
      <c r="V32" s="13"/>
      <c r="W32" s="13"/>
      <c r="X32" s="13"/>
      <c r="Y32" s="13"/>
      <c r="Z32" s="13"/>
      <c r="AA32" s="13">
        <f>AVERAGE(AA2:AA30)</f>
        <v>2.04131523</v>
      </c>
      <c r="AC32" s="13">
        <f>AVERAGE(AC2:AC30)</f>
        <v>0.4122454455</v>
      </c>
    </row>
    <row r="33">
      <c r="B33" s="2" t="s">
        <v>119</v>
      </c>
      <c r="C33" s="13">
        <f t="shared" ref="C33:F33" si="6">(sumsq(C2:C30)/count(C2:C30))^(0.5)</f>
        <v>0.971214609</v>
      </c>
      <c r="D33" s="13">
        <f t="shared" si="6"/>
        <v>0.7613275501</v>
      </c>
      <c r="E33" s="13">
        <f t="shared" si="6"/>
        <v>0.7629160135</v>
      </c>
      <c r="F33" s="13">
        <f t="shared" si="6"/>
        <v>0.8903805996</v>
      </c>
      <c r="G33" s="13"/>
      <c r="H33" s="13"/>
      <c r="I33" s="13">
        <f t="shared" ref="I33:L33" si="7">(sumsq(I2:I30)/count(I2:I30))^(0.5)</f>
        <v>0.6742433034</v>
      </c>
      <c r="J33" s="13">
        <f t="shared" si="7"/>
        <v>0.6730847478</v>
      </c>
      <c r="K33" s="13">
        <f t="shared" si="7"/>
        <v>0.9922175359</v>
      </c>
      <c r="L33" s="13">
        <f t="shared" si="7"/>
        <v>0.7032589528</v>
      </c>
      <c r="M33" s="13"/>
      <c r="N33" s="13"/>
      <c r="O33" s="18">
        <f t="shared" ref="O33:Q33" si="8">(sumsq(O2:O30)/count(O2:O30))^(0.5)</f>
        <v>0.8305586265</v>
      </c>
      <c r="P33" s="18">
        <f t="shared" si="8"/>
        <v>0.6104392022</v>
      </c>
      <c r="Q33" s="18">
        <f t="shared" si="8"/>
        <v>0.9003282985</v>
      </c>
      <c r="R33" s="18"/>
      <c r="S33" s="13"/>
      <c r="T33" s="13"/>
      <c r="U33" s="13"/>
      <c r="V33" s="13"/>
      <c r="W33" s="13"/>
      <c r="X33" s="13"/>
      <c r="Y33" s="13"/>
      <c r="Z33" s="13"/>
      <c r="AA33" s="13">
        <f>(sumsq(AA2:AA30)/count(AA2:AA30))^(0.5)</f>
        <v>3.922459351</v>
      </c>
      <c r="AC33" s="13">
        <f>(sumsq(AC2:AC30)/count(AC2:AC30))^(0.5)</f>
        <v>0.4789808009</v>
      </c>
    </row>
    <row r="34">
      <c r="B34" s="2" t="s">
        <v>120</v>
      </c>
      <c r="C34" s="13">
        <f t="shared" ref="C34:F34" si="9">MAX(C2:C30)</f>
        <v>2.300544113</v>
      </c>
      <c r="D34" s="13">
        <f t="shared" si="9"/>
        <v>1.57083275</v>
      </c>
      <c r="E34" s="13">
        <f t="shared" si="9"/>
        <v>1.586206</v>
      </c>
      <c r="F34" s="13">
        <f t="shared" si="9"/>
        <v>2.228247773</v>
      </c>
      <c r="G34" s="13"/>
      <c r="H34" s="13"/>
      <c r="I34" s="13">
        <f t="shared" ref="I34:L34" si="10">MAX(I2:I30)</f>
        <v>1.336472211</v>
      </c>
      <c r="J34" s="13">
        <f t="shared" si="10"/>
        <v>1.484494764</v>
      </c>
      <c r="K34" s="13">
        <f t="shared" si="10"/>
        <v>2.27845175</v>
      </c>
      <c r="L34" s="13">
        <f t="shared" si="10"/>
        <v>1.18140266</v>
      </c>
      <c r="M34" s="13"/>
      <c r="N34" s="13"/>
      <c r="O34" s="18">
        <f t="shared" ref="O34:Q34" si="11">MAX(O2:O30)</f>
        <v>1.872158803</v>
      </c>
      <c r="P34" s="18">
        <f t="shared" si="11"/>
        <v>0.9766404152</v>
      </c>
      <c r="Q34" s="18">
        <f t="shared" si="11"/>
        <v>2.0759855</v>
      </c>
      <c r="R34" s="18"/>
      <c r="S34" s="13"/>
      <c r="T34" s="13"/>
      <c r="U34" s="13"/>
      <c r="V34" s="13"/>
      <c r="W34" s="13"/>
      <c r="X34" s="13"/>
      <c r="Y34" s="13"/>
      <c r="Z34" s="13"/>
      <c r="AA34" s="13">
        <f>MAX(AA2:AA30)</f>
        <v>10.11340397</v>
      </c>
      <c r="AC34" s="13">
        <f>MAX(AC2:AC30)</f>
        <v>0.9766404152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9"/>
      <c r="B1" s="10" t="s">
        <v>102</v>
      </c>
      <c r="C1" s="2" t="s">
        <v>121</v>
      </c>
      <c r="D1" s="2" t="s">
        <v>122</v>
      </c>
      <c r="E1" s="2" t="s">
        <v>123</v>
      </c>
      <c r="F1" s="2" t="s">
        <v>124</v>
      </c>
      <c r="H1" s="2" t="s">
        <v>76</v>
      </c>
      <c r="I1" s="2" t="s">
        <v>56</v>
      </c>
      <c r="J1" s="2" t="s">
        <v>125</v>
      </c>
      <c r="K1" s="2" t="s">
        <v>126</v>
      </c>
      <c r="L1" s="2" t="s">
        <v>127</v>
      </c>
      <c r="M1" s="2" t="s">
        <v>128</v>
      </c>
      <c r="O1" s="2" t="s">
        <v>129</v>
      </c>
      <c r="P1" s="2" t="s">
        <v>130</v>
      </c>
      <c r="Q1" s="2" t="s">
        <v>131</v>
      </c>
      <c r="R1" s="2" t="s">
        <v>132</v>
      </c>
      <c r="AA1" s="2" t="s">
        <v>87</v>
      </c>
      <c r="AB1" s="2" t="s">
        <v>133</v>
      </c>
      <c r="AC1" s="2" t="s">
        <v>134</v>
      </c>
    </row>
    <row r="2">
      <c r="A2" s="11">
        <v>201603.0</v>
      </c>
      <c r="B2" s="10">
        <v>0.3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2"/>
      <c r="N2" s="12"/>
    </row>
    <row r="3">
      <c r="A3" s="11">
        <v>201606.0</v>
      </c>
      <c r="B3" s="10">
        <v>1.2</v>
      </c>
      <c r="C3" s="12"/>
      <c r="D3" s="12"/>
      <c r="E3" s="12"/>
      <c r="F3" s="12"/>
      <c r="G3" s="12"/>
      <c r="H3" s="12"/>
      <c r="I3" s="12"/>
      <c r="J3" s="12"/>
      <c r="K3" s="12"/>
      <c r="L3" s="13"/>
      <c r="M3" s="12"/>
      <c r="N3" s="12"/>
    </row>
    <row r="4">
      <c r="A4" s="11">
        <v>201609.0</v>
      </c>
      <c r="B4" s="10">
        <v>0.4</v>
      </c>
      <c r="C4" s="12"/>
      <c r="D4" s="12"/>
      <c r="E4" s="12"/>
      <c r="F4" s="12"/>
      <c r="G4" s="12"/>
      <c r="H4" s="12"/>
      <c r="I4" s="12"/>
      <c r="J4" s="12"/>
      <c r="K4" s="12"/>
      <c r="L4" s="13"/>
      <c r="M4" s="12"/>
      <c r="N4" s="12"/>
    </row>
    <row r="5">
      <c r="A5" s="11">
        <v>201612.0</v>
      </c>
      <c r="B5" s="10">
        <v>0.6</v>
      </c>
      <c r="C5" s="12"/>
      <c r="D5" s="12"/>
      <c r="E5" s="12"/>
      <c r="F5" s="12"/>
      <c r="G5" s="12"/>
      <c r="H5" s="12"/>
      <c r="I5" s="12"/>
      <c r="J5" s="12"/>
      <c r="K5" s="12"/>
      <c r="L5" s="13"/>
      <c r="M5" s="12"/>
      <c r="N5" s="12"/>
    </row>
    <row r="6">
      <c r="A6" s="11">
        <v>201703.0</v>
      </c>
      <c r="B6" s="10">
        <v>1.0</v>
      </c>
      <c r="C6" s="16"/>
      <c r="D6" s="16"/>
      <c r="E6" s="16"/>
      <c r="F6" s="16"/>
      <c r="G6" s="16"/>
      <c r="H6" s="16"/>
      <c r="I6" s="16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5" t="str">
        <f t="shared" ref="AB6:AB29" si="1">index($C$1:$AA$1, match(min(C6:AA6),C6:AA6,0))</f>
        <v>#N/A</v>
      </c>
      <c r="AC6" s="17">
        <f t="shared" ref="AC6:AC29" si="2">min(C6:AA6)</f>
        <v>0</v>
      </c>
    </row>
    <row r="7">
      <c r="A7" s="11">
        <v>201706.0</v>
      </c>
      <c r="B7" s="10">
        <v>0.8</v>
      </c>
      <c r="C7" s="12" t="str">
        <f>if(rank('Ens_1qa작업'!C6,'Ens_1qa작업'!$C6:$Z6,1)&lt;=5,pred_GDP_1qa!C7,"")</f>
        <v/>
      </c>
      <c r="D7" s="12">
        <f>if(rank('Ens_1qa작업'!D6,'Ens_1qa작업'!$C6:$Z6,1)&lt;=5,pred_GDP_1qa!D7,"")</f>
        <v>0.469731</v>
      </c>
      <c r="E7" s="12" t="str">
        <f>if(rank('Ens_1qa작업'!E6,'Ens_1qa작업'!$C6:$Z6,1)&lt;=5,pred_GDP_1qa!E7,"")</f>
        <v/>
      </c>
      <c r="F7" s="12" t="str">
        <f>if(rank('Ens_1qa작업'!F6,'Ens_1qa작업'!$C6:$Z6,1)&lt;=5,pred_GDP_1qa!F7,"")</f>
        <v/>
      </c>
      <c r="G7" s="12"/>
      <c r="H7" s="12"/>
      <c r="I7" s="12">
        <f>if(rank('Ens_1qa작업'!I6,'Ens_1qa작업'!$C6:$Z6,1)&lt;=5,pred_GDP_1qa!I7,"")</f>
        <v>1.048354014</v>
      </c>
      <c r="J7" s="12">
        <f>if(rank('Ens_1qa작업'!J6,'Ens_1qa작업'!$C6:$Z6,1)&lt;=5,pred_GDP_1qa!J7,"")</f>
        <v>1.080669808</v>
      </c>
      <c r="K7" s="12" t="str">
        <f>if(rank('Ens_1qa작업'!K6,'Ens_1qa작업'!$C6:$Z6,1)&lt;=5,pred_GDP_1qa!K7,"")</f>
        <v/>
      </c>
      <c r="L7" s="12">
        <f>if(rank('Ens_1qa작업'!L6,'Ens_1qa작업'!$C6:$Z6,1)&lt;=5,pred_GDP_1qa!L7,"")</f>
        <v>-0.358109222</v>
      </c>
      <c r="M7" s="12"/>
      <c r="N7" s="12"/>
      <c r="O7" s="12">
        <f>if(rank('Ens_1qa작업'!O6,'Ens_1qa작업'!$C6:$Z6,1)&lt;=5,pred_GDP_1qa!O7,"")</f>
        <v>0.409885344</v>
      </c>
      <c r="P7" s="12" t="str">
        <f>if(rank('Ens_1qa작업'!P6,'Ens_1qa작업'!$C6:$Z6,1)&lt;=5,pred_GDP_1qa!P7,"")</f>
        <v/>
      </c>
      <c r="Q7" s="12" t="str">
        <f>if(rank('Ens_1qa작업'!Q6,'Ens_1qa작업'!$C6:$Z6,1)&lt;=5,pred_GDP_1qa!Q7,"")</f>
        <v/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5" t="str">
        <f t="shared" si="1"/>
        <v>SVR-KNN</v>
      </c>
      <c r="AC7" s="13">
        <f t="shared" si="2"/>
        <v>-0.358109222</v>
      </c>
    </row>
    <row r="8">
      <c r="A8" s="11">
        <v>201709.0</v>
      </c>
      <c r="B8" s="10">
        <v>1.4</v>
      </c>
      <c r="C8" s="12" t="str">
        <f>if(rank('Ens_1qa작업'!C7,'Ens_1qa작업'!$C7:$Z7,1)&lt;=5,pred_GDP_1qa!C8,"")</f>
        <v/>
      </c>
      <c r="D8" s="12">
        <f>if(rank('Ens_1qa작업'!D7,'Ens_1qa작업'!$C7:$Z7,1)&lt;=5,pred_GDP_1qa!D8,"")</f>
        <v>0.500708</v>
      </c>
      <c r="E8" s="12">
        <f>if(rank('Ens_1qa작업'!E7,'Ens_1qa작업'!$C7:$Z7,1)&lt;=5,pred_GDP_1qa!E8,"")</f>
        <v>0.449075</v>
      </c>
      <c r="F8" s="12" t="str">
        <f>if(rank('Ens_1qa작업'!F7,'Ens_1qa작업'!$C7:$Z7,1)&lt;=5,pred_GDP_1qa!F8,"")</f>
        <v/>
      </c>
      <c r="G8" s="12"/>
      <c r="H8" s="12"/>
      <c r="I8" s="12" t="str">
        <f>if(rank('Ens_1qa작업'!I7,'Ens_1qa작업'!$C7:$Z7,1)&lt;=5,pred_GDP_1qa!I8,"")</f>
        <v/>
      </c>
      <c r="J8" s="12">
        <f>if(rank('Ens_1qa작업'!J7,'Ens_1qa작업'!$C7:$Z7,1)&lt;=5,pred_GDP_1qa!J8,"")</f>
        <v>0.7163979036</v>
      </c>
      <c r="K8" s="12" t="str">
        <f>if(rank('Ens_1qa작업'!K7,'Ens_1qa작업'!$C7:$Z7,1)&lt;=5,pred_GDP_1qa!K8,"")</f>
        <v/>
      </c>
      <c r="L8" s="12" t="str">
        <f>if(rank('Ens_1qa작업'!L7,'Ens_1qa작업'!$C7:$Z7,1)&lt;=5,pred_GDP_1qa!L8,"")</f>
        <v/>
      </c>
      <c r="M8" s="12"/>
      <c r="N8" s="12"/>
      <c r="O8" s="12">
        <f>if(rank('Ens_1qa작업'!O7,'Ens_1qa작업'!$C7:$Z7,1)&lt;=5,pred_GDP_1qa!O8,"")</f>
        <v>0.4523410245</v>
      </c>
      <c r="P8" s="12" t="str">
        <f>if(rank('Ens_1qa작업'!P7,'Ens_1qa작업'!$C7:$Z7,1)&lt;=5,pred_GDP_1qa!P8,"")</f>
        <v/>
      </c>
      <c r="Q8" s="12">
        <f>if(rank('Ens_1qa작업'!Q7,'Ens_1qa작업'!$C7:$Z7,1)&lt;=5,pred_GDP_1qa!Q8,"")</f>
        <v>0.84539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5" t="str">
        <f t="shared" si="1"/>
        <v>BEM2</v>
      </c>
      <c r="AC8" s="13">
        <f t="shared" si="2"/>
        <v>0.449075</v>
      </c>
    </row>
    <row r="9">
      <c r="A9" s="11">
        <v>201712.0</v>
      </c>
      <c r="B9" s="10">
        <v>-0.3</v>
      </c>
      <c r="C9" s="12">
        <f>if(rank('Ens_1qa작업'!C8,'Ens_1qa작업'!$C8:$Z8,1)&lt;=5,pred_GDP_1qa!C9,"")</f>
        <v>0.97254494</v>
      </c>
      <c r="D9" s="12">
        <f>if(rank('Ens_1qa작업'!D8,'Ens_1qa작업'!$C8:$Z8,1)&lt;=5,pred_GDP_1qa!D9,"")</f>
        <v>0.547752</v>
      </c>
      <c r="E9" s="12">
        <f>if(rank('Ens_1qa작업'!E8,'Ens_1qa작업'!$C8:$Z8,1)&lt;=5,pred_GDP_1qa!E9,"")</f>
        <v>0.462819</v>
      </c>
      <c r="F9" s="12">
        <f>if(rank('Ens_1qa작업'!F8,'Ens_1qa작업'!$C8:$Z8,1)&lt;=5,pred_GDP_1qa!F9,"")</f>
        <v>0.4392551563</v>
      </c>
      <c r="G9" s="12"/>
      <c r="H9" s="12"/>
      <c r="I9" s="12" t="str">
        <f>if(rank('Ens_1qa작업'!I8,'Ens_1qa작업'!$C8:$Z8,1)&lt;=5,pred_GDP_1qa!I9,"")</f>
        <v/>
      </c>
      <c r="J9" s="12" t="str">
        <f>if(rank('Ens_1qa작업'!J8,'Ens_1qa작업'!$C8:$Z8,1)&lt;=5,pred_GDP_1qa!J9,"")</f>
        <v/>
      </c>
      <c r="K9" s="12" t="str">
        <f>if(rank('Ens_1qa작업'!K8,'Ens_1qa작업'!$C8:$Z8,1)&lt;=5,pred_GDP_1qa!K9,"")</f>
        <v/>
      </c>
      <c r="L9" s="12" t="str">
        <f>if(rank('Ens_1qa작업'!L8,'Ens_1qa작업'!$C8:$Z8,1)&lt;=5,pred_GDP_1qa!L9,"")</f>
        <v/>
      </c>
      <c r="M9" s="12"/>
      <c r="N9" s="12"/>
      <c r="O9" s="12" t="str">
        <f>if(rank('Ens_1qa작업'!O8,'Ens_1qa작업'!$C8:$Z8,1)&lt;=5,pred_GDP_1qa!O9,"")</f>
        <v/>
      </c>
      <c r="P9" s="12" t="str">
        <f>if(rank('Ens_1qa작업'!P8,'Ens_1qa작업'!$C8:$Z8,1)&lt;=5,pred_GDP_1qa!P9,"")</f>
        <v/>
      </c>
      <c r="Q9" s="12">
        <f>if(rank('Ens_1qa작업'!Q8,'Ens_1qa작업'!$C8:$Z8,1)&lt;=5,pred_GDP_1qa!Q9,"")</f>
        <v>0.849378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5" t="str">
        <f t="shared" si="1"/>
        <v>BEM3</v>
      </c>
      <c r="AC9" s="13">
        <f t="shared" si="2"/>
        <v>0.4392551563</v>
      </c>
    </row>
    <row r="10">
      <c r="A10" s="11">
        <v>201803.0</v>
      </c>
      <c r="B10" s="10">
        <v>1.3</v>
      </c>
      <c r="C10" s="12">
        <f>if(rank('Ens_1qa작업'!C9,'Ens_1qa작업'!$C9:$Z9,1)&lt;=5,pred_GDP_1qa!C10,"")</f>
        <v>0.92490877</v>
      </c>
      <c r="D10" s="12">
        <f>if(rank('Ens_1qa작업'!D9,'Ens_1qa작업'!$C9:$Z9,1)&lt;=5,pred_GDP_1qa!D10,"")</f>
        <v>0.669417</v>
      </c>
      <c r="E10" s="12" t="str">
        <f>if(rank('Ens_1qa작업'!E9,'Ens_1qa작업'!$C9:$Z9,1)&lt;=5,pred_GDP_1qa!E10,"")</f>
        <v/>
      </c>
      <c r="F10" s="12">
        <f>if(rank('Ens_1qa작업'!F9,'Ens_1qa작업'!$C9:$Z9,1)&lt;=5,pred_GDP_1qa!F10,"")</f>
        <v>0.9713311517</v>
      </c>
      <c r="G10" s="12"/>
      <c r="H10" s="12"/>
      <c r="I10" s="12" t="str">
        <f>if(rank('Ens_1qa작업'!I9,'Ens_1qa작업'!$C9:$Z9,1)&lt;=5,pred_GDP_1qa!I10,"")</f>
        <v/>
      </c>
      <c r="J10" s="12">
        <f>if(rank('Ens_1qa작업'!J9,'Ens_1qa작업'!$C9:$Z9,1)&lt;=5,pred_GDP_1qa!J10,"")</f>
        <v>0.7970818568</v>
      </c>
      <c r="K10" s="12" t="str">
        <f>if(rank('Ens_1qa작업'!K9,'Ens_1qa작업'!$C9:$Z9,1)&lt;=5,pred_GDP_1qa!K10,"")</f>
        <v/>
      </c>
      <c r="L10" s="12" t="str">
        <f>if(rank('Ens_1qa작업'!L9,'Ens_1qa작업'!$C9:$Z9,1)&lt;=5,pred_GDP_1qa!L10,"")</f>
        <v/>
      </c>
      <c r="M10" s="12"/>
      <c r="N10" s="12"/>
      <c r="O10" s="12" t="str">
        <f>if(rank('Ens_1qa작업'!O9,'Ens_1qa작업'!$C9:$Z9,1)&lt;=5,pred_GDP_1qa!O10,"")</f>
        <v/>
      </c>
      <c r="P10" s="12" t="str">
        <f>if(rank('Ens_1qa작업'!P9,'Ens_1qa작업'!$C9:$Z9,1)&lt;=5,pred_GDP_1qa!P10,"")</f>
        <v/>
      </c>
      <c r="Q10" s="12">
        <f>if(rank('Ens_1qa작업'!Q9,'Ens_1qa작업'!$C9:$Z9,1)&lt;=5,pred_GDP_1qa!Q10,"")</f>
        <v>0.548781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5" t="str">
        <f t="shared" si="1"/>
        <v>LQR</v>
      </c>
      <c r="AC10" s="13">
        <f t="shared" si="2"/>
        <v>0.548781</v>
      </c>
    </row>
    <row r="11">
      <c r="A11" s="11">
        <v>201806.0</v>
      </c>
      <c r="B11" s="10">
        <v>0.7</v>
      </c>
      <c r="C11" s="12">
        <f>if(rank('Ens_1qa작업'!C10,'Ens_1qa작업'!$C10:$Z10,1)&lt;=5,pred_GDP_1qa!C11,"")</f>
        <v>0.61097282</v>
      </c>
      <c r="D11" s="12">
        <f>if(rank('Ens_1qa작업'!D10,'Ens_1qa작업'!$C10:$Z10,1)&lt;=5,pred_GDP_1qa!D11,"")</f>
        <v>0.6894</v>
      </c>
      <c r="E11" s="12">
        <f>if(rank('Ens_1qa작업'!E10,'Ens_1qa작업'!$C10:$Z10,1)&lt;=5,pred_GDP_1qa!E11,"")</f>
        <v>0.651112</v>
      </c>
      <c r="F11" s="12">
        <f>if(rank('Ens_1qa작업'!F10,'Ens_1qa작업'!$C10:$Z10,1)&lt;=5,pred_GDP_1qa!F11,"")</f>
        <v>0.5150402011</v>
      </c>
      <c r="G11" s="12"/>
      <c r="H11" s="12"/>
      <c r="I11" s="12" t="str">
        <f>if(rank('Ens_1qa작업'!I10,'Ens_1qa작업'!$C10:$Z10,1)&lt;=5,pred_GDP_1qa!I11,"")</f>
        <v/>
      </c>
      <c r="J11" s="12" t="str">
        <f>if(rank('Ens_1qa작업'!J10,'Ens_1qa작업'!$C10:$Z10,1)&lt;=5,pred_GDP_1qa!J11,"")</f>
        <v/>
      </c>
      <c r="K11" s="12" t="str">
        <f>if(rank('Ens_1qa작업'!K10,'Ens_1qa작업'!$C10:$Z10,1)&lt;=5,pred_GDP_1qa!K11,"")</f>
        <v/>
      </c>
      <c r="L11" s="12" t="str">
        <f>if(rank('Ens_1qa작업'!L10,'Ens_1qa작업'!$C10:$Z10,1)&lt;=5,pred_GDP_1qa!L11,"")</f>
        <v/>
      </c>
      <c r="M11" s="12"/>
      <c r="N11" s="12"/>
      <c r="O11" s="12" t="str">
        <f>if(rank('Ens_1qa작업'!O10,'Ens_1qa작업'!$C10:$Z10,1)&lt;=5,pred_GDP_1qa!O11,"")</f>
        <v/>
      </c>
      <c r="P11" s="12" t="str">
        <f>if(rank('Ens_1qa작업'!P10,'Ens_1qa작업'!$C10:$Z10,1)&lt;=5,pred_GDP_1qa!P11,"")</f>
        <v/>
      </c>
      <c r="Q11" s="12">
        <f>if(rank('Ens_1qa작업'!Q10,'Ens_1qa작업'!$C10:$Z10,1)&lt;=5,pred_GDP_1qa!Q11,"")</f>
        <v>0.663451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5" t="str">
        <f t="shared" si="1"/>
        <v>BEM3</v>
      </c>
      <c r="AC11" s="13">
        <f t="shared" si="2"/>
        <v>0.5150402011</v>
      </c>
    </row>
    <row r="12">
      <c r="A12" s="11">
        <v>201809.0</v>
      </c>
      <c r="B12" s="10">
        <v>0.6</v>
      </c>
      <c r="C12" s="12">
        <f>if(rank('Ens_1qa작업'!C11,'Ens_1qa작업'!$C11:$Z11,1)&lt;=5,pred_GDP_1qa!C12,"")</f>
        <v>1.04818163</v>
      </c>
      <c r="D12" s="12">
        <f>if(rank('Ens_1qa작업'!D11,'Ens_1qa작업'!$C11:$Z11,1)&lt;=5,pred_GDP_1qa!D12,"")</f>
        <v>0.607729</v>
      </c>
      <c r="E12" s="12" t="str">
        <f>if(rank('Ens_1qa작업'!E11,'Ens_1qa작업'!$C11:$Z11,1)&lt;=5,pred_GDP_1qa!E12,"")</f>
        <v/>
      </c>
      <c r="F12" s="12">
        <f>if(rank('Ens_1qa작업'!F11,'Ens_1qa작업'!$C11:$Z11,1)&lt;=5,pred_GDP_1qa!F12,"")</f>
        <v>0.7957078641</v>
      </c>
      <c r="G12" s="12"/>
      <c r="H12" s="12"/>
      <c r="I12" s="12" t="str">
        <f>if(rank('Ens_1qa작업'!I11,'Ens_1qa작업'!$C11:$Z11,1)&lt;=5,pred_GDP_1qa!I12,"")</f>
        <v/>
      </c>
      <c r="J12" s="12" t="str">
        <f>if(rank('Ens_1qa작업'!J11,'Ens_1qa작업'!$C11:$Z11,1)&lt;=5,pred_GDP_1qa!J12,"")</f>
        <v/>
      </c>
      <c r="K12" s="12" t="str">
        <f>if(rank('Ens_1qa작업'!K11,'Ens_1qa작업'!$C11:$Z11,1)&lt;=5,pred_GDP_1qa!K12,"")</f>
        <v/>
      </c>
      <c r="L12" s="12" t="str">
        <f>if(rank('Ens_1qa작업'!L11,'Ens_1qa작업'!$C11:$Z11,1)&lt;=5,pred_GDP_1qa!L12,"")</f>
        <v/>
      </c>
      <c r="M12" s="12"/>
      <c r="N12" s="12"/>
      <c r="O12" s="12" t="str">
        <f>if(rank('Ens_1qa작업'!O11,'Ens_1qa작업'!$C11:$Z11,1)&lt;=5,pred_GDP_1qa!O12,"")</f>
        <v/>
      </c>
      <c r="P12" s="12">
        <f>if(rank('Ens_1qa작업'!P11,'Ens_1qa작업'!$C11:$Z11,1)&lt;=5,pred_GDP_1qa!P12,"")</f>
        <v>1.461755157</v>
      </c>
      <c r="Q12" s="12">
        <f>if(rank('Ens_1qa작업'!Q11,'Ens_1qa작업'!$C11:$Z11,1)&lt;=5,pred_GDP_1qa!Q12,"")</f>
        <v>0.606897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5" t="str">
        <f t="shared" si="1"/>
        <v>LQR</v>
      </c>
      <c r="AC12" s="13">
        <f t="shared" si="2"/>
        <v>0.606897</v>
      </c>
    </row>
    <row r="13">
      <c r="A13" s="11">
        <v>201812.0</v>
      </c>
      <c r="B13" s="10">
        <v>0.6</v>
      </c>
      <c r="C13" s="12">
        <f>if(rank('Ens_1qa작업'!C12,'Ens_1qa작업'!$C12:$Z12,1)&lt;=5,pred_GDP_1qa!C13,"")</f>
        <v>0.54190395</v>
      </c>
      <c r="D13" s="12">
        <f>if(rank('Ens_1qa작업'!D12,'Ens_1qa작업'!$C12:$Z12,1)&lt;=5,pred_GDP_1qa!D13,"")</f>
        <v>0.505337</v>
      </c>
      <c r="E13" s="12">
        <f>if(rank('Ens_1qa작업'!E12,'Ens_1qa작업'!$C12:$Z12,1)&lt;=5,pred_GDP_1qa!E13,"")</f>
        <v>0.446804</v>
      </c>
      <c r="F13" s="12">
        <f>if(rank('Ens_1qa작업'!F12,'Ens_1qa작업'!$C12:$Z12,1)&lt;=5,pred_GDP_1qa!F13,"")</f>
        <v>0.5321437502</v>
      </c>
      <c r="G13" s="12"/>
      <c r="H13" s="12"/>
      <c r="I13" s="12" t="str">
        <f>if(rank('Ens_1qa작업'!I12,'Ens_1qa작업'!$C12:$Z12,1)&lt;=5,pred_GDP_1qa!I13,"")</f>
        <v/>
      </c>
      <c r="J13" s="12" t="str">
        <f>if(rank('Ens_1qa작업'!J12,'Ens_1qa작업'!$C12:$Z12,1)&lt;=5,pred_GDP_1qa!J13,"")</f>
        <v/>
      </c>
      <c r="K13" s="12" t="str">
        <f>if(rank('Ens_1qa작업'!K12,'Ens_1qa작업'!$C12:$Z12,1)&lt;=5,pred_GDP_1qa!K13,"")</f>
        <v/>
      </c>
      <c r="L13" s="12" t="str">
        <f>if(rank('Ens_1qa작업'!L12,'Ens_1qa작업'!$C12:$Z12,1)&lt;=5,pred_GDP_1qa!L13,"")</f>
        <v/>
      </c>
      <c r="M13" s="12"/>
      <c r="N13" s="12"/>
      <c r="O13" s="12" t="str">
        <f>if(rank('Ens_1qa작업'!O12,'Ens_1qa작업'!$C12:$Z12,1)&lt;=5,pred_GDP_1qa!O13,"")</f>
        <v/>
      </c>
      <c r="P13" s="12" t="str">
        <f>if(rank('Ens_1qa작업'!P12,'Ens_1qa작업'!$C12:$Z12,1)&lt;=5,pred_GDP_1qa!P13,"")</f>
        <v/>
      </c>
      <c r="Q13" s="12">
        <f>if(rank('Ens_1qa작업'!Q12,'Ens_1qa작업'!$C12:$Z12,1)&lt;=5,pred_GDP_1qa!Q13,"")</f>
        <v>0.970054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5" t="str">
        <f t="shared" si="1"/>
        <v>BEM2</v>
      </c>
      <c r="AC13" s="13">
        <f t="shared" si="2"/>
        <v>0.446804</v>
      </c>
    </row>
    <row r="14">
      <c r="A14" s="11">
        <v>201903.0</v>
      </c>
      <c r="B14" s="10">
        <v>-0.1</v>
      </c>
      <c r="C14" s="12" t="str">
        <f>if(rank('Ens_1qa작업'!C13,'Ens_1qa작업'!$C13:$Z13,1)&lt;=5,pred_GDP_1qa!C14,"")</f>
        <v/>
      </c>
      <c r="D14" s="12">
        <f>if(rank('Ens_1qa작업'!D13,'Ens_1qa작업'!$C13:$Z13,1)&lt;=5,pred_GDP_1qa!D14,"")</f>
        <v>0.395094</v>
      </c>
      <c r="E14" s="12">
        <f>if(rank('Ens_1qa작업'!E13,'Ens_1qa작업'!$C13:$Z13,1)&lt;=5,pred_GDP_1qa!E14,"")</f>
        <v>0.333607</v>
      </c>
      <c r="F14" s="12">
        <f>if(rank('Ens_1qa작업'!F13,'Ens_1qa작업'!$C13:$Z13,1)&lt;=5,pred_GDP_1qa!F14,"")</f>
        <v>0.249530522</v>
      </c>
      <c r="G14" s="12"/>
      <c r="H14" s="12"/>
      <c r="I14" s="12" t="str">
        <f>if(rank('Ens_1qa작업'!I13,'Ens_1qa작업'!$C13:$Z13,1)&lt;=5,pred_GDP_1qa!I14,"")</f>
        <v/>
      </c>
      <c r="J14" s="12" t="str">
        <f>if(rank('Ens_1qa작업'!J13,'Ens_1qa작업'!$C13:$Z13,1)&lt;=5,pred_GDP_1qa!J14,"")</f>
        <v/>
      </c>
      <c r="K14" s="12" t="str">
        <f>if(rank('Ens_1qa작업'!K13,'Ens_1qa작업'!$C13:$Z13,1)&lt;=5,pred_GDP_1qa!K14,"")</f>
        <v/>
      </c>
      <c r="L14" s="12">
        <f>if(rank('Ens_1qa작업'!L13,'Ens_1qa작업'!$C13:$Z13,1)&lt;=5,pred_GDP_1qa!L14,"")</f>
        <v>-0.5249372297</v>
      </c>
      <c r="M14" s="12"/>
      <c r="N14" s="12"/>
      <c r="O14" s="12">
        <f>if(rank('Ens_1qa작업'!O13,'Ens_1qa작업'!$C13:$Z13,1)&lt;=5,pred_GDP_1qa!O14,"")</f>
        <v>0.6892892872</v>
      </c>
      <c r="P14" s="12" t="str">
        <f>if(rank('Ens_1qa작업'!P13,'Ens_1qa작업'!$C13:$Z13,1)&lt;=5,pred_GDP_1qa!P14,"")</f>
        <v/>
      </c>
      <c r="Q14" s="12" t="str">
        <f>if(rank('Ens_1qa작업'!Q13,'Ens_1qa작업'!$C13:$Z13,1)&lt;=5,pred_GDP_1qa!Q14,"")</f>
        <v/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5" t="str">
        <f t="shared" si="1"/>
        <v>SVR-KNN</v>
      </c>
      <c r="AC14" s="13">
        <f t="shared" si="2"/>
        <v>-0.5249372297</v>
      </c>
    </row>
    <row r="15">
      <c r="A15" s="11">
        <v>201906.0</v>
      </c>
      <c r="B15" s="10">
        <v>1.1</v>
      </c>
      <c r="C15" s="12">
        <f>if(rank('Ens_1qa작업'!C14,'Ens_1qa작업'!$C14:$Z14,1)&lt;=5,pred_GDP_1qa!C15,"")</f>
        <v>0.55266637</v>
      </c>
      <c r="D15" s="12">
        <f>if(rank('Ens_1qa작업'!D14,'Ens_1qa작업'!$C14:$Z14,1)&lt;=5,pred_GDP_1qa!D15,"")</f>
        <v>0.672491</v>
      </c>
      <c r="E15" s="12">
        <f>if(rank('Ens_1qa작업'!E14,'Ens_1qa작업'!$C14:$Z14,1)&lt;=5,pred_GDP_1qa!E15,"")</f>
        <v>0.634205</v>
      </c>
      <c r="F15" s="12">
        <f>if(rank('Ens_1qa작업'!F14,'Ens_1qa작업'!$C14:$Z14,1)&lt;=5,pred_GDP_1qa!F15,"")</f>
        <v>0.4088380386</v>
      </c>
      <c r="G15" s="12"/>
      <c r="H15" s="12"/>
      <c r="I15" s="12" t="str">
        <f>if(rank('Ens_1qa작업'!I14,'Ens_1qa작업'!$C14:$Z14,1)&lt;=5,pred_GDP_1qa!I15,"")</f>
        <v/>
      </c>
      <c r="J15" s="12" t="str">
        <f>if(rank('Ens_1qa작업'!J14,'Ens_1qa작업'!$C14:$Z14,1)&lt;=5,pred_GDP_1qa!J15,"")</f>
        <v/>
      </c>
      <c r="K15" s="12" t="str">
        <f>if(rank('Ens_1qa작업'!K14,'Ens_1qa작업'!$C14:$Z14,1)&lt;=5,pred_GDP_1qa!K15,"")</f>
        <v/>
      </c>
      <c r="L15" s="12" t="str">
        <f>if(rank('Ens_1qa작업'!L14,'Ens_1qa작업'!$C14:$Z14,1)&lt;=5,pred_GDP_1qa!L15,"")</f>
        <v/>
      </c>
      <c r="M15" s="12"/>
      <c r="N15" s="12"/>
      <c r="O15" s="12">
        <f>if(rank('Ens_1qa작업'!O14,'Ens_1qa작업'!$C14:$Z14,1)&lt;=5,pred_GDP_1qa!O15,"")</f>
        <v>0.7243783782</v>
      </c>
      <c r="P15" s="12" t="str">
        <f>if(rank('Ens_1qa작업'!P14,'Ens_1qa작업'!$C14:$Z14,1)&lt;=5,pred_GDP_1qa!P15,"")</f>
        <v/>
      </c>
      <c r="Q15" s="12" t="str">
        <f>if(rank('Ens_1qa작업'!Q14,'Ens_1qa작업'!$C14:$Z14,1)&lt;=5,pred_GDP_1qa!Q15,"")</f>
        <v/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5" t="str">
        <f t="shared" si="1"/>
        <v>BEM3</v>
      </c>
      <c r="AC15" s="13">
        <f t="shared" si="2"/>
        <v>0.4088380386</v>
      </c>
    </row>
    <row r="16">
      <c r="A16" s="11">
        <v>201909.0</v>
      </c>
      <c r="B16" s="10">
        <v>0.4</v>
      </c>
      <c r="C16" s="12" t="str">
        <f>if(rank('Ens_1qa작업'!C15,'Ens_1qa작업'!$C15:$Z15,1)&lt;=5,pred_GDP_1qa!C16,"")</f>
        <v/>
      </c>
      <c r="D16" s="12">
        <f>if(rank('Ens_1qa작업'!D15,'Ens_1qa작업'!$C15:$Z15,1)&lt;=5,pred_GDP_1qa!D16,"")</f>
        <v>0.603259</v>
      </c>
      <c r="E16" s="12">
        <f>if(rank('Ens_1qa작업'!E15,'Ens_1qa작업'!$C15:$Z15,1)&lt;=5,pred_GDP_1qa!E16,"")</f>
        <v>0.598342</v>
      </c>
      <c r="F16" s="12">
        <f>if(rank('Ens_1qa작업'!F15,'Ens_1qa작업'!$C15:$Z15,1)&lt;=5,pred_GDP_1qa!F16,"")</f>
        <v>0.5794728983</v>
      </c>
      <c r="G16" s="12"/>
      <c r="H16" s="12"/>
      <c r="I16" s="12" t="str">
        <f>if(rank('Ens_1qa작업'!I15,'Ens_1qa작업'!$C15:$Z15,1)&lt;=5,pred_GDP_1qa!I16,"")</f>
        <v/>
      </c>
      <c r="J16" s="12" t="str">
        <f>if(rank('Ens_1qa작업'!J15,'Ens_1qa작업'!$C15:$Z15,1)&lt;=5,pred_GDP_1qa!J16,"")</f>
        <v/>
      </c>
      <c r="K16" s="12" t="str">
        <f>if(rank('Ens_1qa작업'!K15,'Ens_1qa작업'!$C15:$Z15,1)&lt;=5,pred_GDP_1qa!K16,"")</f>
        <v/>
      </c>
      <c r="L16" s="12">
        <f>if(rank('Ens_1qa작업'!L15,'Ens_1qa작업'!$C15:$Z15,1)&lt;=5,pred_GDP_1qa!L16,"")</f>
        <v>0.5842240764</v>
      </c>
      <c r="M16" s="12"/>
      <c r="N16" s="12"/>
      <c r="O16" s="12">
        <f>if(rank('Ens_1qa작업'!O15,'Ens_1qa작업'!$C15:$Z15,1)&lt;=5,pred_GDP_1qa!O16,"")</f>
        <v>0.6382004787</v>
      </c>
      <c r="P16" s="12" t="str">
        <f>if(rank('Ens_1qa작업'!P15,'Ens_1qa작업'!$C15:$Z15,1)&lt;=5,pred_GDP_1qa!P16,"")</f>
        <v/>
      </c>
      <c r="Q16" s="12" t="str">
        <f>if(rank('Ens_1qa작업'!Q15,'Ens_1qa작업'!$C15:$Z15,1)&lt;=5,pred_GDP_1qa!Q16,"")</f>
        <v/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5" t="str">
        <f t="shared" si="1"/>
        <v>BEM3</v>
      </c>
      <c r="AC16" s="13">
        <f t="shared" si="2"/>
        <v>0.5794728983</v>
      </c>
    </row>
    <row r="17">
      <c r="A17" s="11">
        <v>201912.0</v>
      </c>
      <c r="B17" s="10">
        <v>1.2</v>
      </c>
      <c r="C17" s="12" t="str">
        <f>if(rank('Ens_1qa작업'!C16,'Ens_1qa작업'!$C16:$Z16,1)&lt;=5,pred_GDP_1qa!C17,"")</f>
        <v/>
      </c>
      <c r="D17" s="12">
        <f>if(rank('Ens_1qa작업'!D16,'Ens_1qa작업'!$C16:$Z16,1)&lt;=5,pred_GDP_1qa!D17,"")</f>
        <v>0.677511</v>
      </c>
      <c r="E17" s="12">
        <f>if(rank('Ens_1qa작업'!E16,'Ens_1qa작업'!$C16:$Z16,1)&lt;=5,pred_GDP_1qa!E17,"")</f>
        <v>0.636049</v>
      </c>
      <c r="F17" s="12" t="str">
        <f>if(rank('Ens_1qa작업'!F16,'Ens_1qa작업'!$C16:$Z16,1)&lt;=5,pred_GDP_1qa!F17,"")</f>
        <v/>
      </c>
      <c r="G17" s="12"/>
      <c r="H17" s="12"/>
      <c r="I17" s="12" t="str">
        <f>if(rank('Ens_1qa작업'!I16,'Ens_1qa작업'!$C16:$Z16,1)&lt;=5,pred_GDP_1qa!I17,"")</f>
        <v/>
      </c>
      <c r="J17" s="12">
        <f>if(rank('Ens_1qa작업'!J16,'Ens_1qa작업'!$C16:$Z16,1)&lt;=5,pred_GDP_1qa!J17,"")</f>
        <v>1.287931906</v>
      </c>
      <c r="K17" s="12" t="str">
        <f>if(rank('Ens_1qa작업'!K16,'Ens_1qa작업'!$C16:$Z16,1)&lt;=5,pred_GDP_1qa!K17,"")</f>
        <v/>
      </c>
      <c r="L17" s="12">
        <f>if(rank('Ens_1qa작업'!L16,'Ens_1qa작업'!$C16:$Z16,1)&lt;=5,pred_GDP_1qa!L17,"")</f>
        <v>0.7418191512</v>
      </c>
      <c r="M17" s="12"/>
      <c r="N17" s="12"/>
      <c r="O17" s="12">
        <f>if(rank('Ens_1qa작업'!O16,'Ens_1qa작업'!$C16:$Z16,1)&lt;=5,pred_GDP_1qa!O17,"")</f>
        <v>0.6605355601</v>
      </c>
      <c r="P17" s="12" t="str">
        <f>if(rank('Ens_1qa작업'!P16,'Ens_1qa작업'!$C16:$Z16,1)&lt;=5,pred_GDP_1qa!P17,"")</f>
        <v/>
      </c>
      <c r="Q17" s="12" t="str">
        <f>if(rank('Ens_1qa작업'!Q16,'Ens_1qa작업'!$C16:$Z16,1)&lt;=5,pred_GDP_1qa!Q17,"")</f>
        <v/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5" t="str">
        <f t="shared" si="1"/>
        <v>BEM2</v>
      </c>
      <c r="AC17" s="13">
        <f t="shared" si="2"/>
        <v>0.636049</v>
      </c>
    </row>
    <row r="18">
      <c r="A18" s="11">
        <v>202003.0</v>
      </c>
      <c r="B18" s="10">
        <v>-1.3</v>
      </c>
      <c r="C18" s="12" t="str">
        <f>if(rank('Ens_1qa작업'!C17,'Ens_1qa작업'!$C17:$Z17,1)&lt;=5,pred_GDP_1qa!C18,"")</f>
        <v/>
      </c>
      <c r="D18" s="12">
        <f>if(rank('Ens_1qa작업'!D17,'Ens_1qa작업'!$C17:$Z17,1)&lt;=5,pred_GDP_1qa!D18,"")</f>
        <v>0.549058</v>
      </c>
      <c r="E18" s="12">
        <f>if(rank('Ens_1qa작업'!E17,'Ens_1qa작업'!$C17:$Z17,1)&lt;=5,pred_GDP_1qa!E18,"")</f>
        <v>0.520496</v>
      </c>
      <c r="F18" s="12" t="str">
        <f>if(rank('Ens_1qa작업'!F17,'Ens_1qa작업'!$C17:$Z17,1)&lt;=5,pred_GDP_1qa!F18,"")</f>
        <v/>
      </c>
      <c r="G18" s="12"/>
      <c r="H18" s="12"/>
      <c r="I18" s="12">
        <f>if(rank('Ens_1qa작업'!I17,'Ens_1qa작업'!$C17:$Z17,1)&lt;=5,pred_GDP_1qa!I18,"")</f>
        <v>0.736966171</v>
      </c>
      <c r="J18" s="12">
        <f>if(rank('Ens_1qa작업'!J17,'Ens_1qa작업'!$C17:$Z17,1)&lt;=5,pred_GDP_1qa!J18,"")</f>
        <v>0.9631466946</v>
      </c>
      <c r="K18" s="12" t="str">
        <f>if(rank('Ens_1qa작업'!K17,'Ens_1qa작업'!$C17:$Z17,1)&lt;=5,pred_GDP_1qa!K18,"")</f>
        <v/>
      </c>
      <c r="L18" s="12">
        <f>if(rank('Ens_1qa작업'!L17,'Ens_1qa작업'!$C17:$Z17,1)&lt;=5,pred_GDP_1qa!L18,"")</f>
        <v>0.276588077</v>
      </c>
      <c r="M18" s="12"/>
      <c r="N18" s="12"/>
      <c r="O18" s="12" t="str">
        <f>if(rank('Ens_1qa작업'!O17,'Ens_1qa작업'!$C17:$Z17,1)&lt;=5,pred_GDP_1qa!O18,"")</f>
        <v/>
      </c>
      <c r="P18" s="12" t="str">
        <f>if(rank('Ens_1qa작업'!P17,'Ens_1qa작업'!$C17:$Z17,1)&lt;=5,pred_GDP_1qa!P18,"")</f>
        <v/>
      </c>
      <c r="Q18" s="12" t="str">
        <f>if(rank('Ens_1qa작업'!Q17,'Ens_1qa작업'!$C17:$Z17,1)&lt;=5,pred_GDP_1qa!Q18,"")</f>
        <v/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5" t="str">
        <f t="shared" si="1"/>
        <v>SVR-KNN</v>
      </c>
      <c r="AC18" s="13">
        <f t="shared" si="2"/>
        <v>0.276588077</v>
      </c>
    </row>
    <row r="19">
      <c r="A19" s="11">
        <v>202006.0</v>
      </c>
      <c r="B19" s="10">
        <v>-3.0</v>
      </c>
      <c r="C19" s="12" t="str">
        <f>if(rank('Ens_1qa작업'!C18,'Ens_1qa작업'!$C18:$Z18,1)&lt;=5,pred_GDP_1qa!C19,"")</f>
        <v/>
      </c>
      <c r="D19" s="12">
        <f>if(rank('Ens_1qa작업'!D18,'Ens_1qa작업'!$C18:$Z18,1)&lt;=5,pred_GDP_1qa!D19,"")</f>
        <v>-0.23854</v>
      </c>
      <c r="E19" s="12">
        <f>if(rank('Ens_1qa작업'!E18,'Ens_1qa작업'!$C18:$Z18,1)&lt;=5,pred_GDP_1qa!E19,"")</f>
        <v>-0.28699</v>
      </c>
      <c r="F19" s="12" t="str">
        <f>if(rank('Ens_1qa작업'!F18,'Ens_1qa작업'!$C18:$Z18,1)&lt;=5,pred_GDP_1qa!F19,"")</f>
        <v/>
      </c>
      <c r="G19" s="12"/>
      <c r="H19" s="12"/>
      <c r="I19" s="12">
        <f>if(rank('Ens_1qa작업'!I18,'Ens_1qa작업'!$C18:$Z18,1)&lt;=5,pred_GDP_1qa!I19,"")</f>
        <v>-1.312515913</v>
      </c>
      <c r="J19" s="12">
        <f>if(rank('Ens_1qa작업'!J18,'Ens_1qa작업'!$C18:$Z18,1)&lt;=5,pred_GDP_1qa!J19,"")</f>
        <v>-0.3154518791</v>
      </c>
      <c r="K19" s="12" t="str">
        <f>if(rank('Ens_1qa작업'!K18,'Ens_1qa작업'!$C18:$Z18,1)&lt;=5,pred_GDP_1qa!K19,"")</f>
        <v/>
      </c>
      <c r="L19" s="12">
        <f>if(rank('Ens_1qa작업'!L18,'Ens_1qa작업'!$C18:$Z18,1)&lt;=5,pred_GDP_1qa!L19,"")</f>
        <v>-1.153209282</v>
      </c>
      <c r="M19" s="12"/>
      <c r="N19" s="12"/>
      <c r="O19" s="12" t="str">
        <f>if(rank('Ens_1qa작업'!O18,'Ens_1qa작업'!$C18:$Z18,1)&lt;=5,pred_GDP_1qa!O19,"")</f>
        <v/>
      </c>
      <c r="P19" s="12" t="str">
        <f>if(rank('Ens_1qa작업'!P18,'Ens_1qa작업'!$C18:$Z18,1)&lt;=5,pred_GDP_1qa!P19,"")</f>
        <v/>
      </c>
      <c r="Q19" s="12" t="str">
        <f>if(rank('Ens_1qa작업'!Q18,'Ens_1qa작업'!$C18:$Z18,1)&lt;=5,pred_GDP_1qa!Q19,"")</f>
        <v/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5" t="str">
        <f t="shared" si="1"/>
        <v>TFM</v>
      </c>
      <c r="AC19" s="13">
        <f t="shared" si="2"/>
        <v>-1.312515913</v>
      </c>
    </row>
    <row r="20">
      <c r="A20" s="11">
        <v>202009.0</v>
      </c>
      <c r="B20" s="10">
        <v>2.3</v>
      </c>
      <c r="C20" s="12">
        <f>if(rank('Ens_1qa작업'!C19,'Ens_1qa작업'!$C19:$Z19,1)&lt;=5,pred_GDP_1qa!C20,"")</f>
        <v>-0.5154841</v>
      </c>
      <c r="D20" s="12">
        <f>if(rank('Ens_1qa작업'!D19,'Ens_1qa작업'!$C19:$Z19,1)&lt;=5,pred_GDP_1qa!D20,"")</f>
        <v>1.149676</v>
      </c>
      <c r="E20" s="12" t="str">
        <f>if(rank('Ens_1qa작업'!E19,'Ens_1qa작업'!$C19:$Z19,1)&lt;=5,pred_GDP_1qa!E20,"")</f>
        <v/>
      </c>
      <c r="F20" s="12" t="str">
        <f>if(rank('Ens_1qa작업'!F19,'Ens_1qa작업'!$C19:$Z19,1)&lt;=5,pred_GDP_1qa!F20,"")</f>
        <v/>
      </c>
      <c r="G20" s="12"/>
      <c r="H20" s="12"/>
      <c r="I20" s="12">
        <f>if(rank('Ens_1qa작업'!I19,'Ens_1qa작업'!$C19:$Z19,1)&lt;=5,pred_GDP_1qa!I20,"")</f>
        <v>1.268155882</v>
      </c>
      <c r="J20" s="12">
        <f>if(rank('Ens_1qa작업'!J19,'Ens_1qa작업'!$C19:$Z19,1)&lt;=5,pred_GDP_1qa!J20,"")</f>
        <v>1.979820997</v>
      </c>
      <c r="K20" s="12" t="str">
        <f>if(rank('Ens_1qa작업'!K19,'Ens_1qa작업'!$C19:$Z19,1)&lt;=5,pred_GDP_1qa!K20,"")</f>
        <v/>
      </c>
      <c r="L20" s="12">
        <f>if(rank('Ens_1qa작업'!L19,'Ens_1qa작업'!$C19:$Z19,1)&lt;=5,pred_GDP_1qa!L20,"")</f>
        <v>1.455949004</v>
      </c>
      <c r="M20" s="12"/>
      <c r="N20" s="12"/>
      <c r="O20" s="12" t="str">
        <f>if(rank('Ens_1qa작업'!O19,'Ens_1qa작업'!$C19:$Z19,1)&lt;=5,pred_GDP_1qa!O20,"")</f>
        <v/>
      </c>
      <c r="P20" s="12" t="str">
        <f>if(rank('Ens_1qa작업'!P19,'Ens_1qa작업'!$C19:$Z19,1)&lt;=5,pred_GDP_1qa!P20,"")</f>
        <v/>
      </c>
      <c r="Q20" s="12" t="str">
        <f>if(rank('Ens_1qa작업'!Q19,'Ens_1qa작업'!$C19:$Z19,1)&lt;=5,pred_GDP_1qa!Q20,"")</f>
        <v/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5" t="str">
        <f t="shared" si="1"/>
        <v>DFM</v>
      </c>
      <c r="AC20" s="13">
        <f t="shared" si="2"/>
        <v>-0.5154841</v>
      </c>
    </row>
    <row r="21">
      <c r="A21" s="11">
        <v>202012.0</v>
      </c>
      <c r="B21" s="10">
        <v>1.3</v>
      </c>
      <c r="C21" s="12" t="str">
        <f>if(rank('Ens_1qa작업'!C20,'Ens_1qa작업'!$C20:$Z20,1)&lt;=5,pred_GDP_1qa!C21,"")</f>
        <v/>
      </c>
      <c r="D21" s="12" t="str">
        <f>if(rank('Ens_1qa작업'!D20,'Ens_1qa작업'!$C20:$Z20,1)&lt;=5,pred_GDP_1qa!D21,"")</f>
        <v/>
      </c>
      <c r="E21" s="12">
        <f>if(rank('Ens_1qa작업'!E20,'Ens_1qa작업'!$C20:$Z20,1)&lt;=5,pred_GDP_1qa!E21,"")</f>
        <v>1.000648</v>
      </c>
      <c r="F21" s="12" t="str">
        <f>if(rank('Ens_1qa작업'!F20,'Ens_1qa작업'!$C20:$Z20,1)&lt;=5,pred_GDP_1qa!F21,"")</f>
        <v/>
      </c>
      <c r="G21" s="12"/>
      <c r="H21" s="12"/>
      <c r="I21" s="12">
        <f>if(rank('Ens_1qa작업'!I20,'Ens_1qa작업'!$C20:$Z20,1)&lt;=5,pred_GDP_1qa!I21,"")</f>
        <v>1.463567734</v>
      </c>
      <c r="J21" s="12">
        <f>if(rank('Ens_1qa작업'!J20,'Ens_1qa작업'!$C20:$Z20,1)&lt;=5,pred_GDP_1qa!J21,"")</f>
        <v>1.970105237</v>
      </c>
      <c r="K21" s="12" t="str">
        <f>if(rank('Ens_1qa작업'!K20,'Ens_1qa작업'!$C20:$Z20,1)&lt;=5,pred_GDP_1qa!K21,"")</f>
        <v/>
      </c>
      <c r="L21" s="12">
        <f>if(rank('Ens_1qa작업'!L20,'Ens_1qa작업'!$C20:$Z20,1)&lt;=5,pred_GDP_1qa!L21,"")</f>
        <v>1.131580883</v>
      </c>
      <c r="M21" s="12"/>
      <c r="N21" s="12"/>
      <c r="O21" s="12" t="str">
        <f>if(rank('Ens_1qa작업'!O20,'Ens_1qa작업'!$C20:$Z20,1)&lt;=5,pred_GDP_1qa!O21,"")</f>
        <v/>
      </c>
      <c r="P21" s="12">
        <f>if(rank('Ens_1qa작업'!P20,'Ens_1qa작업'!$C20:$Z20,1)&lt;=5,pred_GDP_1qa!P21,"")</f>
        <v>1.076251626</v>
      </c>
      <c r="Q21" s="12" t="str">
        <f>if(rank('Ens_1qa작업'!Q20,'Ens_1qa작업'!$C20:$Z20,1)&lt;=5,pred_GDP_1qa!Q21,"")</f>
        <v/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5" t="str">
        <f t="shared" si="1"/>
        <v>BEM2</v>
      </c>
      <c r="AC21" s="13">
        <f t="shared" si="2"/>
        <v>1.000648</v>
      </c>
    </row>
    <row r="22">
      <c r="A22" s="11">
        <v>202103.0</v>
      </c>
      <c r="B22" s="10">
        <v>1.8</v>
      </c>
      <c r="C22" s="12" t="str">
        <f>if(rank('Ens_1qa작업'!C21,'Ens_1qa작업'!$C21:$Z21,1)&lt;=5,pred_GDP_1qa!C22,"")</f>
        <v/>
      </c>
      <c r="D22" s="12">
        <f>if(rank('Ens_1qa작업'!D21,'Ens_1qa작업'!$C21:$Z21,1)&lt;=5,pred_GDP_1qa!D22,"")</f>
        <v>0.226528</v>
      </c>
      <c r="E22" s="12" t="str">
        <f>if(rank('Ens_1qa작업'!E21,'Ens_1qa작업'!$C21:$Z21,1)&lt;=5,pred_GDP_1qa!E22,"")</f>
        <v/>
      </c>
      <c r="F22" s="12" t="str">
        <f>if(rank('Ens_1qa작업'!F21,'Ens_1qa작업'!$C21:$Z21,1)&lt;=5,pred_GDP_1qa!F22,"")</f>
        <v/>
      </c>
      <c r="G22" s="12"/>
      <c r="H22" s="12"/>
      <c r="I22" s="12">
        <f>if(rank('Ens_1qa작업'!I21,'Ens_1qa작업'!$C21:$Z21,1)&lt;=5,pred_GDP_1qa!I22,"")</f>
        <v>1.480901998</v>
      </c>
      <c r="J22" s="12">
        <f>if(rank('Ens_1qa작업'!J21,'Ens_1qa작업'!$C21:$Z21,1)&lt;=5,pred_GDP_1qa!J22,"")</f>
        <v>0.8480227348</v>
      </c>
      <c r="K22" s="12" t="str">
        <f>if(rank('Ens_1qa작업'!K21,'Ens_1qa작업'!$C21:$Z21,1)&lt;=5,pred_GDP_1qa!K22,"")</f>
        <v/>
      </c>
      <c r="L22" s="12">
        <f>if(rank('Ens_1qa작업'!L21,'Ens_1qa작업'!$C21:$Z21,1)&lt;=5,pred_GDP_1qa!L22,"")</f>
        <v>0.6095356548</v>
      </c>
      <c r="M22" s="12"/>
      <c r="N22" s="12"/>
      <c r="O22" s="12" t="str">
        <f>if(rank('Ens_1qa작업'!O21,'Ens_1qa작업'!$C21:$Z21,1)&lt;=5,pred_GDP_1qa!O22,"")</f>
        <v/>
      </c>
      <c r="P22" s="12">
        <f>if(rank('Ens_1qa작업'!P21,'Ens_1qa작업'!$C21:$Z21,1)&lt;=5,pred_GDP_1qa!P22,"")</f>
        <v>0.8842695355</v>
      </c>
      <c r="Q22" s="12" t="str">
        <f>if(rank('Ens_1qa작업'!Q21,'Ens_1qa작업'!$C21:$Z21,1)&lt;=5,pred_GDP_1qa!Q22,"")</f>
        <v/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5" t="str">
        <f t="shared" si="1"/>
        <v>BEM1</v>
      </c>
      <c r="AC22" s="13">
        <f t="shared" si="2"/>
        <v>0.226528</v>
      </c>
    </row>
    <row r="23">
      <c r="A23" s="11">
        <v>202106.0</v>
      </c>
      <c r="B23" s="10">
        <v>0.9</v>
      </c>
      <c r="C23" s="12" t="str">
        <f>if(rank('Ens_1qa작업'!C22,'Ens_1qa작업'!$C22:$Z22,1)&lt;=5,pred_GDP_1qa!C23,"")</f>
        <v/>
      </c>
      <c r="D23" s="12" t="str">
        <f>if(rank('Ens_1qa작업'!D22,'Ens_1qa작업'!$C22:$Z22,1)&lt;=5,pred_GDP_1qa!D23,"")</f>
        <v/>
      </c>
      <c r="E23" s="12">
        <f>if(rank('Ens_1qa작업'!E22,'Ens_1qa작업'!$C22:$Z22,1)&lt;=5,pred_GDP_1qa!E23,"")</f>
        <v>0.398934</v>
      </c>
      <c r="F23" s="12" t="str">
        <f>if(rank('Ens_1qa작업'!F22,'Ens_1qa작업'!$C22:$Z22,1)&lt;=5,pred_GDP_1qa!F23,"")</f>
        <v/>
      </c>
      <c r="G23" s="12"/>
      <c r="H23" s="12"/>
      <c r="I23" s="12">
        <f>if(rank('Ens_1qa작업'!I22,'Ens_1qa작업'!$C22:$Z22,1)&lt;=5,pred_GDP_1qa!I23,"")</f>
        <v>1.539498494</v>
      </c>
      <c r="J23" s="12">
        <f>if(rank('Ens_1qa작업'!J22,'Ens_1qa작업'!$C22:$Z22,1)&lt;=5,pred_GDP_1qa!J23,"")</f>
        <v>1.083873933</v>
      </c>
      <c r="K23" s="12" t="str">
        <f>if(rank('Ens_1qa작업'!K22,'Ens_1qa작업'!$C22:$Z22,1)&lt;=5,pred_GDP_1qa!K23,"")</f>
        <v/>
      </c>
      <c r="L23" s="12">
        <f>if(rank('Ens_1qa작업'!L22,'Ens_1qa작업'!$C22:$Z22,1)&lt;=5,pred_GDP_1qa!L23,"")</f>
        <v>-0.3058992135</v>
      </c>
      <c r="M23" s="12"/>
      <c r="N23" s="12"/>
      <c r="O23" s="12" t="str">
        <f>if(rank('Ens_1qa작업'!O22,'Ens_1qa작업'!$C22:$Z22,1)&lt;=5,pred_GDP_1qa!O23,"")</f>
        <v/>
      </c>
      <c r="P23" s="12">
        <f>if(rank('Ens_1qa작업'!P22,'Ens_1qa작업'!$C22:$Z22,1)&lt;=5,pred_GDP_1qa!P23,"")</f>
        <v>1.279181361</v>
      </c>
      <c r="Q23" s="12" t="str">
        <f>if(rank('Ens_1qa작업'!Q22,'Ens_1qa작업'!$C22:$Z22,1)&lt;=5,pred_GDP_1qa!Q23,"")</f>
        <v/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5" t="str">
        <f t="shared" si="1"/>
        <v>SVR-KNN</v>
      </c>
      <c r="AC23" s="13">
        <f t="shared" si="2"/>
        <v>-0.3058992135</v>
      </c>
    </row>
    <row r="24">
      <c r="A24" s="11">
        <v>202109.0</v>
      </c>
      <c r="B24" s="10">
        <v>0.1</v>
      </c>
      <c r="C24" s="12" t="str">
        <f>if(rank('Ens_1qa작업'!C23,'Ens_1qa작업'!$C23:$Z23,1)&lt;=5,pred_GDP_1qa!C24,"")</f>
        <v/>
      </c>
      <c r="D24" s="12" t="str">
        <f>if(rank('Ens_1qa작업'!D23,'Ens_1qa작업'!$C23:$Z23,1)&lt;=5,pred_GDP_1qa!D24,"")</f>
        <v/>
      </c>
      <c r="E24" s="12">
        <f>if(rank('Ens_1qa작업'!E23,'Ens_1qa작업'!$C23:$Z23,1)&lt;=5,pred_GDP_1qa!E24,"")</f>
        <v>0.373122</v>
      </c>
      <c r="F24" s="12" t="str">
        <f>if(rank('Ens_1qa작업'!F23,'Ens_1qa작업'!$C23:$Z23,1)&lt;=5,pred_GDP_1qa!F24,"")</f>
        <v/>
      </c>
      <c r="G24" s="12"/>
      <c r="H24" s="12"/>
      <c r="I24" s="12">
        <f>if(rank('Ens_1qa작업'!I23,'Ens_1qa작업'!$C23:$Z23,1)&lt;=5,pred_GDP_1qa!I24,"")</f>
        <v>1.331516466</v>
      </c>
      <c r="J24" s="12">
        <f>if(rank('Ens_1qa작업'!J23,'Ens_1qa작업'!$C23:$Z23,1)&lt;=5,pred_GDP_1qa!J24,"")</f>
        <v>0.7022875415</v>
      </c>
      <c r="K24" s="12" t="str">
        <f>if(rank('Ens_1qa작업'!K23,'Ens_1qa작업'!$C23:$Z23,1)&lt;=5,pred_GDP_1qa!K24,"")</f>
        <v/>
      </c>
      <c r="L24" s="12">
        <f>if(rank('Ens_1qa작업'!L23,'Ens_1qa작업'!$C23:$Z23,1)&lt;=5,pred_GDP_1qa!L24,"")</f>
        <v>0.1495340178</v>
      </c>
      <c r="M24" s="12"/>
      <c r="N24" s="12"/>
      <c r="O24" s="12" t="str">
        <f>if(rank('Ens_1qa작업'!O23,'Ens_1qa작업'!$C23:$Z23,1)&lt;=5,pred_GDP_1qa!O24,"")</f>
        <v/>
      </c>
      <c r="P24" s="12">
        <f>if(rank('Ens_1qa작업'!P23,'Ens_1qa작업'!$C23:$Z23,1)&lt;=5,pred_GDP_1qa!P24,"")</f>
        <v>0.8240099549</v>
      </c>
      <c r="Q24" s="12" t="str">
        <f>if(rank('Ens_1qa작업'!Q23,'Ens_1qa작업'!$C23:$Z23,1)&lt;=5,pred_GDP_1qa!Q24,"")</f>
        <v/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5" t="str">
        <f t="shared" si="1"/>
        <v>SVR-KNN</v>
      </c>
      <c r="AC24" s="13">
        <f t="shared" si="2"/>
        <v>0.1495340178</v>
      </c>
    </row>
    <row r="25">
      <c r="A25" s="11">
        <v>202112.0</v>
      </c>
      <c r="B25" s="10">
        <v>1.4</v>
      </c>
      <c r="C25" s="12" t="str">
        <f>if(rank('Ens_1qa작업'!C24,'Ens_1qa작업'!$C24:$Z24,1)&lt;=5,pred_GDP_1qa!C25,"")</f>
        <v/>
      </c>
      <c r="D25" s="12" t="str">
        <f>if(rank('Ens_1qa작업'!D24,'Ens_1qa작업'!$C24:$Z24,1)&lt;=5,pred_GDP_1qa!D25,"")</f>
        <v/>
      </c>
      <c r="E25" s="12" t="str">
        <f>if(rank('Ens_1qa작업'!E24,'Ens_1qa작업'!$C24:$Z24,1)&lt;=5,pred_GDP_1qa!E25,"")</f>
        <v/>
      </c>
      <c r="F25" s="12" t="str">
        <f>if(rank('Ens_1qa작업'!F24,'Ens_1qa작업'!$C24:$Z24,1)&lt;=5,pred_GDP_1qa!F25,"")</f>
        <v/>
      </c>
      <c r="G25" s="12"/>
      <c r="H25" s="12"/>
      <c r="I25" s="12">
        <f>if(rank('Ens_1qa작업'!I24,'Ens_1qa작업'!$C24:$Z24,1)&lt;=5,pred_GDP_1qa!I25,"")</f>
        <v>0.3189322713</v>
      </c>
      <c r="J25" s="12">
        <f>if(rank('Ens_1qa작업'!J24,'Ens_1qa작업'!$C24:$Z24,1)&lt;=5,pred_GDP_1qa!J25,"")</f>
        <v>0.5983249471</v>
      </c>
      <c r="K25" s="12" t="str">
        <f>if(rank('Ens_1qa작업'!K24,'Ens_1qa작업'!$C24:$Z24,1)&lt;=5,pred_GDP_1qa!K25,"")</f>
        <v/>
      </c>
      <c r="L25" s="12">
        <f>if(rank('Ens_1qa작업'!L24,'Ens_1qa작업'!$C24:$Z24,1)&lt;=5,pred_GDP_1qa!L25,"")</f>
        <v>0.3099367893</v>
      </c>
      <c r="M25" s="12"/>
      <c r="N25" s="12"/>
      <c r="O25" s="12">
        <f>if(rank('Ens_1qa작업'!O24,'Ens_1qa작업'!$C24:$Z24,1)&lt;=5,pred_GDP_1qa!O25,"")</f>
        <v>0.6973843202</v>
      </c>
      <c r="P25" s="12">
        <f>if(rank('Ens_1qa작업'!P24,'Ens_1qa작업'!$C24:$Z24,1)&lt;=5,pred_GDP_1qa!P25,"")</f>
        <v>0.695904851</v>
      </c>
      <c r="Q25" s="12" t="str">
        <f>if(rank('Ens_1qa작업'!Q24,'Ens_1qa작업'!$C24:$Z24,1)&lt;=5,pred_GDP_1qa!Q25,"")</f>
        <v/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5" t="str">
        <f t="shared" si="1"/>
        <v>SVR-KNN</v>
      </c>
      <c r="AC25" s="13">
        <f t="shared" si="2"/>
        <v>0.3099367893</v>
      </c>
    </row>
    <row r="26">
      <c r="A26" s="11">
        <v>202203.0</v>
      </c>
      <c r="B26" s="10">
        <v>0.7</v>
      </c>
      <c r="C26" s="12" t="str">
        <f>if(rank('Ens_1qa작업'!C25,'Ens_1qa작업'!$C25:$Z25,1)&lt;=5,pred_GDP_1qa!C26,"")</f>
        <v/>
      </c>
      <c r="D26" s="12" t="str">
        <f>if(rank('Ens_1qa작업'!D25,'Ens_1qa작업'!$C25:$Z25,1)&lt;=5,pred_GDP_1qa!D26,"")</f>
        <v/>
      </c>
      <c r="E26" s="12" t="str">
        <f>if(rank('Ens_1qa작업'!E25,'Ens_1qa작업'!$C25:$Z25,1)&lt;=5,pred_GDP_1qa!E26,"")</f>
        <v/>
      </c>
      <c r="F26" s="12" t="str">
        <f>if(rank('Ens_1qa작업'!F25,'Ens_1qa작업'!$C25:$Z25,1)&lt;=5,pred_GDP_1qa!F26,"")</f>
        <v/>
      </c>
      <c r="G26" s="12"/>
      <c r="H26" s="12"/>
      <c r="I26" s="12">
        <f>if(rank('Ens_1qa작업'!I25,'Ens_1qa작업'!$C25:$Z25,1)&lt;=5,pred_GDP_1qa!I26,"")</f>
        <v>0.9011787549</v>
      </c>
      <c r="J26" s="12">
        <f>if(rank('Ens_1qa작업'!J25,'Ens_1qa작업'!$C25:$Z25,1)&lt;=5,pred_GDP_1qa!J26,"")</f>
        <v>0.6818377423</v>
      </c>
      <c r="K26" s="12">
        <f>if(rank('Ens_1qa작업'!K25,'Ens_1qa작업'!$C25:$Z25,1)&lt;=5,pred_GDP_1qa!K26,"")</f>
        <v>0.572933</v>
      </c>
      <c r="L26" s="12" t="str">
        <f>if(rank('Ens_1qa작업'!L25,'Ens_1qa작업'!$C25:$Z25,1)&lt;=5,pred_GDP_1qa!L26,"")</f>
        <v/>
      </c>
      <c r="M26" s="12"/>
      <c r="N26" s="12"/>
      <c r="O26" s="12" t="str">
        <f>if(rank('Ens_1qa작업'!O25,'Ens_1qa작업'!$C25:$Z25,1)&lt;=5,pred_GDP_1qa!O26,"")</f>
        <v/>
      </c>
      <c r="P26" s="12">
        <f>if(rank('Ens_1qa작업'!P25,'Ens_1qa작업'!$C25:$Z25,1)&lt;=5,pred_GDP_1qa!P26,"")</f>
        <v>0.9396571517</v>
      </c>
      <c r="Q26" s="12">
        <f>if(rank('Ens_1qa작업'!Q25,'Ens_1qa작업'!$C25:$Z25,1)&lt;=5,pred_GDP_1qa!Q26,"")</f>
        <v>0.835546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5" t="str">
        <f t="shared" si="1"/>
        <v>VAR</v>
      </c>
      <c r="AC26" s="13">
        <f t="shared" si="2"/>
        <v>0.572933</v>
      </c>
    </row>
    <row r="27">
      <c r="A27" s="11">
        <v>202206.0</v>
      </c>
      <c r="B27" s="10">
        <v>0.8</v>
      </c>
      <c r="C27" s="12">
        <f>if(rank('Ens_1qa작업'!C26,'Ens_1qa작업'!$C26:$Z26,1)&lt;=5,pred_GDP_1qa!C27,"")</f>
        <v>0.93684512</v>
      </c>
      <c r="D27" s="12" t="str">
        <f>if(rank('Ens_1qa작업'!D26,'Ens_1qa작업'!$C26:$Z26,1)&lt;=5,pred_GDP_1qa!D27,"")</f>
        <v/>
      </c>
      <c r="E27" s="12" t="str">
        <f>if(rank('Ens_1qa작업'!E26,'Ens_1qa작업'!$C26:$Z26,1)&lt;=5,pred_GDP_1qa!E27,"")</f>
        <v/>
      </c>
      <c r="F27" s="12">
        <f>if(rank('Ens_1qa작업'!F26,'Ens_1qa작업'!$C26:$Z26,1)&lt;=5,pred_GDP_1qa!F27,"")</f>
        <v>0.6166381014</v>
      </c>
      <c r="G27" s="12"/>
      <c r="H27" s="12"/>
      <c r="I27" s="12" t="str">
        <f>if(rank('Ens_1qa작업'!I26,'Ens_1qa작업'!$C26:$Z26,1)&lt;=5,pred_GDP_1qa!I27,"")</f>
        <v/>
      </c>
      <c r="J27" s="12">
        <f>if(rank('Ens_1qa작업'!J26,'Ens_1qa작업'!$C26:$Z26,1)&lt;=5,pred_GDP_1qa!J27,"")</f>
        <v>0.8234522541</v>
      </c>
      <c r="K27" s="12" t="str">
        <f>if(rank('Ens_1qa작업'!K26,'Ens_1qa작업'!$C26:$Z26,1)&lt;=5,pred_GDP_1qa!K27,"")</f>
        <v/>
      </c>
      <c r="L27" s="12" t="str">
        <f>if(rank('Ens_1qa작업'!L26,'Ens_1qa작업'!$C26:$Z26,1)&lt;=5,pred_GDP_1qa!L27,"")</f>
        <v/>
      </c>
      <c r="M27" s="12"/>
      <c r="N27" s="12"/>
      <c r="O27" s="12">
        <f>if(rank('Ens_1qa작업'!O26,'Ens_1qa작업'!$C26:$Z26,1)&lt;=5,pred_GDP_1qa!O27,"")</f>
        <v>0.6556564957</v>
      </c>
      <c r="P27" s="12" t="str">
        <f>if(rank('Ens_1qa작업'!P26,'Ens_1qa작업'!$C26:$Z26,1)&lt;=5,pred_GDP_1qa!P27,"")</f>
        <v/>
      </c>
      <c r="Q27" s="12">
        <f>if(rank('Ens_1qa작업'!Q26,'Ens_1qa작업'!$C26:$Z26,1)&lt;=5,pred_GDP_1qa!Q27,"")</f>
        <v>0.178326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5" t="str">
        <f t="shared" si="1"/>
        <v>LQR</v>
      </c>
      <c r="AC27" s="13">
        <f t="shared" si="2"/>
        <v>0.178326</v>
      </c>
    </row>
    <row r="28">
      <c r="A28" s="11">
        <v>202209.0</v>
      </c>
      <c r="B28" s="10">
        <v>0.2</v>
      </c>
      <c r="C28" s="12" t="str">
        <f>if(rank('Ens_1qa작업'!C27,'Ens_1qa작업'!$C27:$Z27,1)&lt;=5,pred_GDP_1qa!C28,"")</f>
        <v/>
      </c>
      <c r="D28" s="12">
        <f>if(rank('Ens_1qa작업'!D27,'Ens_1qa작업'!$C27:$Z27,1)&lt;=5,pred_GDP_1qa!D28,"")</f>
        <v>0.042476</v>
      </c>
      <c r="E28" s="12">
        <f>if(rank('Ens_1qa작업'!E27,'Ens_1qa작업'!$C27:$Z27,1)&lt;=5,pred_GDP_1qa!E28,"")</f>
        <v>-0.02288</v>
      </c>
      <c r="F28" s="12">
        <f>if(rank('Ens_1qa작업'!F27,'Ens_1qa작업'!$C27:$Z27,1)&lt;=5,pred_GDP_1qa!F28,"")</f>
        <v>0.1845995292</v>
      </c>
      <c r="G28" s="12"/>
      <c r="H28" s="12"/>
      <c r="I28" s="12" t="str">
        <f>if(rank('Ens_1qa작업'!I27,'Ens_1qa작업'!$C27:$Z27,1)&lt;=5,pred_GDP_1qa!I28,"")</f>
        <v/>
      </c>
      <c r="J28" s="12">
        <f>if(rank('Ens_1qa작업'!J27,'Ens_1qa작업'!$C27:$Z27,1)&lt;=5,pred_GDP_1qa!J28,"")</f>
        <v>0.4023422134</v>
      </c>
      <c r="K28" s="12" t="str">
        <f>if(rank('Ens_1qa작업'!K27,'Ens_1qa작업'!$C27:$Z27,1)&lt;=5,pred_GDP_1qa!K28,"")</f>
        <v/>
      </c>
      <c r="L28" s="12" t="str">
        <f>if(rank('Ens_1qa작업'!L27,'Ens_1qa작업'!$C27:$Z27,1)&lt;=5,pred_GDP_1qa!L28,"")</f>
        <v/>
      </c>
      <c r="M28" s="12"/>
      <c r="N28" s="12"/>
      <c r="O28" s="12" t="str">
        <f>if(rank('Ens_1qa작업'!O27,'Ens_1qa작업'!$C27:$Z27,1)&lt;=5,pred_GDP_1qa!O28,"")</f>
        <v/>
      </c>
      <c r="P28" s="12" t="str">
        <f>if(rank('Ens_1qa작업'!P27,'Ens_1qa작업'!$C27:$Z27,1)&lt;=5,pred_GDP_1qa!P28,"")</f>
        <v/>
      </c>
      <c r="Q28" s="12">
        <f>if(rank('Ens_1qa작업'!Q27,'Ens_1qa작업'!$C27:$Z27,1)&lt;=5,pred_GDP_1qa!Q28,"")</f>
        <v>0.024278</v>
      </c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5" t="str">
        <f t="shared" si="1"/>
        <v>BEM2</v>
      </c>
      <c r="AC28" s="13">
        <f t="shared" si="2"/>
        <v>-0.02288</v>
      </c>
    </row>
    <row r="29">
      <c r="A29" s="11">
        <v>202212.0</v>
      </c>
      <c r="B29" s="10">
        <v>-0.3</v>
      </c>
      <c r="C29" s="12" t="str">
        <f>if(rank('Ens_1qa작업'!C28,'Ens_1qa작업'!$C28:$Z28,1)&lt;=5,pred_GDP_1qa!C29,"")</f>
        <v/>
      </c>
      <c r="D29" s="12" t="str">
        <f>if(rank('Ens_1qa작업'!D28,'Ens_1qa작업'!$C28:$Z28,1)&lt;=5,pred_GDP_1qa!D29,"")</f>
        <v/>
      </c>
      <c r="E29" s="12" t="str">
        <f>if(rank('Ens_1qa작업'!E28,'Ens_1qa작업'!$C28:$Z28,1)&lt;=5,pred_GDP_1qa!E29,"")</f>
        <v/>
      </c>
      <c r="F29" s="12" t="str">
        <f>if(rank('Ens_1qa작업'!F28,'Ens_1qa작업'!$C28:$Z28,1)&lt;=5,pred_GDP_1qa!F29,"")</f>
        <v/>
      </c>
      <c r="G29" s="12"/>
      <c r="H29" s="12"/>
      <c r="I29" s="12" t="str">
        <f>if(rank('Ens_1qa작업'!I28,'Ens_1qa작업'!$C28:$Z28,1)&lt;=5,pred_GDP_1qa!I29,"")</f>
        <v/>
      </c>
      <c r="J29" s="12">
        <f>if(rank('Ens_1qa작업'!J28,'Ens_1qa작업'!$C28:$Z28,1)&lt;=5,pred_GDP_1qa!J29,"")</f>
        <v>0.4557275231</v>
      </c>
      <c r="K29" s="12" t="str">
        <f>if(rank('Ens_1qa작업'!K28,'Ens_1qa작업'!$C28:$Z28,1)&lt;=5,pred_GDP_1qa!K29,"")</f>
        <v/>
      </c>
      <c r="L29" s="12">
        <f>if(rank('Ens_1qa작업'!L28,'Ens_1qa작업'!$C28:$Z28,1)&lt;=5,pred_GDP_1qa!L29,"")</f>
        <v>0.6763669264</v>
      </c>
      <c r="M29" s="12"/>
      <c r="N29" s="12"/>
      <c r="O29" s="12">
        <f>if(rank('Ens_1qa작업'!O28,'Ens_1qa작업'!$C28:$Z28,1)&lt;=5,pred_GDP_1qa!O29,"")</f>
        <v>0.6724416739</v>
      </c>
      <c r="P29" s="12">
        <f>if(rank('Ens_1qa작업'!P28,'Ens_1qa작업'!$C28:$Z28,1)&lt;=5,pred_GDP_1qa!P29,"")</f>
        <v>0.5282914639</v>
      </c>
      <c r="Q29" s="12">
        <f>if(rank('Ens_1qa작업'!Q28,'Ens_1qa작업'!$C28:$Z28,1)&lt;=5,pred_GDP_1qa!Q29,"")</f>
        <v>0.491229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5" t="str">
        <f t="shared" si="1"/>
        <v>T-M</v>
      </c>
      <c r="AC29" s="13">
        <f t="shared" si="2"/>
        <v>0.4557275231</v>
      </c>
    </row>
    <row r="30">
      <c r="A30" s="11">
        <v>202303.0</v>
      </c>
      <c r="B30" s="10">
        <v>0.3</v>
      </c>
      <c r="C30" s="12" t="str">
        <f>if(rank('Ens_1qa작업'!C29,'Ens_1qa작업'!$C29:$Z29,1)&lt;=5,pred_GDP_1qa!C30,"")</f>
        <v/>
      </c>
      <c r="D30" s="12" t="str">
        <f>if(rank('Ens_1qa작업'!D29,'Ens_1qa작업'!$C29:$Z29,1)&lt;=5,pred_GDP_1qa!D30,"")</f>
        <v/>
      </c>
      <c r="E30" s="12" t="str">
        <f>if(rank('Ens_1qa작업'!E29,'Ens_1qa작업'!$C29:$Z29,1)&lt;=5,pred_GDP_1qa!E30,"")</f>
        <v/>
      </c>
      <c r="F30" s="12">
        <f>if(rank('Ens_1qa작업'!F29,'Ens_1qa작업'!$C29:$Z29,1)&lt;=5,pred_GDP_1qa!F30,"")</f>
        <v>-0.284810353</v>
      </c>
      <c r="G30" s="12"/>
      <c r="H30" s="12"/>
      <c r="I30" s="12">
        <f>if(rank('Ens_1qa작업'!I29,'Ens_1qa작업'!$C29:$Z29,1)&lt;=5,pred_GDP_1qa!I30,"")</f>
        <v>0.07607688328</v>
      </c>
      <c r="J30" s="12">
        <f>if(rank('Ens_1qa작업'!J29,'Ens_1qa작업'!$C29:$Z29,1)&lt;=5,pred_GDP_1qa!J30,"")</f>
        <v>0.6326951781</v>
      </c>
      <c r="K30" s="12" t="str">
        <f>if(rank('Ens_1qa작업'!K29,'Ens_1qa작업'!$C29:$Z29,1)&lt;=5,pred_GDP_1qa!K30,"")</f>
        <v/>
      </c>
      <c r="L30" s="12" t="str">
        <f>if(rank('Ens_1qa작업'!L29,'Ens_1qa작업'!$C29:$Z29,1)&lt;=5,pred_GDP_1qa!L30,"")</f>
        <v/>
      </c>
      <c r="M30" s="12"/>
      <c r="N30" s="12"/>
      <c r="O30" s="12" t="str">
        <f>if(rank('Ens_1qa작업'!O29,'Ens_1qa작업'!$C29:$Z29,1)&lt;=5,pred_GDP_1qa!O30,"")</f>
        <v/>
      </c>
      <c r="P30" s="12">
        <f>if(rank('Ens_1qa작업'!P29,'Ens_1qa작업'!$C29:$Z29,1)&lt;=5,pred_GDP_1qa!P30,"")</f>
        <v>0.3981434405</v>
      </c>
      <c r="Q30" s="12">
        <f>if(rank('Ens_1qa작업'!Q29,'Ens_1qa작업'!$C29:$Z29,1)&lt;=5,pred_GDP_1qa!Q30,"")</f>
        <v>0.387704</v>
      </c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2">
      <c r="B32" s="2" t="s">
        <v>118</v>
      </c>
      <c r="C32" s="13">
        <f t="shared" ref="C32:F32" si="3">AVERAGE(C2:C30)</f>
        <v>0.6340674375</v>
      </c>
      <c r="D32" s="13">
        <f t="shared" si="3"/>
        <v>0.5042266875</v>
      </c>
      <c r="E32" s="13">
        <f t="shared" si="3"/>
        <v>0.4425245</v>
      </c>
      <c r="F32" s="13">
        <f t="shared" si="3"/>
        <v>0.4552497145</v>
      </c>
      <c r="G32" s="13"/>
      <c r="H32" s="13"/>
      <c r="I32" s="13">
        <f t="shared" ref="I32:L32" si="4">AVERAGE(I2:I30)</f>
        <v>0.8047847959</v>
      </c>
      <c r="J32" s="13">
        <f t="shared" si="4"/>
        <v>0.8651921524</v>
      </c>
      <c r="K32" s="13">
        <f t="shared" si="4"/>
        <v>0.572933</v>
      </c>
      <c r="L32" s="13">
        <f t="shared" si="4"/>
        <v>0.2764138179</v>
      </c>
      <c r="M32" s="13"/>
      <c r="N32" s="13"/>
      <c r="O32" s="13">
        <f t="shared" ref="O32:Q32" si="5">AVERAGE(O2:O30)</f>
        <v>0.6222347292</v>
      </c>
      <c r="P32" s="13">
        <f t="shared" si="5"/>
        <v>0.8986071712</v>
      </c>
      <c r="Q32" s="13">
        <f t="shared" si="5"/>
        <v>0.5819121818</v>
      </c>
      <c r="R32" s="13"/>
      <c r="S32" s="13"/>
      <c r="T32" s="13"/>
      <c r="U32" s="13"/>
      <c r="V32" s="13"/>
      <c r="W32" s="13"/>
      <c r="X32" s="13"/>
      <c r="Y32" s="13"/>
      <c r="Z32" s="13"/>
      <c r="AA32" s="13" t="str">
        <f>AVERAGE(AA2:AA30)</f>
        <v>#DIV/0!</v>
      </c>
      <c r="AC32" s="13">
        <f>AVERAGE(AC2:AC30)</f>
        <v>0.1983586676</v>
      </c>
    </row>
    <row r="33">
      <c r="B33" s="2" t="s">
        <v>119</v>
      </c>
      <c r="C33" s="13">
        <f t="shared" ref="C33:F33" si="6">(sumsq(C2:C30)/count(C2:C30))^(0.5)</f>
        <v>0.7918155604</v>
      </c>
      <c r="D33" s="13">
        <f t="shared" si="6"/>
        <v>0.585448841</v>
      </c>
      <c r="E33" s="13">
        <f t="shared" si="6"/>
        <v>0.5324471234</v>
      </c>
      <c r="F33" s="13">
        <f t="shared" si="6"/>
        <v>0.5542122188</v>
      </c>
      <c r="G33" s="13"/>
      <c r="H33" s="13"/>
      <c r="I33" s="13">
        <f t="shared" ref="I33:L33" si="7">(sumsq(I2:I30)/count(I2:I30))^(0.5)</f>
        <v>1.14299464</v>
      </c>
      <c r="J33" s="13">
        <f t="shared" si="7"/>
        <v>1.013477435</v>
      </c>
      <c r="K33" s="13">
        <f t="shared" si="7"/>
        <v>0.572933</v>
      </c>
      <c r="L33" s="13">
        <f t="shared" si="7"/>
        <v>0.7412604465</v>
      </c>
      <c r="M33" s="13"/>
      <c r="N33" s="13"/>
      <c r="O33" s="13">
        <f t="shared" ref="O33:Q33" si="8">(sumsq(O2:O30)/count(O2:O30))^(0.5)</f>
        <v>0.6310905346</v>
      </c>
      <c r="P33" s="13">
        <f t="shared" si="8"/>
        <v>0.9543540495</v>
      </c>
      <c r="Q33" s="13">
        <f t="shared" si="8"/>
        <v>0.6472972346</v>
      </c>
      <c r="R33" s="13"/>
      <c r="S33" s="13"/>
      <c r="T33" s="13"/>
      <c r="U33" s="13"/>
      <c r="V33" s="13"/>
      <c r="W33" s="13"/>
      <c r="X33" s="13"/>
      <c r="Y33" s="13"/>
      <c r="Z33" s="13"/>
      <c r="AA33" s="13" t="str">
        <f>(sumsq(AA2:AA30)/count(AA2:AA30))^(0.5)</f>
        <v>#DIV/0!</v>
      </c>
      <c r="AC33" s="13">
        <f>(sumsq(AC2:AC30)/count(AC2:AC30))^(0.5)</f>
        <v>0.52986195</v>
      </c>
    </row>
    <row r="34">
      <c r="B34" s="2" t="s">
        <v>120</v>
      </c>
      <c r="C34" s="13">
        <f t="shared" ref="C34:F34" si="9">MAX(C2:C30)</f>
        <v>1.04818163</v>
      </c>
      <c r="D34" s="13">
        <f t="shared" si="9"/>
        <v>1.149676</v>
      </c>
      <c r="E34" s="13">
        <f t="shared" si="9"/>
        <v>1.000648</v>
      </c>
      <c r="F34" s="13">
        <f t="shared" si="9"/>
        <v>0.9713311517</v>
      </c>
      <c r="G34" s="13"/>
      <c r="H34" s="13"/>
      <c r="I34" s="13">
        <f t="shared" ref="I34:L34" si="10">MAX(I2:I30)</f>
        <v>1.539498494</v>
      </c>
      <c r="J34" s="13">
        <f t="shared" si="10"/>
        <v>1.979820997</v>
      </c>
      <c r="K34" s="13">
        <f t="shared" si="10"/>
        <v>0.572933</v>
      </c>
      <c r="L34" s="13">
        <f t="shared" si="10"/>
        <v>1.455949004</v>
      </c>
      <c r="M34" s="13"/>
      <c r="N34" s="13"/>
      <c r="O34" s="13">
        <f t="shared" ref="O34:Q34" si="11">MAX(O2:O30)</f>
        <v>0.7243783782</v>
      </c>
      <c r="P34" s="13">
        <f t="shared" si="11"/>
        <v>1.461755157</v>
      </c>
      <c r="Q34" s="13">
        <f t="shared" si="11"/>
        <v>0.970054</v>
      </c>
      <c r="R34" s="13"/>
      <c r="S34" s="13"/>
      <c r="T34" s="13"/>
      <c r="U34" s="13"/>
      <c r="V34" s="13"/>
      <c r="W34" s="13"/>
      <c r="X34" s="13"/>
      <c r="Y34" s="13"/>
      <c r="Z34" s="13"/>
      <c r="AA34" s="13">
        <f>MAX(AA2:AA30)</f>
        <v>0</v>
      </c>
      <c r="AC34" s="13">
        <f>MAX(AC2:AC30)</f>
        <v>1.000648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9"/>
      <c r="B1" s="10" t="s">
        <v>102</v>
      </c>
      <c r="C1" s="2" t="s">
        <v>121</v>
      </c>
      <c r="D1" s="2" t="s">
        <v>122</v>
      </c>
      <c r="E1" s="2" t="s">
        <v>123</v>
      </c>
      <c r="F1" s="2" t="s">
        <v>124</v>
      </c>
      <c r="H1" s="2" t="s">
        <v>76</v>
      </c>
      <c r="I1" s="2" t="s">
        <v>56</v>
      </c>
      <c r="J1" s="2" t="s">
        <v>125</v>
      </c>
      <c r="K1" s="2" t="s">
        <v>126</v>
      </c>
      <c r="L1" s="2" t="s">
        <v>127</v>
      </c>
      <c r="M1" s="2" t="s">
        <v>128</v>
      </c>
      <c r="O1" s="2" t="s">
        <v>129</v>
      </c>
      <c r="P1" s="2" t="s">
        <v>130</v>
      </c>
      <c r="Q1" s="2" t="s">
        <v>131</v>
      </c>
      <c r="R1" s="2" t="s">
        <v>132</v>
      </c>
      <c r="AA1" s="2" t="s">
        <v>87</v>
      </c>
      <c r="AB1" s="2" t="s">
        <v>133</v>
      </c>
      <c r="AC1" s="2" t="s">
        <v>134</v>
      </c>
    </row>
    <row r="2">
      <c r="A2" s="11">
        <v>201603.0</v>
      </c>
      <c r="B2" s="10">
        <v>0.3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2"/>
      <c r="N2" s="12"/>
    </row>
    <row r="3">
      <c r="A3" s="11">
        <v>201606.0</v>
      </c>
      <c r="B3" s="10">
        <v>1.2</v>
      </c>
      <c r="C3" s="12"/>
      <c r="D3" s="12"/>
      <c r="E3" s="12"/>
      <c r="F3" s="12"/>
      <c r="G3" s="12"/>
      <c r="H3" s="12"/>
      <c r="I3" s="12"/>
      <c r="J3" s="12"/>
      <c r="K3" s="12"/>
      <c r="L3" s="13"/>
      <c r="M3" s="12"/>
      <c r="N3" s="12"/>
    </row>
    <row r="4">
      <c r="A4" s="11">
        <v>201609.0</v>
      </c>
      <c r="B4" s="10">
        <v>0.4</v>
      </c>
      <c r="C4" s="12"/>
      <c r="D4" s="12"/>
      <c r="E4" s="12"/>
      <c r="F4" s="12"/>
      <c r="G4" s="12"/>
      <c r="H4" s="12"/>
      <c r="I4" s="12"/>
      <c r="J4" s="12"/>
      <c r="K4" s="12"/>
      <c r="L4" s="13"/>
      <c r="M4" s="12"/>
      <c r="N4" s="12"/>
    </row>
    <row r="5">
      <c r="A5" s="11">
        <v>201612.0</v>
      </c>
      <c r="B5" s="10">
        <v>0.6</v>
      </c>
      <c r="C5" s="12"/>
      <c r="D5" s="12"/>
      <c r="E5" s="12"/>
      <c r="F5" s="12"/>
      <c r="G5" s="12"/>
      <c r="H5" s="12"/>
      <c r="I5" s="12"/>
      <c r="J5" s="12"/>
      <c r="K5" s="12"/>
      <c r="L5" s="13"/>
      <c r="M5" s="12"/>
      <c r="N5" s="12"/>
    </row>
    <row r="6">
      <c r="A6" s="11">
        <v>201703.0</v>
      </c>
      <c r="B6" s="10">
        <v>1.0</v>
      </c>
      <c r="C6" s="16"/>
      <c r="D6" s="16"/>
      <c r="E6" s="16"/>
      <c r="F6" s="16"/>
      <c r="G6" s="16"/>
      <c r="H6" s="16"/>
      <c r="I6" s="16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5" t="str">
        <f t="shared" ref="AB6:AB29" si="1">index($C$1:$AA$1, match(min(C6:AA6),C6:AA6,0))</f>
        <v>#N/A</v>
      </c>
      <c r="AC6" s="17">
        <f t="shared" ref="AC6:AC29" si="2">min(C6:AA6)</f>
        <v>0</v>
      </c>
    </row>
    <row r="7">
      <c r="A7" s="11">
        <v>201706.0</v>
      </c>
      <c r="B7" s="10">
        <v>0.8</v>
      </c>
      <c r="C7" s="12" t="str">
        <f>if(rank('Ens_1qa작업'!C6,'Ens_1qa작업'!$C6:$Z6,1)&lt;=3,pred_GDP_1qa!C7,"")</f>
        <v/>
      </c>
      <c r="D7" s="12">
        <f>if(rank('Ens_1qa작업'!D6,'Ens_1qa작업'!$C6:$Z6,1)&lt;=3,pred_GDP_1qa!D7,"")</f>
        <v>0.469731</v>
      </c>
      <c r="E7" s="12" t="str">
        <f>if(rank('Ens_1qa작업'!E6,'Ens_1qa작업'!$C6:$Z6,1)&lt;=3,pred_GDP_1qa!E7,"")</f>
        <v/>
      </c>
      <c r="F7" s="12" t="str">
        <f>if(rank('Ens_1qa작업'!F6,'Ens_1qa작업'!$C6:$Z6,1)&lt;=3,pred_GDP_1qa!F7,"")</f>
        <v/>
      </c>
      <c r="G7" s="12"/>
      <c r="H7" s="12"/>
      <c r="I7" s="12" t="str">
        <f>if(rank('Ens_1qa작업'!I6,'Ens_1qa작업'!$C6:$Z6,1)&lt;=3,pred_GDP_1qa!I7,"")</f>
        <v/>
      </c>
      <c r="J7" s="12" t="str">
        <f>if(rank('Ens_1qa작업'!J6,'Ens_1qa작업'!$C6:$Z6,1)&lt;=3,pred_GDP_1qa!J7,"")</f>
        <v/>
      </c>
      <c r="K7" s="12" t="str">
        <f>if(rank('Ens_1qa작업'!K6,'Ens_1qa작업'!$C6:$Z6,1)&lt;=3,pred_GDP_1qa!K7,"")</f>
        <v/>
      </c>
      <c r="L7" s="12">
        <f>if(rank('Ens_1qa작업'!L6,'Ens_1qa작업'!$C6:$Z6,1)&lt;=3,pred_GDP_1qa!L7,"")</f>
        <v>-0.358109222</v>
      </c>
      <c r="M7" s="12"/>
      <c r="N7" s="12"/>
      <c r="O7" s="12">
        <f>if(rank('Ens_1qa작업'!O6,'Ens_1qa작업'!$C6:$Z6,1)&lt;=3,pred_GDP_1qa!O7,"")</f>
        <v>0.409885344</v>
      </c>
      <c r="P7" s="12" t="str">
        <f>if(rank('Ens_1qa작업'!P6,'Ens_1qa작업'!$C6:$Z6,1)&lt;=3,pred_GDP_1qa!P7,"")</f>
        <v/>
      </c>
      <c r="Q7" s="12" t="str">
        <f>if(rank('Ens_1qa작업'!Q6,'Ens_1qa작업'!$C6:$Z6,1)&lt;=3,pred_GDP_1qa!Q7,"")</f>
        <v/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5" t="str">
        <f t="shared" si="1"/>
        <v>SVR-KNN</v>
      </c>
      <c r="AC7" s="13">
        <f t="shared" si="2"/>
        <v>-0.358109222</v>
      </c>
    </row>
    <row r="8">
      <c r="A8" s="11">
        <v>201709.0</v>
      </c>
      <c r="B8" s="10">
        <v>1.4</v>
      </c>
      <c r="C8" s="12" t="str">
        <f>if(rank('Ens_1qa작업'!C7,'Ens_1qa작업'!$C7:$Z7,1)&lt;=3,pred_GDP_1qa!C8,"")</f>
        <v/>
      </c>
      <c r="D8" s="12">
        <f>if(rank('Ens_1qa작업'!D7,'Ens_1qa작업'!$C7:$Z7,1)&lt;=3,pred_GDP_1qa!D8,"")</f>
        <v>0.500708</v>
      </c>
      <c r="E8" s="12" t="str">
        <f>if(rank('Ens_1qa작업'!E7,'Ens_1qa작업'!$C7:$Z7,1)&lt;=3,pred_GDP_1qa!E8,"")</f>
        <v/>
      </c>
      <c r="F8" s="12" t="str">
        <f>if(rank('Ens_1qa작업'!F7,'Ens_1qa작업'!$C7:$Z7,1)&lt;=3,pred_GDP_1qa!F8,"")</f>
        <v/>
      </c>
      <c r="G8" s="12"/>
      <c r="H8" s="12"/>
      <c r="I8" s="12" t="str">
        <f>if(rank('Ens_1qa작업'!I7,'Ens_1qa작업'!$C7:$Z7,1)&lt;=3,pred_GDP_1qa!I8,"")</f>
        <v/>
      </c>
      <c r="J8" s="12">
        <f>if(rank('Ens_1qa작업'!J7,'Ens_1qa작업'!$C7:$Z7,1)&lt;=3,pred_GDP_1qa!J8,"")</f>
        <v>0.7163979036</v>
      </c>
      <c r="K8" s="12" t="str">
        <f>if(rank('Ens_1qa작업'!K7,'Ens_1qa작업'!$C7:$Z7,1)&lt;=3,pred_GDP_1qa!K8,"")</f>
        <v/>
      </c>
      <c r="L8" s="12" t="str">
        <f>if(rank('Ens_1qa작업'!L7,'Ens_1qa작업'!$C7:$Z7,1)&lt;=3,pred_GDP_1qa!L8,"")</f>
        <v/>
      </c>
      <c r="M8" s="12"/>
      <c r="N8" s="12"/>
      <c r="O8" s="12">
        <f>if(rank('Ens_1qa작업'!O7,'Ens_1qa작업'!$C7:$Z7,1)&lt;=3,pred_GDP_1qa!O8,"")</f>
        <v>0.4523410245</v>
      </c>
      <c r="P8" s="12" t="str">
        <f>if(rank('Ens_1qa작업'!P7,'Ens_1qa작업'!$C7:$Z7,1)&lt;=3,pred_GDP_1qa!P8,"")</f>
        <v/>
      </c>
      <c r="Q8" s="12" t="str">
        <f>if(rank('Ens_1qa작업'!Q7,'Ens_1qa작업'!$C7:$Z7,1)&lt;=3,pred_GDP_1qa!Q8,"")</f>
        <v/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5" t="str">
        <f t="shared" si="1"/>
        <v>RF-DVS</v>
      </c>
      <c r="AC8" s="13">
        <f t="shared" si="2"/>
        <v>0.4523410245</v>
      </c>
    </row>
    <row r="9">
      <c r="A9" s="11">
        <v>201712.0</v>
      </c>
      <c r="B9" s="10">
        <v>-0.3</v>
      </c>
      <c r="C9" s="12">
        <f>if(rank('Ens_1qa작업'!C8,'Ens_1qa작업'!$C8:$Z8,1)&lt;=3,pred_GDP_1qa!C9,"")</f>
        <v>0.97254494</v>
      </c>
      <c r="D9" s="12" t="str">
        <f>if(rank('Ens_1qa작업'!D8,'Ens_1qa작업'!$C8:$Z8,1)&lt;=3,pred_GDP_1qa!D9,"")</f>
        <v/>
      </c>
      <c r="E9" s="12" t="str">
        <f>if(rank('Ens_1qa작업'!E8,'Ens_1qa작업'!$C8:$Z8,1)&lt;=3,pred_GDP_1qa!E9,"")</f>
        <v/>
      </c>
      <c r="F9" s="12">
        <f>if(rank('Ens_1qa작업'!F8,'Ens_1qa작업'!$C8:$Z8,1)&lt;=3,pred_GDP_1qa!F9,"")</f>
        <v>0.4392551563</v>
      </c>
      <c r="G9" s="12"/>
      <c r="H9" s="12"/>
      <c r="I9" s="12" t="str">
        <f>if(rank('Ens_1qa작업'!I8,'Ens_1qa작업'!$C8:$Z8,1)&lt;=3,pred_GDP_1qa!I9,"")</f>
        <v/>
      </c>
      <c r="J9" s="12" t="str">
        <f>if(rank('Ens_1qa작업'!J8,'Ens_1qa작업'!$C8:$Z8,1)&lt;=3,pred_GDP_1qa!J9,"")</f>
        <v/>
      </c>
      <c r="K9" s="12" t="str">
        <f>if(rank('Ens_1qa작업'!K8,'Ens_1qa작업'!$C8:$Z8,1)&lt;=3,pred_GDP_1qa!K9,"")</f>
        <v/>
      </c>
      <c r="L9" s="12" t="str">
        <f>if(rank('Ens_1qa작업'!L8,'Ens_1qa작업'!$C8:$Z8,1)&lt;=3,pred_GDP_1qa!L9,"")</f>
        <v/>
      </c>
      <c r="M9" s="12"/>
      <c r="N9" s="12"/>
      <c r="O9" s="12" t="str">
        <f>if(rank('Ens_1qa작업'!O8,'Ens_1qa작업'!$C8:$Z8,1)&lt;=3,pred_GDP_1qa!O9,"")</f>
        <v/>
      </c>
      <c r="P9" s="12" t="str">
        <f>if(rank('Ens_1qa작업'!P8,'Ens_1qa작업'!$C8:$Z8,1)&lt;=3,pred_GDP_1qa!P9,"")</f>
        <v/>
      </c>
      <c r="Q9" s="12">
        <f>if(rank('Ens_1qa작업'!Q8,'Ens_1qa작업'!$C8:$Z8,1)&lt;=3,pred_GDP_1qa!Q9,"")</f>
        <v>0.849378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5" t="str">
        <f t="shared" si="1"/>
        <v>BEM3</v>
      </c>
      <c r="AC9" s="13">
        <f t="shared" si="2"/>
        <v>0.4392551563</v>
      </c>
    </row>
    <row r="10">
      <c r="A10" s="11">
        <v>201803.0</v>
      </c>
      <c r="B10" s="10">
        <v>1.3</v>
      </c>
      <c r="C10" s="12">
        <f>if(rank('Ens_1qa작업'!C9,'Ens_1qa작업'!$C9:$Z9,1)&lt;=3,pred_GDP_1qa!C10,"")</f>
        <v>0.92490877</v>
      </c>
      <c r="D10" s="12" t="str">
        <f>if(rank('Ens_1qa작업'!D9,'Ens_1qa작업'!$C9:$Z9,1)&lt;=3,pred_GDP_1qa!D10,"")</f>
        <v/>
      </c>
      <c r="E10" s="12" t="str">
        <f>if(rank('Ens_1qa작업'!E9,'Ens_1qa작업'!$C9:$Z9,1)&lt;=3,pred_GDP_1qa!E10,"")</f>
        <v/>
      </c>
      <c r="F10" s="12">
        <f>if(rank('Ens_1qa작업'!F9,'Ens_1qa작업'!$C9:$Z9,1)&lt;=3,pred_GDP_1qa!F10,"")</f>
        <v>0.9713311517</v>
      </c>
      <c r="G10" s="12"/>
      <c r="H10" s="12"/>
      <c r="I10" s="12" t="str">
        <f>if(rank('Ens_1qa작업'!I9,'Ens_1qa작업'!$C9:$Z9,1)&lt;=3,pred_GDP_1qa!I10,"")</f>
        <v/>
      </c>
      <c r="J10" s="12" t="str">
        <f>if(rank('Ens_1qa작업'!J9,'Ens_1qa작업'!$C9:$Z9,1)&lt;=3,pred_GDP_1qa!J10,"")</f>
        <v/>
      </c>
      <c r="K10" s="12" t="str">
        <f>if(rank('Ens_1qa작업'!K9,'Ens_1qa작업'!$C9:$Z9,1)&lt;=3,pred_GDP_1qa!K10,"")</f>
        <v/>
      </c>
      <c r="L10" s="12" t="str">
        <f>if(rank('Ens_1qa작업'!L9,'Ens_1qa작업'!$C9:$Z9,1)&lt;=3,pred_GDP_1qa!L10,"")</f>
        <v/>
      </c>
      <c r="M10" s="12"/>
      <c r="N10" s="12"/>
      <c r="O10" s="12" t="str">
        <f>if(rank('Ens_1qa작업'!O9,'Ens_1qa작업'!$C9:$Z9,1)&lt;=3,pred_GDP_1qa!O10,"")</f>
        <v/>
      </c>
      <c r="P10" s="12" t="str">
        <f>if(rank('Ens_1qa작업'!P9,'Ens_1qa작업'!$C9:$Z9,1)&lt;=3,pred_GDP_1qa!P10,"")</f>
        <v/>
      </c>
      <c r="Q10" s="12">
        <f>if(rank('Ens_1qa작업'!Q9,'Ens_1qa작업'!$C9:$Z9,1)&lt;=3,pred_GDP_1qa!Q10,"")</f>
        <v>0.548781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5" t="str">
        <f t="shared" si="1"/>
        <v>LQR</v>
      </c>
      <c r="AC10" s="13">
        <f t="shared" si="2"/>
        <v>0.548781</v>
      </c>
    </row>
    <row r="11">
      <c r="A11" s="11">
        <v>201806.0</v>
      </c>
      <c r="B11" s="10">
        <v>0.7</v>
      </c>
      <c r="C11" s="12">
        <f>if(rank('Ens_1qa작업'!C10,'Ens_1qa작업'!$C10:$Z10,1)&lt;=3,pred_GDP_1qa!C11,"")</f>
        <v>0.61097282</v>
      </c>
      <c r="D11" s="12" t="str">
        <f>if(rank('Ens_1qa작업'!D10,'Ens_1qa작업'!$C10:$Z10,1)&lt;=3,pred_GDP_1qa!D11,"")</f>
        <v/>
      </c>
      <c r="E11" s="12" t="str">
        <f>if(rank('Ens_1qa작업'!E10,'Ens_1qa작업'!$C10:$Z10,1)&lt;=3,pred_GDP_1qa!E11,"")</f>
        <v/>
      </c>
      <c r="F11" s="12">
        <f>if(rank('Ens_1qa작업'!F10,'Ens_1qa작업'!$C10:$Z10,1)&lt;=3,pred_GDP_1qa!F11,"")</f>
        <v>0.5150402011</v>
      </c>
      <c r="G11" s="12"/>
      <c r="H11" s="12"/>
      <c r="I11" s="12" t="str">
        <f>if(rank('Ens_1qa작업'!I10,'Ens_1qa작업'!$C10:$Z10,1)&lt;=3,pred_GDP_1qa!I11,"")</f>
        <v/>
      </c>
      <c r="J11" s="12" t="str">
        <f>if(rank('Ens_1qa작업'!J10,'Ens_1qa작업'!$C10:$Z10,1)&lt;=3,pred_GDP_1qa!J11,"")</f>
        <v/>
      </c>
      <c r="K11" s="12" t="str">
        <f>if(rank('Ens_1qa작업'!K10,'Ens_1qa작업'!$C10:$Z10,1)&lt;=3,pred_GDP_1qa!K11,"")</f>
        <v/>
      </c>
      <c r="L11" s="12" t="str">
        <f>if(rank('Ens_1qa작업'!L10,'Ens_1qa작업'!$C10:$Z10,1)&lt;=3,pred_GDP_1qa!L11,"")</f>
        <v/>
      </c>
      <c r="M11" s="12"/>
      <c r="N11" s="12"/>
      <c r="O11" s="12" t="str">
        <f>if(rank('Ens_1qa작업'!O10,'Ens_1qa작업'!$C10:$Z10,1)&lt;=3,pred_GDP_1qa!O11,"")</f>
        <v/>
      </c>
      <c r="P11" s="12" t="str">
        <f>if(rank('Ens_1qa작업'!P10,'Ens_1qa작업'!$C10:$Z10,1)&lt;=3,pred_GDP_1qa!P11,"")</f>
        <v/>
      </c>
      <c r="Q11" s="12">
        <f>if(rank('Ens_1qa작업'!Q10,'Ens_1qa작업'!$C10:$Z10,1)&lt;=3,pred_GDP_1qa!Q11,"")</f>
        <v>0.663451</v>
      </c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5" t="str">
        <f t="shared" si="1"/>
        <v>BEM3</v>
      </c>
      <c r="AC11" s="13">
        <f t="shared" si="2"/>
        <v>0.5150402011</v>
      </c>
    </row>
    <row r="12">
      <c r="A12" s="11">
        <v>201809.0</v>
      </c>
      <c r="B12" s="10">
        <v>0.6</v>
      </c>
      <c r="C12" s="12">
        <f>if(rank('Ens_1qa작업'!C11,'Ens_1qa작업'!$C11:$Z11,1)&lt;=3,pred_GDP_1qa!C12,"")</f>
        <v>1.04818163</v>
      </c>
      <c r="D12" s="12" t="str">
        <f>if(rank('Ens_1qa작업'!D11,'Ens_1qa작업'!$C11:$Z11,1)&lt;=3,pred_GDP_1qa!D12,"")</f>
        <v/>
      </c>
      <c r="E12" s="12" t="str">
        <f>if(rank('Ens_1qa작업'!E11,'Ens_1qa작업'!$C11:$Z11,1)&lt;=3,pred_GDP_1qa!E12,"")</f>
        <v/>
      </c>
      <c r="F12" s="12">
        <f>if(rank('Ens_1qa작업'!F11,'Ens_1qa작업'!$C11:$Z11,1)&lt;=3,pred_GDP_1qa!F12,"")</f>
        <v>0.7957078641</v>
      </c>
      <c r="G12" s="12"/>
      <c r="H12" s="12"/>
      <c r="I12" s="12" t="str">
        <f>if(rank('Ens_1qa작업'!I11,'Ens_1qa작업'!$C11:$Z11,1)&lt;=3,pred_GDP_1qa!I12,"")</f>
        <v/>
      </c>
      <c r="J12" s="12" t="str">
        <f>if(rank('Ens_1qa작업'!J11,'Ens_1qa작업'!$C11:$Z11,1)&lt;=3,pred_GDP_1qa!J12,"")</f>
        <v/>
      </c>
      <c r="K12" s="12" t="str">
        <f>if(rank('Ens_1qa작업'!K11,'Ens_1qa작업'!$C11:$Z11,1)&lt;=3,pred_GDP_1qa!K12,"")</f>
        <v/>
      </c>
      <c r="L12" s="12" t="str">
        <f>if(rank('Ens_1qa작업'!L11,'Ens_1qa작업'!$C11:$Z11,1)&lt;=3,pred_GDP_1qa!L12,"")</f>
        <v/>
      </c>
      <c r="M12" s="12"/>
      <c r="N12" s="12"/>
      <c r="O12" s="12" t="str">
        <f>if(rank('Ens_1qa작업'!O11,'Ens_1qa작업'!$C11:$Z11,1)&lt;=3,pred_GDP_1qa!O12,"")</f>
        <v/>
      </c>
      <c r="P12" s="12" t="str">
        <f>if(rank('Ens_1qa작업'!P11,'Ens_1qa작업'!$C11:$Z11,1)&lt;=3,pred_GDP_1qa!P12,"")</f>
        <v/>
      </c>
      <c r="Q12" s="12">
        <f>if(rank('Ens_1qa작업'!Q11,'Ens_1qa작업'!$C11:$Z11,1)&lt;=3,pred_GDP_1qa!Q12,"")</f>
        <v>0.606897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5" t="str">
        <f t="shared" si="1"/>
        <v>LQR</v>
      </c>
      <c r="AC12" s="13">
        <f t="shared" si="2"/>
        <v>0.606897</v>
      </c>
    </row>
    <row r="13">
      <c r="A13" s="11">
        <v>201812.0</v>
      </c>
      <c r="B13" s="10">
        <v>0.6</v>
      </c>
      <c r="C13" s="12">
        <f>if(rank('Ens_1qa작업'!C12,'Ens_1qa작업'!$C12:$Z12,1)&lt;=3,pred_GDP_1qa!C13,"")</f>
        <v>0.54190395</v>
      </c>
      <c r="D13" s="12">
        <f>if(rank('Ens_1qa작업'!D12,'Ens_1qa작업'!$C12:$Z12,1)&lt;=3,pred_GDP_1qa!D13,"")</f>
        <v>0.505337</v>
      </c>
      <c r="E13" s="12" t="str">
        <f>if(rank('Ens_1qa작업'!E12,'Ens_1qa작업'!$C12:$Z12,1)&lt;=3,pred_GDP_1qa!E13,"")</f>
        <v/>
      </c>
      <c r="F13" s="12">
        <f>if(rank('Ens_1qa작업'!F12,'Ens_1qa작업'!$C12:$Z12,1)&lt;=3,pred_GDP_1qa!F13,"")</f>
        <v>0.5321437502</v>
      </c>
      <c r="G13" s="12"/>
      <c r="H13" s="12"/>
      <c r="I13" s="12" t="str">
        <f>if(rank('Ens_1qa작업'!I12,'Ens_1qa작업'!$C12:$Z12,1)&lt;=3,pred_GDP_1qa!I13,"")</f>
        <v/>
      </c>
      <c r="J13" s="12" t="str">
        <f>if(rank('Ens_1qa작업'!J12,'Ens_1qa작업'!$C12:$Z12,1)&lt;=3,pred_GDP_1qa!J13,"")</f>
        <v/>
      </c>
      <c r="K13" s="12" t="str">
        <f>if(rank('Ens_1qa작업'!K12,'Ens_1qa작업'!$C12:$Z12,1)&lt;=3,pred_GDP_1qa!K13,"")</f>
        <v/>
      </c>
      <c r="L13" s="12" t="str">
        <f>if(rank('Ens_1qa작업'!L12,'Ens_1qa작업'!$C12:$Z12,1)&lt;=3,pred_GDP_1qa!L13,"")</f>
        <v/>
      </c>
      <c r="M13" s="12"/>
      <c r="N13" s="12"/>
      <c r="O13" s="12" t="str">
        <f>if(rank('Ens_1qa작업'!O12,'Ens_1qa작업'!$C12:$Z12,1)&lt;=3,pred_GDP_1qa!O13,"")</f>
        <v/>
      </c>
      <c r="P13" s="12" t="str">
        <f>if(rank('Ens_1qa작업'!P12,'Ens_1qa작업'!$C12:$Z12,1)&lt;=3,pred_GDP_1qa!P13,"")</f>
        <v/>
      </c>
      <c r="Q13" s="12" t="str">
        <f>if(rank('Ens_1qa작업'!Q12,'Ens_1qa작업'!$C12:$Z12,1)&lt;=3,pred_GDP_1qa!Q13,"")</f>
        <v/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5" t="str">
        <f t="shared" si="1"/>
        <v>BEM1</v>
      </c>
      <c r="AC13" s="13">
        <f t="shared" si="2"/>
        <v>0.505337</v>
      </c>
    </row>
    <row r="14">
      <c r="A14" s="11">
        <v>201903.0</v>
      </c>
      <c r="B14" s="10">
        <v>-0.1</v>
      </c>
      <c r="C14" s="12" t="str">
        <f>if(rank('Ens_1qa작업'!C13,'Ens_1qa작업'!$C13:$Z13,1)&lt;=3,pred_GDP_1qa!C14,"")</f>
        <v/>
      </c>
      <c r="D14" s="12">
        <f>if(rank('Ens_1qa작업'!D13,'Ens_1qa작업'!$C13:$Z13,1)&lt;=3,pred_GDP_1qa!D14,"")</f>
        <v>0.395094</v>
      </c>
      <c r="E14" s="12">
        <f>if(rank('Ens_1qa작업'!E13,'Ens_1qa작업'!$C13:$Z13,1)&lt;=3,pred_GDP_1qa!E14,"")</f>
        <v>0.333607</v>
      </c>
      <c r="F14" s="12">
        <f>if(rank('Ens_1qa작업'!F13,'Ens_1qa작업'!$C13:$Z13,1)&lt;=3,pred_GDP_1qa!F14,"")</f>
        <v>0.249530522</v>
      </c>
      <c r="G14" s="12"/>
      <c r="H14" s="12"/>
      <c r="I14" s="12" t="str">
        <f>if(rank('Ens_1qa작업'!I13,'Ens_1qa작업'!$C13:$Z13,1)&lt;=3,pred_GDP_1qa!I14,"")</f>
        <v/>
      </c>
      <c r="J14" s="12" t="str">
        <f>if(rank('Ens_1qa작업'!J13,'Ens_1qa작업'!$C13:$Z13,1)&lt;=3,pred_GDP_1qa!J14,"")</f>
        <v/>
      </c>
      <c r="K14" s="12" t="str">
        <f>if(rank('Ens_1qa작업'!K13,'Ens_1qa작업'!$C13:$Z13,1)&lt;=3,pred_GDP_1qa!K14,"")</f>
        <v/>
      </c>
      <c r="L14" s="12" t="str">
        <f>if(rank('Ens_1qa작업'!L13,'Ens_1qa작업'!$C13:$Z13,1)&lt;=3,pred_GDP_1qa!L14,"")</f>
        <v/>
      </c>
      <c r="M14" s="12"/>
      <c r="N14" s="12"/>
      <c r="O14" s="12" t="str">
        <f>if(rank('Ens_1qa작업'!O13,'Ens_1qa작업'!$C13:$Z13,1)&lt;=3,pred_GDP_1qa!O14,"")</f>
        <v/>
      </c>
      <c r="P14" s="12" t="str">
        <f>if(rank('Ens_1qa작업'!P13,'Ens_1qa작업'!$C13:$Z13,1)&lt;=3,pred_GDP_1qa!P14,"")</f>
        <v/>
      </c>
      <c r="Q14" s="12" t="str">
        <f>if(rank('Ens_1qa작업'!Q13,'Ens_1qa작업'!$C13:$Z13,1)&lt;=3,pred_GDP_1qa!Q14,"")</f>
        <v/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5" t="str">
        <f t="shared" si="1"/>
        <v>BEM3</v>
      </c>
      <c r="AC14" s="13">
        <f t="shared" si="2"/>
        <v>0.249530522</v>
      </c>
    </row>
    <row r="15">
      <c r="A15" s="11">
        <v>201906.0</v>
      </c>
      <c r="B15" s="10">
        <v>1.1</v>
      </c>
      <c r="C15" s="12" t="str">
        <f>if(rank('Ens_1qa작업'!C14,'Ens_1qa작업'!$C14:$Z14,1)&lt;=3,pred_GDP_1qa!C15,"")</f>
        <v/>
      </c>
      <c r="D15" s="12">
        <f>if(rank('Ens_1qa작업'!D14,'Ens_1qa작업'!$C14:$Z14,1)&lt;=3,pred_GDP_1qa!D15,"")</f>
        <v>0.672491</v>
      </c>
      <c r="E15" s="12" t="str">
        <f>if(rank('Ens_1qa작업'!E14,'Ens_1qa작업'!$C14:$Z14,1)&lt;=3,pred_GDP_1qa!E15,"")</f>
        <v/>
      </c>
      <c r="F15" s="12">
        <f>if(rank('Ens_1qa작업'!F14,'Ens_1qa작업'!$C14:$Z14,1)&lt;=3,pred_GDP_1qa!F15,"")</f>
        <v>0.4088380386</v>
      </c>
      <c r="G15" s="12"/>
      <c r="H15" s="12"/>
      <c r="I15" s="12" t="str">
        <f>if(rank('Ens_1qa작업'!I14,'Ens_1qa작업'!$C14:$Z14,1)&lt;=3,pred_GDP_1qa!I15,"")</f>
        <v/>
      </c>
      <c r="J15" s="12" t="str">
        <f>if(rank('Ens_1qa작업'!J14,'Ens_1qa작업'!$C14:$Z14,1)&lt;=3,pred_GDP_1qa!J15,"")</f>
        <v/>
      </c>
      <c r="K15" s="12" t="str">
        <f>if(rank('Ens_1qa작업'!K14,'Ens_1qa작업'!$C14:$Z14,1)&lt;=3,pred_GDP_1qa!K15,"")</f>
        <v/>
      </c>
      <c r="L15" s="12" t="str">
        <f>if(rank('Ens_1qa작업'!L14,'Ens_1qa작업'!$C14:$Z14,1)&lt;=3,pred_GDP_1qa!L15,"")</f>
        <v/>
      </c>
      <c r="M15" s="12"/>
      <c r="N15" s="12"/>
      <c r="O15" s="12">
        <f>if(rank('Ens_1qa작업'!O14,'Ens_1qa작업'!$C14:$Z14,1)&lt;=3,pred_GDP_1qa!O15,"")</f>
        <v>0.7243783782</v>
      </c>
      <c r="P15" s="12" t="str">
        <f>if(rank('Ens_1qa작업'!P14,'Ens_1qa작업'!$C14:$Z14,1)&lt;=3,pred_GDP_1qa!P15,"")</f>
        <v/>
      </c>
      <c r="Q15" s="12" t="str">
        <f>if(rank('Ens_1qa작업'!Q14,'Ens_1qa작업'!$C14:$Z14,1)&lt;=3,pred_GDP_1qa!Q15,"")</f>
        <v/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5" t="str">
        <f t="shared" si="1"/>
        <v>BEM3</v>
      </c>
      <c r="AC15" s="13">
        <f t="shared" si="2"/>
        <v>0.4088380386</v>
      </c>
    </row>
    <row r="16">
      <c r="A16" s="11">
        <v>201909.0</v>
      </c>
      <c r="B16" s="10">
        <v>0.4</v>
      </c>
      <c r="C16" s="12" t="str">
        <f>if(rank('Ens_1qa작업'!C15,'Ens_1qa작업'!$C15:$Z15,1)&lt;=3,pred_GDP_1qa!C16,"")</f>
        <v/>
      </c>
      <c r="D16" s="12">
        <f>if(rank('Ens_1qa작업'!D15,'Ens_1qa작업'!$C15:$Z15,1)&lt;=3,pred_GDP_1qa!D16,"")</f>
        <v>0.603259</v>
      </c>
      <c r="E16" s="12">
        <f>if(rank('Ens_1qa작업'!E15,'Ens_1qa작업'!$C15:$Z15,1)&lt;=3,pred_GDP_1qa!E16,"")</f>
        <v>0.598342</v>
      </c>
      <c r="F16" s="12">
        <f>if(rank('Ens_1qa작업'!F15,'Ens_1qa작업'!$C15:$Z15,1)&lt;=3,pred_GDP_1qa!F16,"")</f>
        <v>0.5794728983</v>
      </c>
      <c r="G16" s="12"/>
      <c r="H16" s="12"/>
      <c r="I16" s="12" t="str">
        <f>if(rank('Ens_1qa작업'!I15,'Ens_1qa작업'!$C15:$Z15,1)&lt;=3,pred_GDP_1qa!I16,"")</f>
        <v/>
      </c>
      <c r="J16" s="12" t="str">
        <f>if(rank('Ens_1qa작업'!J15,'Ens_1qa작업'!$C15:$Z15,1)&lt;=3,pred_GDP_1qa!J16,"")</f>
        <v/>
      </c>
      <c r="K16" s="12" t="str">
        <f>if(rank('Ens_1qa작업'!K15,'Ens_1qa작업'!$C15:$Z15,1)&lt;=3,pred_GDP_1qa!K16,"")</f>
        <v/>
      </c>
      <c r="L16" s="12" t="str">
        <f>if(rank('Ens_1qa작업'!L15,'Ens_1qa작업'!$C15:$Z15,1)&lt;=3,pred_GDP_1qa!L16,"")</f>
        <v/>
      </c>
      <c r="M16" s="12"/>
      <c r="N16" s="12"/>
      <c r="O16" s="12" t="str">
        <f>if(rank('Ens_1qa작업'!O15,'Ens_1qa작업'!$C15:$Z15,1)&lt;=3,pred_GDP_1qa!O16,"")</f>
        <v/>
      </c>
      <c r="P16" s="12" t="str">
        <f>if(rank('Ens_1qa작업'!P15,'Ens_1qa작업'!$C15:$Z15,1)&lt;=3,pred_GDP_1qa!P16,"")</f>
        <v/>
      </c>
      <c r="Q16" s="12" t="str">
        <f>if(rank('Ens_1qa작업'!Q15,'Ens_1qa작업'!$C15:$Z15,1)&lt;=3,pred_GDP_1qa!Q16,"")</f>
        <v/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5" t="str">
        <f t="shared" si="1"/>
        <v>BEM3</v>
      </c>
      <c r="AC16" s="13">
        <f t="shared" si="2"/>
        <v>0.5794728983</v>
      </c>
    </row>
    <row r="17">
      <c r="A17" s="11">
        <v>201912.0</v>
      </c>
      <c r="B17" s="10">
        <v>1.2</v>
      </c>
      <c r="C17" s="12" t="str">
        <f>if(rank('Ens_1qa작업'!C16,'Ens_1qa작업'!$C16:$Z16,1)&lt;=3,pred_GDP_1qa!C17,"")</f>
        <v/>
      </c>
      <c r="D17" s="12">
        <f>if(rank('Ens_1qa작업'!D16,'Ens_1qa작업'!$C16:$Z16,1)&lt;=3,pred_GDP_1qa!D17,"")</f>
        <v>0.677511</v>
      </c>
      <c r="E17" s="12">
        <f>if(rank('Ens_1qa작업'!E16,'Ens_1qa작업'!$C16:$Z16,1)&lt;=3,pred_GDP_1qa!E17,"")</f>
        <v>0.636049</v>
      </c>
      <c r="F17" s="12" t="str">
        <f>if(rank('Ens_1qa작업'!F16,'Ens_1qa작업'!$C16:$Z16,1)&lt;=3,pred_GDP_1qa!F17,"")</f>
        <v/>
      </c>
      <c r="G17" s="12"/>
      <c r="H17" s="12"/>
      <c r="I17" s="12" t="str">
        <f>if(rank('Ens_1qa작업'!I16,'Ens_1qa작업'!$C16:$Z16,1)&lt;=3,pred_GDP_1qa!I17,"")</f>
        <v/>
      </c>
      <c r="J17" s="12" t="str">
        <f>if(rank('Ens_1qa작업'!J16,'Ens_1qa작업'!$C16:$Z16,1)&lt;=3,pred_GDP_1qa!J17,"")</f>
        <v/>
      </c>
      <c r="K17" s="12" t="str">
        <f>if(rank('Ens_1qa작업'!K16,'Ens_1qa작업'!$C16:$Z16,1)&lt;=3,pred_GDP_1qa!K17,"")</f>
        <v/>
      </c>
      <c r="L17" s="12">
        <f>if(rank('Ens_1qa작업'!L16,'Ens_1qa작업'!$C16:$Z16,1)&lt;=3,pred_GDP_1qa!L17,"")</f>
        <v>0.7418191512</v>
      </c>
      <c r="M17" s="12"/>
      <c r="N17" s="12"/>
      <c r="O17" s="12" t="str">
        <f>if(rank('Ens_1qa작업'!O16,'Ens_1qa작업'!$C16:$Z16,1)&lt;=3,pred_GDP_1qa!O17,"")</f>
        <v/>
      </c>
      <c r="P17" s="12" t="str">
        <f>if(rank('Ens_1qa작업'!P16,'Ens_1qa작업'!$C16:$Z16,1)&lt;=3,pred_GDP_1qa!P17,"")</f>
        <v/>
      </c>
      <c r="Q17" s="12" t="str">
        <f>if(rank('Ens_1qa작업'!Q16,'Ens_1qa작업'!$C16:$Z16,1)&lt;=3,pred_GDP_1qa!Q17,"")</f>
        <v/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5" t="str">
        <f t="shared" si="1"/>
        <v>BEM2</v>
      </c>
      <c r="AC17" s="13">
        <f t="shared" si="2"/>
        <v>0.636049</v>
      </c>
    </row>
    <row r="18">
      <c r="A18" s="11">
        <v>202003.0</v>
      </c>
      <c r="B18" s="10">
        <v>-1.3</v>
      </c>
      <c r="C18" s="12" t="str">
        <f>if(rank('Ens_1qa작업'!C17,'Ens_1qa작업'!$C17:$Z17,1)&lt;=3,pred_GDP_1qa!C18,"")</f>
        <v/>
      </c>
      <c r="D18" s="12">
        <f>if(rank('Ens_1qa작업'!D17,'Ens_1qa작업'!$C17:$Z17,1)&lt;=3,pred_GDP_1qa!D18,"")</f>
        <v>0.549058</v>
      </c>
      <c r="E18" s="12" t="str">
        <f>if(rank('Ens_1qa작업'!E17,'Ens_1qa작업'!$C17:$Z17,1)&lt;=3,pred_GDP_1qa!E18,"")</f>
        <v/>
      </c>
      <c r="F18" s="12" t="str">
        <f>if(rank('Ens_1qa작업'!F17,'Ens_1qa작업'!$C17:$Z17,1)&lt;=3,pred_GDP_1qa!F18,"")</f>
        <v/>
      </c>
      <c r="G18" s="12"/>
      <c r="H18" s="12"/>
      <c r="I18" s="12">
        <f>if(rank('Ens_1qa작업'!I17,'Ens_1qa작업'!$C17:$Z17,1)&lt;=3,pred_GDP_1qa!I18,"")</f>
        <v>0.736966171</v>
      </c>
      <c r="J18" s="12">
        <f>if(rank('Ens_1qa작업'!J17,'Ens_1qa작업'!$C17:$Z17,1)&lt;=3,pred_GDP_1qa!J18,"")</f>
        <v>0.9631466946</v>
      </c>
      <c r="K18" s="12" t="str">
        <f>if(rank('Ens_1qa작업'!K17,'Ens_1qa작업'!$C17:$Z17,1)&lt;=3,pred_GDP_1qa!K18,"")</f>
        <v/>
      </c>
      <c r="L18" s="12" t="str">
        <f>if(rank('Ens_1qa작업'!L17,'Ens_1qa작업'!$C17:$Z17,1)&lt;=3,pred_GDP_1qa!L18,"")</f>
        <v/>
      </c>
      <c r="M18" s="12"/>
      <c r="N18" s="12"/>
      <c r="O18" s="12" t="str">
        <f>if(rank('Ens_1qa작업'!O17,'Ens_1qa작업'!$C17:$Z17,1)&lt;=3,pred_GDP_1qa!O18,"")</f>
        <v/>
      </c>
      <c r="P18" s="12" t="str">
        <f>if(rank('Ens_1qa작업'!P17,'Ens_1qa작업'!$C17:$Z17,1)&lt;=3,pred_GDP_1qa!P18,"")</f>
        <v/>
      </c>
      <c r="Q18" s="12" t="str">
        <f>if(rank('Ens_1qa작업'!Q17,'Ens_1qa작업'!$C17:$Z17,1)&lt;=3,pred_GDP_1qa!Q18,"")</f>
        <v/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5" t="str">
        <f t="shared" si="1"/>
        <v>BEM1</v>
      </c>
      <c r="AC18" s="13">
        <f t="shared" si="2"/>
        <v>0.549058</v>
      </c>
    </row>
    <row r="19">
      <c r="A19" s="11">
        <v>202006.0</v>
      </c>
      <c r="B19" s="10">
        <v>-3.0</v>
      </c>
      <c r="C19" s="12" t="str">
        <f>if(rank('Ens_1qa작업'!C18,'Ens_1qa작업'!$C18:$Z18,1)&lt;=3,pred_GDP_1qa!C19,"")</f>
        <v/>
      </c>
      <c r="D19" s="12" t="str">
        <f>if(rank('Ens_1qa작업'!D18,'Ens_1qa작업'!$C18:$Z18,1)&lt;=3,pred_GDP_1qa!D19,"")</f>
        <v/>
      </c>
      <c r="E19" s="12" t="str">
        <f>if(rank('Ens_1qa작업'!E18,'Ens_1qa작업'!$C18:$Z18,1)&lt;=3,pred_GDP_1qa!E19,"")</f>
        <v/>
      </c>
      <c r="F19" s="12" t="str">
        <f>if(rank('Ens_1qa작업'!F18,'Ens_1qa작업'!$C18:$Z18,1)&lt;=3,pred_GDP_1qa!F19,"")</f>
        <v/>
      </c>
      <c r="G19" s="12"/>
      <c r="H19" s="12"/>
      <c r="I19" s="12">
        <f>if(rank('Ens_1qa작업'!I18,'Ens_1qa작업'!$C18:$Z18,1)&lt;=3,pred_GDP_1qa!I19,"")</f>
        <v>-1.312515913</v>
      </c>
      <c r="J19" s="12">
        <f>if(rank('Ens_1qa작업'!J18,'Ens_1qa작업'!$C18:$Z18,1)&lt;=3,pred_GDP_1qa!J19,"")</f>
        <v>-0.3154518791</v>
      </c>
      <c r="K19" s="12" t="str">
        <f>if(rank('Ens_1qa작업'!K18,'Ens_1qa작업'!$C18:$Z18,1)&lt;=3,pred_GDP_1qa!K19,"")</f>
        <v/>
      </c>
      <c r="L19" s="12">
        <f>if(rank('Ens_1qa작업'!L18,'Ens_1qa작업'!$C18:$Z18,1)&lt;=3,pred_GDP_1qa!L19,"")</f>
        <v>-1.153209282</v>
      </c>
      <c r="M19" s="12"/>
      <c r="N19" s="12"/>
      <c r="O19" s="12" t="str">
        <f>if(rank('Ens_1qa작업'!O18,'Ens_1qa작업'!$C18:$Z18,1)&lt;=3,pred_GDP_1qa!O19,"")</f>
        <v/>
      </c>
      <c r="P19" s="12" t="str">
        <f>if(rank('Ens_1qa작업'!P18,'Ens_1qa작업'!$C18:$Z18,1)&lt;=3,pred_GDP_1qa!P19,"")</f>
        <v/>
      </c>
      <c r="Q19" s="12" t="str">
        <f>if(rank('Ens_1qa작업'!Q18,'Ens_1qa작업'!$C18:$Z18,1)&lt;=3,pred_GDP_1qa!Q19,"")</f>
        <v/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5" t="str">
        <f t="shared" si="1"/>
        <v>TFM</v>
      </c>
      <c r="AC19" s="13">
        <f t="shared" si="2"/>
        <v>-1.312515913</v>
      </c>
    </row>
    <row r="20">
      <c r="A20" s="11">
        <v>202009.0</v>
      </c>
      <c r="B20" s="10">
        <v>2.3</v>
      </c>
      <c r="C20" s="12" t="str">
        <f>if(rank('Ens_1qa작업'!C19,'Ens_1qa작업'!$C19:$Z19,1)&lt;=3,pred_GDP_1qa!C20,"")</f>
        <v/>
      </c>
      <c r="D20" s="12" t="str">
        <f>if(rank('Ens_1qa작업'!D19,'Ens_1qa작업'!$C19:$Z19,1)&lt;=3,pred_GDP_1qa!D20,"")</f>
        <v/>
      </c>
      <c r="E20" s="12" t="str">
        <f>if(rank('Ens_1qa작업'!E19,'Ens_1qa작업'!$C19:$Z19,1)&lt;=3,pred_GDP_1qa!E20,"")</f>
        <v/>
      </c>
      <c r="F20" s="12" t="str">
        <f>if(rank('Ens_1qa작업'!F19,'Ens_1qa작업'!$C19:$Z19,1)&lt;=3,pred_GDP_1qa!F20,"")</f>
        <v/>
      </c>
      <c r="G20" s="12"/>
      <c r="H20" s="12"/>
      <c r="I20" s="12">
        <f>if(rank('Ens_1qa작업'!I19,'Ens_1qa작업'!$C19:$Z19,1)&lt;=3,pred_GDP_1qa!I20,"")</f>
        <v>1.268155882</v>
      </c>
      <c r="J20" s="12">
        <f>if(rank('Ens_1qa작업'!J19,'Ens_1qa작업'!$C19:$Z19,1)&lt;=3,pred_GDP_1qa!J20,"")</f>
        <v>1.979820997</v>
      </c>
      <c r="K20" s="12" t="str">
        <f>if(rank('Ens_1qa작업'!K19,'Ens_1qa작업'!$C19:$Z19,1)&lt;=3,pred_GDP_1qa!K20,"")</f>
        <v/>
      </c>
      <c r="L20" s="12">
        <f>if(rank('Ens_1qa작업'!L19,'Ens_1qa작업'!$C19:$Z19,1)&lt;=3,pred_GDP_1qa!L20,"")</f>
        <v>1.455949004</v>
      </c>
      <c r="M20" s="12"/>
      <c r="N20" s="12"/>
      <c r="O20" s="12" t="str">
        <f>if(rank('Ens_1qa작업'!O19,'Ens_1qa작업'!$C19:$Z19,1)&lt;=3,pred_GDP_1qa!O20,"")</f>
        <v/>
      </c>
      <c r="P20" s="12" t="str">
        <f>if(rank('Ens_1qa작업'!P19,'Ens_1qa작업'!$C19:$Z19,1)&lt;=3,pred_GDP_1qa!P20,"")</f>
        <v/>
      </c>
      <c r="Q20" s="12" t="str">
        <f>if(rank('Ens_1qa작업'!Q19,'Ens_1qa작업'!$C19:$Z19,1)&lt;=3,pred_GDP_1qa!Q20,"")</f>
        <v/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5" t="str">
        <f t="shared" si="1"/>
        <v>TFM</v>
      </c>
      <c r="AC20" s="13">
        <f t="shared" si="2"/>
        <v>1.268155882</v>
      </c>
    </row>
    <row r="21">
      <c r="A21" s="11">
        <v>202012.0</v>
      </c>
      <c r="B21" s="10">
        <v>1.3</v>
      </c>
      <c r="C21" s="12" t="str">
        <f>if(rank('Ens_1qa작업'!C20,'Ens_1qa작업'!$C20:$Z20,1)&lt;=3,pred_GDP_1qa!C21,"")</f>
        <v/>
      </c>
      <c r="D21" s="12" t="str">
        <f>if(rank('Ens_1qa작업'!D20,'Ens_1qa작업'!$C20:$Z20,1)&lt;=3,pred_GDP_1qa!D21,"")</f>
        <v/>
      </c>
      <c r="E21" s="12" t="str">
        <f>if(rank('Ens_1qa작업'!E20,'Ens_1qa작업'!$C20:$Z20,1)&lt;=3,pred_GDP_1qa!E21,"")</f>
        <v/>
      </c>
      <c r="F21" s="12" t="str">
        <f>if(rank('Ens_1qa작업'!F20,'Ens_1qa작업'!$C20:$Z20,1)&lt;=3,pred_GDP_1qa!F21,"")</f>
        <v/>
      </c>
      <c r="G21" s="12"/>
      <c r="H21" s="12"/>
      <c r="I21" s="12">
        <f>if(rank('Ens_1qa작업'!I20,'Ens_1qa작업'!$C20:$Z20,1)&lt;=3,pred_GDP_1qa!I21,"")</f>
        <v>1.463567734</v>
      </c>
      <c r="J21" s="12" t="str">
        <f>if(rank('Ens_1qa작업'!J20,'Ens_1qa작업'!$C20:$Z20,1)&lt;=3,pred_GDP_1qa!J21,"")</f>
        <v/>
      </c>
      <c r="K21" s="12" t="str">
        <f>if(rank('Ens_1qa작업'!K20,'Ens_1qa작업'!$C20:$Z20,1)&lt;=3,pred_GDP_1qa!K21,"")</f>
        <v/>
      </c>
      <c r="L21" s="12">
        <f>if(rank('Ens_1qa작업'!L20,'Ens_1qa작업'!$C20:$Z20,1)&lt;=3,pred_GDP_1qa!L21,"")</f>
        <v>1.131580883</v>
      </c>
      <c r="M21" s="12"/>
      <c r="N21" s="12"/>
      <c r="O21" s="12" t="str">
        <f>if(rank('Ens_1qa작업'!O20,'Ens_1qa작업'!$C20:$Z20,1)&lt;=3,pred_GDP_1qa!O21,"")</f>
        <v/>
      </c>
      <c r="P21" s="12">
        <f>if(rank('Ens_1qa작업'!P20,'Ens_1qa작업'!$C20:$Z20,1)&lt;=3,pred_GDP_1qa!P21,"")</f>
        <v>1.076251626</v>
      </c>
      <c r="Q21" s="12" t="str">
        <f>if(rank('Ens_1qa작업'!Q20,'Ens_1qa작업'!$C20:$Z20,1)&lt;=3,pred_GDP_1qa!Q21,"")</f>
        <v/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5" t="str">
        <f t="shared" si="1"/>
        <v>S-XGB</v>
      </c>
      <c r="AC21" s="13">
        <f t="shared" si="2"/>
        <v>1.076251626</v>
      </c>
    </row>
    <row r="22">
      <c r="A22" s="11">
        <v>202103.0</v>
      </c>
      <c r="B22" s="10">
        <v>1.8</v>
      </c>
      <c r="C22" s="12" t="str">
        <f>if(rank('Ens_1qa작업'!C21,'Ens_1qa작업'!$C21:$Z21,1)&lt;=3,pred_GDP_1qa!C22,"")</f>
        <v/>
      </c>
      <c r="D22" s="12" t="str">
        <f>if(rank('Ens_1qa작업'!D21,'Ens_1qa작업'!$C21:$Z21,1)&lt;=3,pred_GDP_1qa!D22,"")</f>
        <v/>
      </c>
      <c r="E22" s="12" t="str">
        <f>if(rank('Ens_1qa작업'!E21,'Ens_1qa작업'!$C21:$Z21,1)&lt;=3,pred_GDP_1qa!E22,"")</f>
        <v/>
      </c>
      <c r="F22" s="12" t="str">
        <f>if(rank('Ens_1qa작업'!F21,'Ens_1qa작업'!$C21:$Z21,1)&lt;=3,pred_GDP_1qa!F22,"")</f>
        <v/>
      </c>
      <c r="G22" s="12"/>
      <c r="H22" s="12"/>
      <c r="I22" s="12">
        <f>if(rank('Ens_1qa작업'!I21,'Ens_1qa작업'!$C21:$Z21,1)&lt;=3,pred_GDP_1qa!I22,"")</f>
        <v>1.480901998</v>
      </c>
      <c r="J22" s="12" t="str">
        <f>if(rank('Ens_1qa작업'!J21,'Ens_1qa작업'!$C21:$Z21,1)&lt;=3,pred_GDP_1qa!J22,"")</f>
        <v/>
      </c>
      <c r="K22" s="12" t="str">
        <f>if(rank('Ens_1qa작업'!K21,'Ens_1qa작업'!$C21:$Z21,1)&lt;=3,pred_GDP_1qa!K22,"")</f>
        <v/>
      </c>
      <c r="L22" s="12">
        <f>if(rank('Ens_1qa작업'!L21,'Ens_1qa작업'!$C21:$Z21,1)&lt;=3,pred_GDP_1qa!L22,"")</f>
        <v>0.6095356548</v>
      </c>
      <c r="M22" s="12"/>
      <c r="N22" s="12"/>
      <c r="O22" s="12" t="str">
        <f>if(rank('Ens_1qa작업'!O21,'Ens_1qa작업'!$C21:$Z21,1)&lt;=3,pred_GDP_1qa!O22,"")</f>
        <v/>
      </c>
      <c r="P22" s="12">
        <f>if(rank('Ens_1qa작업'!P21,'Ens_1qa작업'!$C21:$Z21,1)&lt;=3,pred_GDP_1qa!P22,"")</f>
        <v>0.8842695355</v>
      </c>
      <c r="Q22" s="12" t="str">
        <f>if(rank('Ens_1qa작업'!Q21,'Ens_1qa작업'!$C21:$Z21,1)&lt;=3,pred_GDP_1qa!Q22,"")</f>
        <v/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5" t="str">
        <f t="shared" si="1"/>
        <v>SVR-KNN</v>
      </c>
      <c r="AC22" s="13">
        <f t="shared" si="2"/>
        <v>0.6095356548</v>
      </c>
    </row>
    <row r="23">
      <c r="A23" s="11">
        <v>202106.0</v>
      </c>
      <c r="B23" s="10">
        <v>0.9</v>
      </c>
      <c r="C23" s="12" t="str">
        <f>if(rank('Ens_1qa작업'!C22,'Ens_1qa작업'!$C22:$Z22,1)&lt;=3,pred_GDP_1qa!C23,"")</f>
        <v/>
      </c>
      <c r="D23" s="12" t="str">
        <f>if(rank('Ens_1qa작업'!D22,'Ens_1qa작업'!$C22:$Z22,1)&lt;=3,pred_GDP_1qa!D23,"")</f>
        <v/>
      </c>
      <c r="E23" s="12" t="str">
        <f>if(rank('Ens_1qa작업'!E22,'Ens_1qa작업'!$C22:$Z22,1)&lt;=3,pred_GDP_1qa!E23,"")</f>
        <v/>
      </c>
      <c r="F23" s="12" t="str">
        <f>if(rank('Ens_1qa작업'!F22,'Ens_1qa작업'!$C22:$Z22,1)&lt;=3,pred_GDP_1qa!F23,"")</f>
        <v/>
      </c>
      <c r="G23" s="12"/>
      <c r="H23" s="12"/>
      <c r="I23" s="12">
        <f>if(rank('Ens_1qa작업'!I22,'Ens_1qa작업'!$C22:$Z22,1)&lt;=3,pred_GDP_1qa!I23,"")</f>
        <v>1.539498494</v>
      </c>
      <c r="J23" s="12" t="str">
        <f>if(rank('Ens_1qa작업'!J22,'Ens_1qa작업'!$C22:$Z22,1)&lt;=3,pred_GDP_1qa!J23,"")</f>
        <v/>
      </c>
      <c r="K23" s="12" t="str">
        <f>if(rank('Ens_1qa작업'!K22,'Ens_1qa작업'!$C22:$Z22,1)&lt;=3,pred_GDP_1qa!K23,"")</f>
        <v/>
      </c>
      <c r="L23" s="12">
        <f>if(rank('Ens_1qa작업'!L22,'Ens_1qa작업'!$C22:$Z22,1)&lt;=3,pred_GDP_1qa!L23,"")</f>
        <v>-0.3058992135</v>
      </c>
      <c r="M23" s="12"/>
      <c r="N23" s="12"/>
      <c r="O23" s="12" t="str">
        <f>if(rank('Ens_1qa작업'!O22,'Ens_1qa작업'!$C22:$Z22,1)&lt;=3,pred_GDP_1qa!O23,"")</f>
        <v/>
      </c>
      <c r="P23" s="12">
        <f>if(rank('Ens_1qa작업'!P22,'Ens_1qa작업'!$C22:$Z22,1)&lt;=3,pred_GDP_1qa!P23,"")</f>
        <v>1.279181361</v>
      </c>
      <c r="Q23" s="12" t="str">
        <f>if(rank('Ens_1qa작업'!Q22,'Ens_1qa작업'!$C22:$Z22,1)&lt;=3,pred_GDP_1qa!Q23,"")</f>
        <v/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5" t="str">
        <f t="shared" si="1"/>
        <v>SVR-KNN</v>
      </c>
      <c r="AC23" s="13">
        <f t="shared" si="2"/>
        <v>-0.3058992135</v>
      </c>
    </row>
    <row r="24">
      <c r="A24" s="11">
        <v>202109.0</v>
      </c>
      <c r="B24" s="10">
        <v>0.1</v>
      </c>
      <c r="C24" s="12" t="str">
        <f>if(rank('Ens_1qa작업'!C23,'Ens_1qa작업'!$C23:$Z23,1)&lt;=3,pred_GDP_1qa!C24,"")</f>
        <v/>
      </c>
      <c r="D24" s="12" t="str">
        <f>if(rank('Ens_1qa작업'!D23,'Ens_1qa작업'!$C23:$Z23,1)&lt;=3,pred_GDP_1qa!D24,"")</f>
        <v/>
      </c>
      <c r="E24" s="12" t="str">
        <f>if(rank('Ens_1qa작업'!E23,'Ens_1qa작업'!$C23:$Z23,1)&lt;=3,pred_GDP_1qa!E24,"")</f>
        <v/>
      </c>
      <c r="F24" s="12" t="str">
        <f>if(rank('Ens_1qa작업'!F23,'Ens_1qa작업'!$C23:$Z23,1)&lt;=3,pred_GDP_1qa!F24,"")</f>
        <v/>
      </c>
      <c r="G24" s="12"/>
      <c r="H24" s="12"/>
      <c r="I24" s="12">
        <f>if(rank('Ens_1qa작업'!I23,'Ens_1qa작업'!$C23:$Z23,1)&lt;=3,pred_GDP_1qa!I24,"")</f>
        <v>1.331516466</v>
      </c>
      <c r="J24" s="12" t="str">
        <f>if(rank('Ens_1qa작업'!J23,'Ens_1qa작업'!$C23:$Z23,1)&lt;=3,pred_GDP_1qa!J24,"")</f>
        <v/>
      </c>
      <c r="K24" s="12" t="str">
        <f>if(rank('Ens_1qa작업'!K23,'Ens_1qa작업'!$C23:$Z23,1)&lt;=3,pred_GDP_1qa!K24,"")</f>
        <v/>
      </c>
      <c r="L24" s="12">
        <f>if(rank('Ens_1qa작업'!L23,'Ens_1qa작업'!$C23:$Z23,1)&lt;=3,pred_GDP_1qa!L24,"")</f>
        <v>0.1495340178</v>
      </c>
      <c r="M24" s="12"/>
      <c r="N24" s="12"/>
      <c r="O24" s="12" t="str">
        <f>if(rank('Ens_1qa작업'!O23,'Ens_1qa작업'!$C23:$Z23,1)&lt;=3,pred_GDP_1qa!O24,"")</f>
        <v/>
      </c>
      <c r="P24" s="12">
        <f>if(rank('Ens_1qa작업'!P23,'Ens_1qa작업'!$C23:$Z23,1)&lt;=3,pred_GDP_1qa!P24,"")</f>
        <v>0.8240099549</v>
      </c>
      <c r="Q24" s="12" t="str">
        <f>if(rank('Ens_1qa작업'!Q23,'Ens_1qa작업'!$C23:$Z23,1)&lt;=3,pred_GDP_1qa!Q24,"")</f>
        <v/>
      </c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5" t="str">
        <f t="shared" si="1"/>
        <v>SVR-KNN</v>
      </c>
      <c r="AC24" s="13">
        <f t="shared" si="2"/>
        <v>0.1495340178</v>
      </c>
    </row>
    <row r="25">
      <c r="A25" s="11">
        <v>202112.0</v>
      </c>
      <c r="B25" s="10">
        <v>1.4</v>
      </c>
      <c r="C25" s="12" t="str">
        <f>if(rank('Ens_1qa작업'!C24,'Ens_1qa작업'!$C24:$Z24,1)&lt;=3,pred_GDP_1qa!C25,"")</f>
        <v/>
      </c>
      <c r="D25" s="12" t="str">
        <f>if(rank('Ens_1qa작업'!D24,'Ens_1qa작업'!$C24:$Z24,1)&lt;=3,pred_GDP_1qa!D25,"")</f>
        <v/>
      </c>
      <c r="E25" s="12" t="str">
        <f>if(rank('Ens_1qa작업'!E24,'Ens_1qa작업'!$C24:$Z24,1)&lt;=3,pred_GDP_1qa!E25,"")</f>
        <v/>
      </c>
      <c r="F25" s="12" t="str">
        <f>if(rank('Ens_1qa작업'!F24,'Ens_1qa작업'!$C24:$Z24,1)&lt;=3,pred_GDP_1qa!F25,"")</f>
        <v/>
      </c>
      <c r="G25" s="12"/>
      <c r="H25" s="12"/>
      <c r="I25" s="12">
        <f>if(rank('Ens_1qa작업'!I24,'Ens_1qa작업'!$C24:$Z24,1)&lt;=3,pred_GDP_1qa!I25,"")</f>
        <v>0.3189322713</v>
      </c>
      <c r="J25" s="12">
        <f>if(rank('Ens_1qa작업'!J24,'Ens_1qa작업'!$C24:$Z24,1)&lt;=3,pred_GDP_1qa!J25,"")</f>
        <v>0.5983249471</v>
      </c>
      <c r="K25" s="12" t="str">
        <f>if(rank('Ens_1qa작업'!K24,'Ens_1qa작업'!$C24:$Z24,1)&lt;=3,pred_GDP_1qa!K25,"")</f>
        <v/>
      </c>
      <c r="L25" s="12" t="str">
        <f>if(rank('Ens_1qa작업'!L24,'Ens_1qa작업'!$C24:$Z24,1)&lt;=3,pred_GDP_1qa!L25,"")</f>
        <v/>
      </c>
      <c r="M25" s="12"/>
      <c r="N25" s="12"/>
      <c r="O25" s="12" t="str">
        <f>if(rank('Ens_1qa작업'!O24,'Ens_1qa작업'!$C24:$Z24,1)&lt;=3,pred_GDP_1qa!O25,"")</f>
        <v/>
      </c>
      <c r="P25" s="12">
        <f>if(rank('Ens_1qa작업'!P24,'Ens_1qa작업'!$C24:$Z24,1)&lt;=3,pred_GDP_1qa!P25,"")</f>
        <v>0.695904851</v>
      </c>
      <c r="Q25" s="12" t="str">
        <f>if(rank('Ens_1qa작업'!Q24,'Ens_1qa작업'!$C24:$Z24,1)&lt;=3,pred_GDP_1qa!Q25,"")</f>
        <v/>
      </c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5" t="str">
        <f t="shared" si="1"/>
        <v>TFM</v>
      </c>
      <c r="AC25" s="13">
        <f t="shared" si="2"/>
        <v>0.3189322713</v>
      </c>
    </row>
    <row r="26">
      <c r="A26" s="11">
        <v>202203.0</v>
      </c>
      <c r="B26" s="10">
        <v>0.7</v>
      </c>
      <c r="C26" s="12" t="str">
        <f>if(rank('Ens_1qa작업'!C25,'Ens_1qa작업'!$C25:$Z25,1)&lt;=3,pred_GDP_1qa!C26,"")</f>
        <v/>
      </c>
      <c r="D26" s="12" t="str">
        <f>if(rank('Ens_1qa작업'!D25,'Ens_1qa작업'!$C25:$Z25,1)&lt;=3,pred_GDP_1qa!D26,"")</f>
        <v/>
      </c>
      <c r="E26" s="12" t="str">
        <f>if(rank('Ens_1qa작업'!E25,'Ens_1qa작업'!$C25:$Z25,1)&lt;=3,pred_GDP_1qa!E26,"")</f>
        <v/>
      </c>
      <c r="F26" s="12" t="str">
        <f>if(rank('Ens_1qa작업'!F25,'Ens_1qa작업'!$C25:$Z25,1)&lt;=3,pred_GDP_1qa!F26,"")</f>
        <v/>
      </c>
      <c r="G26" s="12"/>
      <c r="H26" s="12"/>
      <c r="I26" s="12" t="str">
        <f>if(rank('Ens_1qa작업'!I25,'Ens_1qa작업'!$C25:$Z25,1)&lt;=3,pred_GDP_1qa!I26,"")</f>
        <v/>
      </c>
      <c r="J26" s="12" t="str">
        <f>if(rank('Ens_1qa작업'!J25,'Ens_1qa작업'!$C25:$Z25,1)&lt;=3,pred_GDP_1qa!J26,"")</f>
        <v/>
      </c>
      <c r="K26" s="12">
        <f>if(rank('Ens_1qa작업'!K25,'Ens_1qa작업'!$C25:$Z25,1)&lt;=3,pred_GDP_1qa!K26,"")</f>
        <v>0.572933</v>
      </c>
      <c r="L26" s="12" t="str">
        <f>if(rank('Ens_1qa작업'!L25,'Ens_1qa작업'!$C25:$Z25,1)&lt;=3,pred_GDP_1qa!L26,"")</f>
        <v/>
      </c>
      <c r="M26" s="12"/>
      <c r="N26" s="12"/>
      <c r="O26" s="12" t="str">
        <f>if(rank('Ens_1qa작업'!O25,'Ens_1qa작업'!$C25:$Z25,1)&lt;=3,pred_GDP_1qa!O26,"")</f>
        <v/>
      </c>
      <c r="P26" s="12">
        <f>if(rank('Ens_1qa작업'!P25,'Ens_1qa작업'!$C25:$Z25,1)&lt;=3,pred_GDP_1qa!P26,"")</f>
        <v>0.9396571517</v>
      </c>
      <c r="Q26" s="12">
        <f>if(rank('Ens_1qa작업'!Q25,'Ens_1qa작업'!$C25:$Z25,1)&lt;=3,pred_GDP_1qa!Q26,"")</f>
        <v>0.835546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5" t="str">
        <f t="shared" si="1"/>
        <v>VAR</v>
      </c>
      <c r="AC26" s="13">
        <f t="shared" si="2"/>
        <v>0.572933</v>
      </c>
    </row>
    <row r="27">
      <c r="A27" s="11">
        <v>202206.0</v>
      </c>
      <c r="B27" s="10">
        <v>0.8</v>
      </c>
      <c r="C27" s="12" t="str">
        <f>if(rank('Ens_1qa작업'!C26,'Ens_1qa작업'!$C26:$Z26,1)&lt;=3,pred_GDP_1qa!C27,"")</f>
        <v/>
      </c>
      <c r="D27" s="12" t="str">
        <f>if(rank('Ens_1qa작업'!D26,'Ens_1qa작업'!$C26:$Z26,1)&lt;=3,pred_GDP_1qa!D27,"")</f>
        <v/>
      </c>
      <c r="E27" s="12" t="str">
        <f>if(rank('Ens_1qa작업'!E26,'Ens_1qa작업'!$C26:$Z26,1)&lt;=3,pred_GDP_1qa!E27,"")</f>
        <v/>
      </c>
      <c r="F27" s="12">
        <f>if(rank('Ens_1qa작업'!F26,'Ens_1qa작업'!$C26:$Z26,1)&lt;=3,pred_GDP_1qa!F27,"")</f>
        <v>0.6166381014</v>
      </c>
      <c r="G27" s="12"/>
      <c r="H27" s="12"/>
      <c r="I27" s="12" t="str">
        <f>if(rank('Ens_1qa작업'!I26,'Ens_1qa작업'!$C26:$Z26,1)&lt;=3,pred_GDP_1qa!I27,"")</f>
        <v/>
      </c>
      <c r="J27" s="12">
        <f>if(rank('Ens_1qa작업'!J26,'Ens_1qa작업'!$C26:$Z26,1)&lt;=3,pred_GDP_1qa!J27,"")</f>
        <v>0.8234522541</v>
      </c>
      <c r="K27" s="12" t="str">
        <f>if(rank('Ens_1qa작업'!K26,'Ens_1qa작업'!$C26:$Z26,1)&lt;=3,pred_GDP_1qa!K27,"")</f>
        <v/>
      </c>
      <c r="L27" s="12" t="str">
        <f>if(rank('Ens_1qa작업'!L26,'Ens_1qa작업'!$C26:$Z26,1)&lt;=3,pred_GDP_1qa!L27,"")</f>
        <v/>
      </c>
      <c r="M27" s="12"/>
      <c r="N27" s="12"/>
      <c r="O27" s="12" t="str">
        <f>if(rank('Ens_1qa작업'!O26,'Ens_1qa작업'!$C26:$Z26,1)&lt;=3,pred_GDP_1qa!O27,"")</f>
        <v/>
      </c>
      <c r="P27" s="12" t="str">
        <f>if(rank('Ens_1qa작업'!P26,'Ens_1qa작업'!$C26:$Z26,1)&lt;=3,pred_GDP_1qa!P27,"")</f>
        <v/>
      </c>
      <c r="Q27" s="12">
        <f>if(rank('Ens_1qa작업'!Q26,'Ens_1qa작업'!$C26:$Z26,1)&lt;=3,pred_GDP_1qa!Q27,"")</f>
        <v>0.178326</v>
      </c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5" t="str">
        <f t="shared" si="1"/>
        <v>LQR</v>
      </c>
      <c r="AC27" s="13">
        <f t="shared" si="2"/>
        <v>0.178326</v>
      </c>
    </row>
    <row r="28">
      <c r="A28" s="11">
        <v>202209.0</v>
      </c>
      <c r="B28" s="10">
        <v>0.2</v>
      </c>
      <c r="C28" s="12" t="str">
        <f>if(rank('Ens_1qa작업'!C27,'Ens_1qa작업'!$C27:$Z27,1)&lt;=3,pred_GDP_1qa!C28,"")</f>
        <v/>
      </c>
      <c r="D28" s="12">
        <f>if(rank('Ens_1qa작업'!D27,'Ens_1qa작업'!$C27:$Z27,1)&lt;=3,pred_GDP_1qa!D28,"")</f>
        <v>0.042476</v>
      </c>
      <c r="E28" s="12" t="str">
        <f>if(rank('Ens_1qa작업'!E27,'Ens_1qa작업'!$C27:$Z27,1)&lt;=3,pred_GDP_1qa!E28,"")</f>
        <v/>
      </c>
      <c r="F28" s="12" t="str">
        <f>if(rank('Ens_1qa작업'!F27,'Ens_1qa작업'!$C27:$Z27,1)&lt;=3,pred_GDP_1qa!F28,"")</f>
        <v/>
      </c>
      <c r="G28" s="12"/>
      <c r="H28" s="12"/>
      <c r="I28" s="12" t="str">
        <f>if(rank('Ens_1qa작업'!I27,'Ens_1qa작업'!$C27:$Z27,1)&lt;=3,pred_GDP_1qa!I28,"")</f>
        <v/>
      </c>
      <c r="J28" s="12">
        <f>if(rank('Ens_1qa작업'!J27,'Ens_1qa작업'!$C27:$Z27,1)&lt;=3,pred_GDP_1qa!J28,"")</f>
        <v>0.4023422134</v>
      </c>
      <c r="K28" s="12" t="str">
        <f>if(rank('Ens_1qa작업'!K27,'Ens_1qa작업'!$C27:$Z27,1)&lt;=3,pred_GDP_1qa!K28,"")</f>
        <v/>
      </c>
      <c r="L28" s="12" t="str">
        <f>if(rank('Ens_1qa작업'!L27,'Ens_1qa작업'!$C27:$Z27,1)&lt;=3,pred_GDP_1qa!L28,"")</f>
        <v/>
      </c>
      <c r="M28" s="12"/>
      <c r="N28" s="12"/>
      <c r="O28" s="12" t="str">
        <f>if(rank('Ens_1qa작업'!O27,'Ens_1qa작업'!$C27:$Z27,1)&lt;=3,pred_GDP_1qa!O28,"")</f>
        <v/>
      </c>
      <c r="P28" s="12" t="str">
        <f>if(rank('Ens_1qa작업'!P27,'Ens_1qa작업'!$C27:$Z27,1)&lt;=3,pred_GDP_1qa!P28,"")</f>
        <v/>
      </c>
      <c r="Q28" s="12">
        <f>if(rank('Ens_1qa작업'!Q27,'Ens_1qa작업'!$C27:$Z27,1)&lt;=3,pred_GDP_1qa!Q28,"")</f>
        <v>0.024278</v>
      </c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5" t="str">
        <f t="shared" si="1"/>
        <v>LQR</v>
      </c>
      <c r="AC28" s="13">
        <f t="shared" si="2"/>
        <v>0.024278</v>
      </c>
    </row>
    <row r="29">
      <c r="A29" s="11">
        <v>202212.0</v>
      </c>
      <c r="B29" s="10">
        <v>-0.3</v>
      </c>
      <c r="C29" s="12" t="str">
        <f>if(rank('Ens_1qa작업'!C28,'Ens_1qa작업'!$C28:$Z28,1)&lt;=3,pred_GDP_1qa!C29,"")</f>
        <v/>
      </c>
      <c r="D29" s="12" t="str">
        <f>if(rank('Ens_1qa작업'!D28,'Ens_1qa작업'!$C28:$Z28,1)&lt;=3,pred_GDP_1qa!D29,"")</f>
        <v/>
      </c>
      <c r="E29" s="12" t="str">
        <f>if(rank('Ens_1qa작업'!E28,'Ens_1qa작업'!$C28:$Z28,1)&lt;=3,pred_GDP_1qa!E29,"")</f>
        <v/>
      </c>
      <c r="F29" s="12" t="str">
        <f>if(rank('Ens_1qa작업'!F28,'Ens_1qa작업'!$C28:$Z28,1)&lt;=3,pred_GDP_1qa!F29,"")</f>
        <v/>
      </c>
      <c r="G29" s="12"/>
      <c r="H29" s="12"/>
      <c r="I29" s="12" t="str">
        <f>if(rank('Ens_1qa작업'!I28,'Ens_1qa작업'!$C28:$Z28,1)&lt;=3,pred_GDP_1qa!I29,"")</f>
        <v/>
      </c>
      <c r="J29" s="12">
        <f>if(rank('Ens_1qa작업'!J28,'Ens_1qa작업'!$C28:$Z28,1)&lt;=3,pred_GDP_1qa!J29,"")</f>
        <v>0.4557275231</v>
      </c>
      <c r="K29" s="12" t="str">
        <f>if(rank('Ens_1qa작업'!K28,'Ens_1qa작업'!$C28:$Z28,1)&lt;=3,pred_GDP_1qa!K29,"")</f>
        <v/>
      </c>
      <c r="L29" s="12" t="str">
        <f>if(rank('Ens_1qa작업'!L28,'Ens_1qa작업'!$C28:$Z28,1)&lt;=3,pred_GDP_1qa!L29,"")</f>
        <v/>
      </c>
      <c r="M29" s="12"/>
      <c r="N29" s="12"/>
      <c r="O29" s="12">
        <f>if(rank('Ens_1qa작업'!O28,'Ens_1qa작업'!$C28:$Z28,1)&lt;=3,pred_GDP_1qa!O29,"")</f>
        <v>0.6724416739</v>
      </c>
      <c r="P29" s="12">
        <f>if(rank('Ens_1qa작업'!P28,'Ens_1qa작업'!$C28:$Z28,1)&lt;=3,pred_GDP_1qa!P29,"")</f>
        <v>0.5282914639</v>
      </c>
      <c r="Q29" s="12" t="str">
        <f>if(rank('Ens_1qa작업'!Q28,'Ens_1qa작업'!$C28:$Z28,1)&lt;=3,pred_GDP_1qa!Q29,"")</f>
        <v/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5" t="str">
        <f t="shared" si="1"/>
        <v>T-M</v>
      </c>
      <c r="AC29" s="13">
        <f t="shared" si="2"/>
        <v>0.4557275231</v>
      </c>
    </row>
    <row r="30">
      <c r="A30" s="11">
        <v>202303.0</v>
      </c>
      <c r="B30" s="10">
        <v>0.3</v>
      </c>
      <c r="C30" s="12" t="str">
        <f>if(rank('Ens_1qa작업'!C29,'Ens_1qa작업'!$C29:$Z29,1)&lt;=3,pred_GDP_1qa!C30,"")</f>
        <v/>
      </c>
      <c r="D30" s="12" t="str">
        <f>if(rank('Ens_1qa작업'!D29,'Ens_1qa작업'!$C29:$Z29,1)&lt;=3,pred_GDP_1qa!D30,"")</f>
        <v/>
      </c>
      <c r="E30" s="12" t="str">
        <f>if(rank('Ens_1qa작업'!E29,'Ens_1qa작업'!$C29:$Z29,1)&lt;=3,pred_GDP_1qa!E30,"")</f>
        <v/>
      </c>
      <c r="F30" s="12">
        <f>if(rank('Ens_1qa작업'!F29,'Ens_1qa작업'!$C29:$Z29,1)&lt;=3,pred_GDP_1qa!F30,"")</f>
        <v>-0.284810353</v>
      </c>
      <c r="G30" s="12"/>
      <c r="H30" s="12"/>
      <c r="I30" s="12" t="str">
        <f>if(rank('Ens_1qa작업'!I29,'Ens_1qa작업'!$C29:$Z29,1)&lt;=3,pred_GDP_1qa!I30,"")</f>
        <v/>
      </c>
      <c r="J30" s="12">
        <f>if(rank('Ens_1qa작업'!J29,'Ens_1qa작업'!$C29:$Z29,1)&lt;=3,pred_GDP_1qa!J30,"")</f>
        <v>0.6326951781</v>
      </c>
      <c r="K30" s="12" t="str">
        <f>if(rank('Ens_1qa작업'!K29,'Ens_1qa작업'!$C29:$Z29,1)&lt;=3,pred_GDP_1qa!K30,"")</f>
        <v/>
      </c>
      <c r="L30" s="12" t="str">
        <f>if(rank('Ens_1qa작업'!L29,'Ens_1qa작업'!$C29:$Z29,1)&lt;=3,pred_GDP_1qa!L30,"")</f>
        <v/>
      </c>
      <c r="M30" s="12"/>
      <c r="N30" s="12"/>
      <c r="O30" s="12" t="str">
        <f>if(rank('Ens_1qa작업'!O29,'Ens_1qa작업'!$C29:$Z29,1)&lt;=3,pred_GDP_1qa!O30,"")</f>
        <v/>
      </c>
      <c r="P30" s="12">
        <f>if(rank('Ens_1qa작업'!P29,'Ens_1qa작업'!$C29:$Z29,1)&lt;=3,pred_GDP_1qa!P30,"")</f>
        <v>0.3981434405</v>
      </c>
      <c r="Q30" s="12" t="str">
        <f>if(rank('Ens_1qa작업'!Q29,'Ens_1qa작업'!$C29:$Z29,1)&lt;=3,pred_GDP_1qa!Q30,"")</f>
        <v/>
      </c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2">
      <c r="B32" s="2" t="s">
        <v>118</v>
      </c>
      <c r="C32" s="13">
        <f t="shared" ref="C32:F32" si="3">AVERAGE(C2:C30)</f>
        <v>0.819702422</v>
      </c>
      <c r="D32" s="13">
        <f t="shared" si="3"/>
        <v>0.4906294444</v>
      </c>
      <c r="E32" s="13">
        <f t="shared" si="3"/>
        <v>0.522666</v>
      </c>
      <c r="F32" s="13">
        <f t="shared" si="3"/>
        <v>0.4823147331</v>
      </c>
      <c r="G32" s="13"/>
      <c r="H32" s="13"/>
      <c r="I32" s="13">
        <f t="shared" ref="I32:L32" si="4">AVERAGE(I2:I30)</f>
        <v>0.8533778879</v>
      </c>
      <c r="J32" s="13">
        <f t="shared" si="4"/>
        <v>0.6951617591</v>
      </c>
      <c r="K32" s="13">
        <f t="shared" si="4"/>
        <v>0.572933</v>
      </c>
      <c r="L32" s="13">
        <f t="shared" si="4"/>
        <v>0.2839001242</v>
      </c>
      <c r="M32" s="13"/>
      <c r="N32" s="13"/>
      <c r="O32" s="13">
        <f t="shared" ref="O32:Q32" si="5">AVERAGE(O2:O30)</f>
        <v>0.5647616051</v>
      </c>
      <c r="P32" s="13">
        <f t="shared" si="5"/>
        <v>0.8282136731</v>
      </c>
      <c r="Q32" s="13">
        <f t="shared" si="5"/>
        <v>0.5295224286</v>
      </c>
      <c r="R32" s="13"/>
      <c r="S32" s="13"/>
      <c r="T32" s="13"/>
      <c r="U32" s="13"/>
      <c r="V32" s="13"/>
      <c r="W32" s="13"/>
      <c r="X32" s="13"/>
      <c r="Y32" s="13"/>
      <c r="Z32" s="13"/>
      <c r="AA32" s="13" t="str">
        <f>AVERAGE(AA2:AA30)</f>
        <v>#DIV/0!</v>
      </c>
      <c r="AC32" s="13">
        <f>AVERAGE(AC2:AC30)</f>
        <v>0.3403228944</v>
      </c>
    </row>
    <row r="33">
      <c r="B33" s="2" t="s">
        <v>119</v>
      </c>
      <c r="C33" s="13">
        <f t="shared" ref="C33:F33" si="6">(sumsq(C2:C30)/count(C2:C30))^(0.5)</f>
        <v>0.8446220812</v>
      </c>
      <c r="D33" s="13">
        <f t="shared" si="6"/>
        <v>0.5229484875</v>
      </c>
      <c r="E33" s="13">
        <f t="shared" si="6"/>
        <v>0.5397113765</v>
      </c>
      <c r="F33" s="13">
        <f t="shared" si="6"/>
        <v>0.5783239604</v>
      </c>
      <c r="G33" s="13"/>
      <c r="H33" s="13"/>
      <c r="I33" s="13">
        <f t="shared" ref="I33:L33" si="7">(sumsq(I2:I30)/count(I2:I30))^(0.5)</f>
        <v>1.247690228</v>
      </c>
      <c r="J33" s="13">
        <f t="shared" si="7"/>
        <v>0.898518222</v>
      </c>
      <c r="K33" s="13">
        <f t="shared" si="7"/>
        <v>0.572933</v>
      </c>
      <c r="L33" s="13">
        <f t="shared" si="7"/>
        <v>0.8584987464</v>
      </c>
      <c r="M33" s="13"/>
      <c r="N33" s="13"/>
      <c r="O33" s="13">
        <f t="shared" ref="O33:Q33" si="8">(sumsq(O2:O30)/count(O2:O30))^(0.5)</f>
        <v>0.5808442642</v>
      </c>
      <c r="P33" s="13">
        <f t="shared" si="8"/>
        <v>0.8703732482</v>
      </c>
      <c r="Q33" s="13">
        <f t="shared" si="8"/>
        <v>0.6049346449</v>
      </c>
      <c r="R33" s="13"/>
      <c r="S33" s="13"/>
      <c r="T33" s="13"/>
      <c r="U33" s="13"/>
      <c r="V33" s="13"/>
      <c r="W33" s="13"/>
      <c r="X33" s="13"/>
      <c r="Y33" s="13"/>
      <c r="Z33" s="13"/>
      <c r="AA33" s="13" t="str">
        <f>(sumsq(AA2:AA30)/count(AA2:AA30))^(0.5)</f>
        <v>#DIV/0!</v>
      </c>
      <c r="AC33" s="13">
        <f>(sumsq(AC2:AC30)/count(AC2:AC30))^(0.5)</f>
        <v>0.5997879001</v>
      </c>
    </row>
    <row r="34">
      <c r="B34" s="2" t="s">
        <v>120</v>
      </c>
      <c r="C34" s="13">
        <f t="shared" ref="C34:F34" si="9">MAX(C2:C30)</f>
        <v>1.04818163</v>
      </c>
      <c r="D34" s="13">
        <f t="shared" si="9"/>
        <v>0.677511</v>
      </c>
      <c r="E34" s="13">
        <f t="shared" si="9"/>
        <v>0.636049</v>
      </c>
      <c r="F34" s="13">
        <f t="shared" si="9"/>
        <v>0.9713311517</v>
      </c>
      <c r="G34" s="13"/>
      <c r="H34" s="13"/>
      <c r="I34" s="13">
        <f t="shared" ref="I34:L34" si="10">MAX(I2:I30)</f>
        <v>1.539498494</v>
      </c>
      <c r="J34" s="13">
        <f t="shared" si="10"/>
        <v>1.979820997</v>
      </c>
      <c r="K34" s="13">
        <f t="shared" si="10"/>
        <v>0.572933</v>
      </c>
      <c r="L34" s="13">
        <f t="shared" si="10"/>
        <v>1.455949004</v>
      </c>
      <c r="M34" s="13"/>
      <c r="N34" s="13"/>
      <c r="O34" s="13">
        <f t="shared" ref="O34:Q34" si="11">MAX(O2:O30)</f>
        <v>0.7243783782</v>
      </c>
      <c r="P34" s="13">
        <f t="shared" si="11"/>
        <v>1.279181361</v>
      </c>
      <c r="Q34" s="13">
        <f t="shared" si="11"/>
        <v>0.849378</v>
      </c>
      <c r="R34" s="13"/>
      <c r="S34" s="13"/>
      <c r="T34" s="13"/>
      <c r="U34" s="13"/>
      <c r="V34" s="13"/>
      <c r="W34" s="13"/>
      <c r="X34" s="13"/>
      <c r="Y34" s="13"/>
      <c r="Z34" s="13"/>
      <c r="AA34" s="13">
        <f>MAX(AA2:AA30)</f>
        <v>0</v>
      </c>
      <c r="AC34" s="13">
        <f>MAX(AC2:AC30)</f>
        <v>1.268155882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9"/>
      <c r="B1" s="10" t="s">
        <v>102</v>
      </c>
      <c r="C1" s="2" t="s">
        <v>121</v>
      </c>
      <c r="D1" s="2" t="s">
        <v>122</v>
      </c>
      <c r="E1" s="2" t="s">
        <v>123</v>
      </c>
      <c r="F1" s="2" t="s">
        <v>124</v>
      </c>
      <c r="H1" s="2" t="s">
        <v>76</v>
      </c>
      <c r="I1" s="2" t="s">
        <v>56</v>
      </c>
      <c r="J1" s="2" t="s">
        <v>125</v>
      </c>
      <c r="K1" s="2" t="s">
        <v>126</v>
      </c>
      <c r="L1" s="2" t="s">
        <v>127</v>
      </c>
      <c r="M1" s="2" t="s">
        <v>128</v>
      </c>
      <c r="O1" s="2" t="s">
        <v>129</v>
      </c>
      <c r="P1" s="2" t="s">
        <v>130</v>
      </c>
      <c r="Q1" s="2" t="s">
        <v>131</v>
      </c>
      <c r="R1" s="2" t="s">
        <v>132</v>
      </c>
      <c r="AA1" s="2" t="s">
        <v>76</v>
      </c>
      <c r="AB1" s="2" t="s">
        <v>136</v>
      </c>
    </row>
    <row r="2">
      <c r="A2" s="11">
        <v>201603.0</v>
      </c>
      <c r="B2" s="10">
        <v>0.3</v>
      </c>
      <c r="C2" s="12">
        <v>0.096765505327908</v>
      </c>
      <c r="D2" s="12">
        <v>0.199137</v>
      </c>
      <c r="E2" s="12">
        <v>0.09312</v>
      </c>
      <c r="F2" s="12">
        <v>0.225933</v>
      </c>
      <c r="G2" s="12"/>
      <c r="H2" s="12">
        <v>0.747097</v>
      </c>
      <c r="I2" s="12">
        <v>0.47644454369062</v>
      </c>
      <c r="J2" s="12">
        <v>0.819794793818172</v>
      </c>
      <c r="K2" s="12">
        <v>0.798164</v>
      </c>
      <c r="L2" s="12">
        <v>0.3501139947285274</v>
      </c>
      <c r="M2" s="12">
        <v>-0.28277946</v>
      </c>
      <c r="N2" s="12"/>
      <c r="O2" s="12">
        <v>0.5361807017899559</v>
      </c>
      <c r="P2" s="12">
        <v>0.5715963244438171</v>
      </c>
      <c r="Q2" s="12">
        <v>0.303693</v>
      </c>
      <c r="R2" s="12">
        <v>0.040466</v>
      </c>
      <c r="S2" s="12"/>
      <c r="AA2" s="12">
        <v>0.747097</v>
      </c>
      <c r="AB2" s="12">
        <v>-0.0455134366914248</v>
      </c>
    </row>
    <row r="3">
      <c r="A3" s="11">
        <v>201606.0</v>
      </c>
      <c r="B3" s="10">
        <v>1.2</v>
      </c>
      <c r="C3" s="12">
        <v>0.909680648130417</v>
      </c>
      <c r="D3" s="12">
        <v>0.892079</v>
      </c>
      <c r="E3" s="12">
        <v>0.84811</v>
      </c>
      <c r="F3" s="12">
        <v>0.891963</v>
      </c>
      <c r="G3" s="12"/>
      <c r="H3" s="12">
        <v>0.351429</v>
      </c>
      <c r="I3" s="12">
        <v>1.0633697542365</v>
      </c>
      <c r="J3" s="12">
        <v>1.06864198341244</v>
      </c>
      <c r="K3" s="12">
        <v>1.132944</v>
      </c>
      <c r="L3" s="12">
        <v>1.051204520688795</v>
      </c>
      <c r="M3" s="12">
        <v>0.5818728</v>
      </c>
      <c r="N3" s="12"/>
      <c r="O3" s="12">
        <v>0.7726994835984828</v>
      </c>
      <c r="P3" s="12">
        <v>1.754219055175781</v>
      </c>
      <c r="Q3" s="12">
        <v>0.563998</v>
      </c>
      <c r="R3" s="12">
        <v>1.266576</v>
      </c>
      <c r="S3" s="12"/>
      <c r="AA3" s="12">
        <v>0.351429</v>
      </c>
      <c r="AB3" s="12">
        <v>1.42841503309466</v>
      </c>
    </row>
    <row r="4">
      <c r="A4" s="11">
        <v>201609.0</v>
      </c>
      <c r="B4" s="10">
        <v>0.4</v>
      </c>
      <c r="C4" s="12">
        <v>0.550105746535696</v>
      </c>
      <c r="D4" s="12">
        <v>0.641954</v>
      </c>
      <c r="E4" s="12">
        <v>0.563895</v>
      </c>
      <c r="F4" s="12">
        <v>0.684774</v>
      </c>
      <c r="G4" s="12"/>
      <c r="H4" s="12">
        <v>0.936626</v>
      </c>
      <c r="I4" s="12">
        <v>0.953511157785522</v>
      </c>
      <c r="J4" s="12">
        <v>0.726452072833043</v>
      </c>
      <c r="K4" s="12">
        <v>0.950103</v>
      </c>
      <c r="L4" s="12">
        <v>0.4540184642204004</v>
      </c>
      <c r="M4" s="12">
        <v>0.6968781</v>
      </c>
      <c r="N4" s="12"/>
      <c r="O4" s="12">
        <v>0.8639183591460619</v>
      </c>
      <c r="P4" s="12">
        <v>0.9282013177871704</v>
      </c>
      <c r="Q4" s="12">
        <v>0.592652</v>
      </c>
      <c r="R4" s="12">
        <v>0.442873</v>
      </c>
      <c r="S4" s="12"/>
      <c r="AA4" s="12">
        <v>0.936626</v>
      </c>
      <c r="AB4" s="12">
        <v>0.589592908992169</v>
      </c>
    </row>
    <row r="5">
      <c r="A5" s="11">
        <v>201612.0</v>
      </c>
      <c r="B5" s="10">
        <v>0.6</v>
      </c>
      <c r="C5" s="12">
        <v>1.13103257066387</v>
      </c>
      <c r="D5" s="12">
        <v>0.695008</v>
      </c>
      <c r="E5" s="12">
        <v>0.642045</v>
      </c>
      <c r="F5" s="12">
        <v>0.712063</v>
      </c>
      <c r="G5" s="12"/>
      <c r="H5" s="12">
        <v>0.575754</v>
      </c>
      <c r="I5" s="12">
        <v>1.0674276446148</v>
      </c>
      <c r="J5" s="12">
        <v>0.87291484641944</v>
      </c>
      <c r="K5" s="12">
        <v>1.045621</v>
      </c>
      <c r="L5" s="12">
        <v>1.284475702678549</v>
      </c>
      <c r="M5" s="12">
        <v>0.96055126</v>
      </c>
      <c r="N5" s="12"/>
      <c r="O5" s="12">
        <v>0.7346466397716926</v>
      </c>
      <c r="P5" s="12">
        <v>1.099486827850342</v>
      </c>
      <c r="Q5" s="12">
        <v>0.769816</v>
      </c>
      <c r="R5" s="12">
        <v>1.336816</v>
      </c>
      <c r="S5" s="12"/>
      <c r="AA5" s="12">
        <v>0.575754</v>
      </c>
      <c r="AB5" s="12">
        <v>1.9498761974004</v>
      </c>
    </row>
    <row r="6">
      <c r="A6" s="11">
        <v>201703.0</v>
      </c>
      <c r="B6" s="10">
        <v>1.0</v>
      </c>
      <c r="C6" s="12">
        <v>1.07711623584131</v>
      </c>
      <c r="D6" s="12">
        <v>1.119916</v>
      </c>
      <c r="E6" s="12">
        <v>1.097867</v>
      </c>
      <c r="F6" s="12">
        <v>1.054444</v>
      </c>
      <c r="G6" s="12"/>
      <c r="H6" s="12">
        <v>0.647591</v>
      </c>
      <c r="I6" s="12">
        <v>1.06702324930744</v>
      </c>
      <c r="J6" s="12">
        <v>1.04790937798586</v>
      </c>
      <c r="K6" s="12">
        <v>1.113357</v>
      </c>
      <c r="L6" s="12">
        <v>1.104790470602303</v>
      </c>
      <c r="M6" s="12">
        <v>1.2134948</v>
      </c>
      <c r="N6" s="12"/>
      <c r="O6" s="12">
        <v>0.8184331540325889</v>
      </c>
      <c r="P6" s="12">
        <v>0.8929656744003296</v>
      </c>
      <c r="Q6" s="12">
        <v>1.074216</v>
      </c>
      <c r="R6" s="12">
        <v>1.447208</v>
      </c>
      <c r="S6" s="12"/>
      <c r="AA6" s="12">
        <v>0.647591</v>
      </c>
      <c r="AB6" s="12">
        <v>1.52989367560278</v>
      </c>
    </row>
    <row r="7">
      <c r="A7" s="11">
        <v>201706.0</v>
      </c>
      <c r="B7" s="10">
        <v>0.8</v>
      </c>
      <c r="C7" s="12">
        <v>0.508360779597247</v>
      </c>
      <c r="D7" s="12">
        <v>1.108525</v>
      </c>
      <c r="E7" s="12">
        <v>1.126052</v>
      </c>
      <c r="F7" s="12">
        <v>1.015314</v>
      </c>
      <c r="G7" s="12"/>
      <c r="H7" s="12">
        <v>0.689279</v>
      </c>
      <c r="I7" s="12">
        <v>0.932465718951488</v>
      </c>
      <c r="J7" s="12">
        <v>0.944883916227629</v>
      </c>
      <c r="K7" s="12">
        <v>0.786986</v>
      </c>
      <c r="L7" s="12">
        <v>1.029632838495321</v>
      </c>
      <c r="M7" s="12">
        <v>0.79233724</v>
      </c>
      <c r="N7" s="12"/>
      <c r="O7" s="12">
        <v>0.7949831378100999</v>
      </c>
      <c r="P7" s="12">
        <v>1.191611528396606</v>
      </c>
      <c r="Q7" s="12">
        <v>0.945407</v>
      </c>
      <c r="R7" s="12">
        <v>1.284572</v>
      </c>
      <c r="S7" s="12"/>
      <c r="AA7" s="12">
        <v>0.689279</v>
      </c>
      <c r="AB7" s="12">
        <v>0.194898180221971</v>
      </c>
    </row>
    <row r="8">
      <c r="A8" s="11">
        <v>201709.0</v>
      </c>
      <c r="B8" s="10">
        <v>1.4</v>
      </c>
      <c r="C8" s="12">
        <v>0.737805320187607</v>
      </c>
      <c r="D8" s="12">
        <v>0.287701</v>
      </c>
      <c r="E8" s="12">
        <v>0.275753</v>
      </c>
      <c r="F8" s="12">
        <v>0.399241</v>
      </c>
      <c r="G8" s="12"/>
      <c r="H8" s="12">
        <v>0.969641</v>
      </c>
      <c r="I8" s="12">
        <v>0.743458949658657</v>
      </c>
      <c r="J8" s="12">
        <v>0.834732301196039</v>
      </c>
      <c r="K8" s="12">
        <v>0.960132</v>
      </c>
      <c r="L8" s="12">
        <v>0.9213298877257827</v>
      </c>
      <c r="M8" s="12">
        <v>0.6759019</v>
      </c>
      <c r="N8" s="12"/>
      <c r="O8" s="12">
        <v>0.8004513035999503</v>
      </c>
      <c r="P8" s="12">
        <v>0.8799620866775513</v>
      </c>
      <c r="Q8" s="12">
        <v>0.712376</v>
      </c>
      <c r="R8" s="12">
        <v>0.973802</v>
      </c>
      <c r="S8" s="12"/>
      <c r="AA8" s="12">
        <v>0.969641</v>
      </c>
      <c r="AB8" s="12">
        <v>1.03928816119214</v>
      </c>
    </row>
    <row r="9">
      <c r="A9" s="11">
        <v>201712.0</v>
      </c>
      <c r="B9" s="10">
        <v>-0.3</v>
      </c>
      <c r="C9" s="12">
        <v>0.710096886272999</v>
      </c>
      <c r="D9" s="12">
        <v>0.952379</v>
      </c>
      <c r="E9" s="12">
        <v>0.673771</v>
      </c>
      <c r="F9" s="12">
        <v>0.895778</v>
      </c>
      <c r="G9" s="12"/>
      <c r="H9" s="12">
        <v>1.387553</v>
      </c>
      <c r="I9" s="12">
        <v>0.872119604761599</v>
      </c>
      <c r="J9" s="12">
        <v>0.894160425082557</v>
      </c>
      <c r="K9" s="12">
        <v>0.694095</v>
      </c>
      <c r="L9" s="12">
        <v>0.5121252927341224</v>
      </c>
      <c r="M9" s="12">
        <v>0.71935225</v>
      </c>
      <c r="N9" s="12"/>
      <c r="O9" s="12">
        <v>0.7432521391802652</v>
      </c>
      <c r="P9" s="12">
        <v>0.7988020181655884</v>
      </c>
      <c r="Q9" s="12">
        <v>0.354928</v>
      </c>
      <c r="R9" s="12">
        <v>0.478414</v>
      </c>
      <c r="S9" s="12"/>
      <c r="AA9" s="12">
        <v>1.387553</v>
      </c>
      <c r="AB9" s="12">
        <v>0.739553872926992</v>
      </c>
    </row>
    <row r="10">
      <c r="A10" s="11">
        <v>201803.0</v>
      </c>
      <c r="B10" s="10">
        <v>1.3</v>
      </c>
      <c r="C10" s="12">
        <v>1.10799783855798</v>
      </c>
      <c r="D10" s="12">
        <v>0.678722</v>
      </c>
      <c r="E10" s="12">
        <v>0.808093</v>
      </c>
      <c r="F10" s="12">
        <v>0.709687</v>
      </c>
      <c r="G10" s="12"/>
      <c r="H10" s="12">
        <v>0.753485</v>
      </c>
      <c r="I10" s="12">
        <v>0.977526401030947</v>
      </c>
      <c r="J10" s="12">
        <v>1.0054379576792</v>
      </c>
      <c r="K10" s="12">
        <v>0.937068</v>
      </c>
      <c r="L10" s="12">
        <v>1.214090164516207</v>
      </c>
      <c r="M10" s="12">
        <v>0.80441034</v>
      </c>
      <c r="N10" s="12"/>
      <c r="O10" s="12">
        <v>1.111777283417955</v>
      </c>
      <c r="P10" s="12">
        <v>0.7121982574462891</v>
      </c>
      <c r="Q10" s="12">
        <v>0.744322</v>
      </c>
      <c r="R10" s="12">
        <v>1.71661</v>
      </c>
      <c r="S10" s="12"/>
      <c r="AA10" s="12">
        <v>0.753485</v>
      </c>
      <c r="AB10" s="12">
        <v>0.69565869061002</v>
      </c>
    </row>
    <row r="11">
      <c r="A11" s="11">
        <v>201806.0</v>
      </c>
      <c r="B11" s="10">
        <v>0.7</v>
      </c>
      <c r="C11" s="12">
        <v>0.959595843543944</v>
      </c>
      <c r="D11" s="12">
        <v>0.711343</v>
      </c>
      <c r="E11" s="12">
        <v>0.552336</v>
      </c>
      <c r="F11" s="12">
        <v>0.701288</v>
      </c>
      <c r="G11" s="12"/>
      <c r="H11" s="12">
        <v>0.31626</v>
      </c>
      <c r="I11" s="12">
        <v>0.566791469184864</v>
      </c>
      <c r="J11" s="12">
        <v>0.54893017203459</v>
      </c>
      <c r="K11" s="12">
        <v>0.837201</v>
      </c>
      <c r="L11" s="12">
        <v>0.5772622672440093</v>
      </c>
      <c r="M11" s="12">
        <v>0.6337409</v>
      </c>
      <c r="N11" s="12"/>
      <c r="O11" s="12">
        <v>0.4999584002774509</v>
      </c>
      <c r="P11" s="12">
        <v>1.313216805458069</v>
      </c>
      <c r="Q11" s="12">
        <v>0.687899</v>
      </c>
      <c r="R11" s="12">
        <v>0.596387</v>
      </c>
      <c r="S11" s="12"/>
      <c r="AA11" s="12">
        <v>0.31626</v>
      </c>
      <c r="AB11" s="12">
        <v>1.03148937312084</v>
      </c>
    </row>
    <row r="12">
      <c r="A12" s="11">
        <v>201809.0</v>
      </c>
      <c r="B12" s="10">
        <v>0.6</v>
      </c>
      <c r="C12" s="12">
        <v>0.971097392627802</v>
      </c>
      <c r="D12" s="12">
        <v>0.523688</v>
      </c>
      <c r="E12" s="12">
        <v>0.475666</v>
      </c>
      <c r="F12" s="12">
        <v>0.571424</v>
      </c>
      <c r="G12" s="12"/>
      <c r="H12" s="12">
        <v>0.361778</v>
      </c>
      <c r="I12" s="12">
        <v>1.0800162974086</v>
      </c>
      <c r="J12" s="12">
        <v>1.04576878418998</v>
      </c>
      <c r="K12" s="12">
        <v>0.701816</v>
      </c>
      <c r="L12" s="12">
        <v>0.6042563609702256</v>
      </c>
      <c r="M12" s="12">
        <v>0.34749293</v>
      </c>
      <c r="N12" s="12"/>
      <c r="O12" s="12">
        <v>0.5807562990704946</v>
      </c>
      <c r="P12" s="12">
        <v>0.6854573488235474</v>
      </c>
      <c r="Q12" s="12">
        <v>0.679213</v>
      </c>
      <c r="R12" s="12">
        <v>0.320519</v>
      </c>
      <c r="S12" s="12"/>
      <c r="AA12" s="12">
        <v>0.361778</v>
      </c>
      <c r="AB12" s="12">
        <v>0.393365323415772</v>
      </c>
    </row>
    <row r="13">
      <c r="A13" s="11">
        <v>201812.0</v>
      </c>
      <c r="B13" s="10">
        <v>0.6</v>
      </c>
      <c r="C13" s="12">
        <v>0.265891526319186</v>
      </c>
      <c r="D13" s="12">
        <v>0.09694</v>
      </c>
      <c r="E13" s="12">
        <v>-0.02169</v>
      </c>
      <c r="F13" s="12">
        <v>0.245889</v>
      </c>
      <c r="G13" s="12"/>
      <c r="H13" s="12">
        <v>0.749574</v>
      </c>
      <c r="I13" s="12">
        <v>0.3510327405799</v>
      </c>
      <c r="J13" s="12">
        <v>0.661246054498108</v>
      </c>
      <c r="K13" s="12">
        <v>0.703083</v>
      </c>
      <c r="L13" s="12">
        <v>0.4531182784138537</v>
      </c>
      <c r="M13" s="12">
        <v>0.056084156</v>
      </c>
      <c r="N13" s="12"/>
      <c r="O13" s="12">
        <v>1.139971285346551</v>
      </c>
      <c r="P13" s="12">
        <v>0.7254835963249207</v>
      </c>
      <c r="Q13" s="12">
        <v>0.117679</v>
      </c>
      <c r="R13" s="12">
        <v>0.410747</v>
      </c>
      <c r="S13" s="12"/>
      <c r="AA13" s="12">
        <v>0.749574</v>
      </c>
      <c r="AB13" s="12">
        <v>0.249748236899808</v>
      </c>
    </row>
    <row r="14">
      <c r="A14" s="11">
        <v>201903.0</v>
      </c>
      <c r="B14" s="10">
        <v>-0.1</v>
      </c>
      <c r="C14" s="12">
        <v>0.118252665541146</v>
      </c>
      <c r="D14" s="12">
        <v>-0.07226</v>
      </c>
      <c r="E14" s="12">
        <v>-0.32045</v>
      </c>
      <c r="F14" s="12">
        <v>0.156505</v>
      </c>
      <c r="G14" s="12"/>
      <c r="H14" s="12">
        <v>0.75638</v>
      </c>
      <c r="I14" s="12">
        <v>0.512555347182457</v>
      </c>
      <c r="J14" s="12">
        <v>0.6062022175652</v>
      </c>
      <c r="K14" s="12">
        <v>0.361543</v>
      </c>
      <c r="L14" s="12">
        <v>-0.08619005098454835</v>
      </c>
      <c r="M14" s="12">
        <v>0.710923</v>
      </c>
      <c r="N14" s="12"/>
      <c r="O14" s="12">
        <v>0.6133359214500456</v>
      </c>
      <c r="P14" s="12">
        <v>0.6857364177703857</v>
      </c>
      <c r="Q14" s="12">
        <v>-0.567977</v>
      </c>
      <c r="R14" s="12">
        <v>-0.21914</v>
      </c>
      <c r="S14" s="12"/>
      <c r="AA14" s="12">
        <v>0.75638</v>
      </c>
      <c r="AB14" s="12">
        <v>0.550007462099047</v>
      </c>
    </row>
    <row r="15">
      <c r="A15" s="11">
        <v>201906.0</v>
      </c>
      <c r="B15" s="10">
        <v>1.1</v>
      </c>
      <c r="C15" s="12">
        <v>1.11156835276165</v>
      </c>
      <c r="D15" s="12">
        <v>0.854085</v>
      </c>
      <c r="E15" s="12">
        <v>0.837542</v>
      </c>
      <c r="F15" s="12">
        <v>0.803238</v>
      </c>
      <c r="G15" s="12"/>
      <c r="H15" s="12">
        <v>1.254876</v>
      </c>
      <c r="I15" s="12">
        <v>1.04001660074356</v>
      </c>
      <c r="J15" s="12">
        <v>0.99618244694705</v>
      </c>
      <c r="K15" s="12">
        <v>0.880991</v>
      </c>
      <c r="L15" s="12">
        <v>0.8729794573697625</v>
      </c>
      <c r="M15" s="12">
        <v>0.5128888</v>
      </c>
      <c r="N15" s="12"/>
      <c r="O15" s="12">
        <v>0.8647839084861698</v>
      </c>
      <c r="P15" s="12">
        <v>1.309055089950562</v>
      </c>
      <c r="Q15" s="12">
        <v>0.97299</v>
      </c>
      <c r="R15" s="12">
        <v>1.066703</v>
      </c>
      <c r="S15" s="12"/>
      <c r="AA15" s="12">
        <v>1.254876</v>
      </c>
      <c r="AB15" s="12">
        <v>0.731739442276425</v>
      </c>
    </row>
    <row r="16">
      <c r="A16" s="11">
        <v>201909.0</v>
      </c>
      <c r="B16" s="10">
        <v>0.4</v>
      </c>
      <c r="C16" s="12">
        <v>0.699878942391509</v>
      </c>
      <c r="D16" s="12">
        <v>0.44981</v>
      </c>
      <c r="E16" s="12">
        <v>0.351543</v>
      </c>
      <c r="F16" s="12">
        <v>0.511463</v>
      </c>
      <c r="G16" s="12"/>
      <c r="H16" s="12">
        <v>1.000116</v>
      </c>
      <c r="I16" s="12">
        <v>0.478874448953351</v>
      </c>
      <c r="J16" s="12">
        <v>0.664295964973509</v>
      </c>
      <c r="K16" s="12">
        <v>0.680312</v>
      </c>
      <c r="L16" s="12">
        <v>0.4701582579438082</v>
      </c>
      <c r="M16" s="12">
        <v>1.1893855</v>
      </c>
      <c r="N16" s="12"/>
      <c r="O16" s="12">
        <v>0.7044653447182213</v>
      </c>
      <c r="P16" s="12">
        <v>1.014894723892212</v>
      </c>
      <c r="Q16" s="12">
        <v>0.807791</v>
      </c>
      <c r="R16" s="12">
        <v>0.785794</v>
      </c>
      <c r="S16" s="12"/>
      <c r="AA16" s="12">
        <v>1.000116</v>
      </c>
      <c r="AB16" s="12">
        <v>1.30004132431641</v>
      </c>
    </row>
    <row r="17">
      <c r="A17" s="11">
        <v>201912.0</v>
      </c>
      <c r="B17" s="10">
        <v>1.2</v>
      </c>
      <c r="C17" s="12">
        <v>0.57590452552404</v>
      </c>
      <c r="D17" s="12">
        <v>0.620985</v>
      </c>
      <c r="E17" s="12">
        <v>0.554677</v>
      </c>
      <c r="F17" s="12">
        <v>0.623506</v>
      </c>
      <c r="G17" s="12"/>
      <c r="H17" s="12">
        <v>0.288789</v>
      </c>
      <c r="I17" s="12">
        <v>0.975528286248945</v>
      </c>
      <c r="J17" s="12">
        <v>1.12461740811634</v>
      </c>
      <c r="K17" s="12">
        <v>0.852092</v>
      </c>
      <c r="L17" s="12">
        <v>0.8978015954748386</v>
      </c>
      <c r="M17" s="12">
        <v>0.87367225</v>
      </c>
      <c r="N17" s="12"/>
      <c r="O17" s="12">
        <v>0.7022324982982354</v>
      </c>
      <c r="P17" s="12">
        <v>0.07702083140611649</v>
      </c>
      <c r="Q17" s="12">
        <v>0.365954</v>
      </c>
      <c r="R17" s="12">
        <v>0.867512</v>
      </c>
      <c r="S17" s="12"/>
      <c r="AA17" s="12">
        <v>0.288789</v>
      </c>
      <c r="AB17" s="12">
        <v>0.893087520145714</v>
      </c>
    </row>
    <row r="18">
      <c r="A18" s="11">
        <v>202003.0</v>
      </c>
      <c r="B18" s="10">
        <v>-1.3</v>
      </c>
      <c r="C18" s="12">
        <v>-0.0393887480756359</v>
      </c>
      <c r="D18" s="12">
        <v>-0.00475</v>
      </c>
      <c r="E18" s="12">
        <v>-0.14661</v>
      </c>
      <c r="F18" s="12">
        <v>0.180169</v>
      </c>
      <c r="G18" s="12"/>
      <c r="H18" s="12">
        <v>0.279367</v>
      </c>
      <c r="I18" s="12">
        <v>-0.0360161500268297</v>
      </c>
      <c r="J18" s="12">
        <v>0.624116126451483</v>
      </c>
      <c r="K18" s="12">
        <v>0.839619</v>
      </c>
      <c r="L18" s="12">
        <v>0.2318738090357293</v>
      </c>
      <c r="M18" s="12">
        <v>-0.72131866</v>
      </c>
      <c r="N18" s="12"/>
      <c r="O18" s="12">
        <v>0.05740584778957555</v>
      </c>
      <c r="P18" s="12">
        <v>0.300211101770401</v>
      </c>
      <c r="Q18" s="12">
        <v>-0.027807</v>
      </c>
      <c r="R18" s="12">
        <v>0.032603</v>
      </c>
      <c r="S18" s="12"/>
      <c r="AA18" s="12">
        <v>0.279367</v>
      </c>
      <c r="AB18" s="12">
        <v>0.654171859091907</v>
      </c>
    </row>
    <row r="19">
      <c r="A19" s="11">
        <v>202006.0</v>
      </c>
      <c r="B19" s="10">
        <v>-3.0</v>
      </c>
      <c r="C19" s="12">
        <v>-0.544982437906434</v>
      </c>
      <c r="D19" s="12">
        <v>-1.25403</v>
      </c>
      <c r="E19" s="12">
        <v>-1.16121</v>
      </c>
      <c r="F19" s="12">
        <v>-0.49189</v>
      </c>
      <c r="G19" s="12"/>
      <c r="H19" s="12">
        <v>-7.82413</v>
      </c>
      <c r="I19" s="12">
        <v>-0.880848439090303</v>
      </c>
      <c r="J19" s="12">
        <v>0.253357557036858</v>
      </c>
      <c r="K19" s="12">
        <v>-1.4533</v>
      </c>
      <c r="L19" s="12">
        <v>-0.7169095865340829</v>
      </c>
      <c r="M19" s="12">
        <v>0.39227682</v>
      </c>
      <c r="N19" s="12"/>
      <c r="O19" s="12">
        <v>-0.9848990129709796</v>
      </c>
      <c r="P19" s="12">
        <v>-3.164426326751709</v>
      </c>
      <c r="Q19" s="12">
        <v>-2.598587</v>
      </c>
      <c r="R19" s="12">
        <v>-1.444183</v>
      </c>
      <c r="S19" s="12"/>
      <c r="AA19" s="12">
        <v>-7.82413</v>
      </c>
      <c r="AB19" s="12">
        <v>-0.582962963509426</v>
      </c>
    </row>
    <row r="20">
      <c r="A20" s="11">
        <v>202009.0</v>
      </c>
      <c r="B20" s="10">
        <v>2.3</v>
      </c>
      <c r="C20" s="12">
        <v>1.60246672756077</v>
      </c>
      <c r="D20" s="12">
        <v>1.853738</v>
      </c>
      <c r="E20" s="12">
        <v>2.347293</v>
      </c>
      <c r="F20" s="12">
        <v>1.072647</v>
      </c>
      <c r="G20" s="12"/>
      <c r="H20" s="12">
        <v>4.346511</v>
      </c>
      <c r="I20" s="12">
        <v>2.42209649954335</v>
      </c>
      <c r="J20" s="12">
        <v>1.65097270109683</v>
      </c>
      <c r="K20" s="12">
        <v>1.214082</v>
      </c>
      <c r="L20" s="12">
        <v>2.223326236816746</v>
      </c>
      <c r="M20" s="12">
        <v>1.4095113</v>
      </c>
      <c r="N20" s="12"/>
      <c r="O20" s="12">
        <v>0.9394916306063783</v>
      </c>
      <c r="P20" s="12">
        <v>1.497249007225037</v>
      </c>
      <c r="Q20" s="12">
        <v>0.822904</v>
      </c>
      <c r="R20" s="12">
        <v>2.864797</v>
      </c>
      <c r="S20" s="12"/>
      <c r="AA20" s="12">
        <v>4.346511</v>
      </c>
      <c r="AB20" s="12">
        <v>2.66480978325784</v>
      </c>
    </row>
    <row r="21">
      <c r="A21" s="11">
        <v>202012.0</v>
      </c>
      <c r="B21" s="10">
        <v>1.3</v>
      </c>
      <c r="C21" s="12">
        <v>0.837722193812514</v>
      </c>
      <c r="D21" s="12">
        <v>1.517258</v>
      </c>
      <c r="E21" s="12">
        <v>1.55885</v>
      </c>
      <c r="F21" s="12">
        <v>1.489426</v>
      </c>
      <c r="G21" s="12"/>
      <c r="H21" s="12">
        <v>3.395491</v>
      </c>
      <c r="I21" s="12">
        <v>1.86171729420527</v>
      </c>
      <c r="J21" s="12">
        <v>1.27764809867339</v>
      </c>
      <c r="K21" s="12">
        <v>0.658268</v>
      </c>
      <c r="L21" s="12">
        <v>1.466029952501838</v>
      </c>
      <c r="M21" s="12">
        <v>0.26395336</v>
      </c>
      <c r="N21" s="12"/>
      <c r="O21" s="12">
        <v>0.9088890668228577</v>
      </c>
      <c r="P21" s="12">
        <v>1.255289673805237</v>
      </c>
      <c r="Q21" s="12">
        <v>1.946373</v>
      </c>
      <c r="R21" s="12">
        <v>1.520173</v>
      </c>
      <c r="S21" s="12"/>
      <c r="AA21" s="12">
        <v>3.395491</v>
      </c>
      <c r="AB21" s="12">
        <v>1.16586437969095</v>
      </c>
    </row>
    <row r="22">
      <c r="A22" s="11">
        <v>202103.0</v>
      </c>
      <c r="B22" s="10">
        <v>1.8</v>
      </c>
      <c r="C22" s="12">
        <v>0.708796485088936</v>
      </c>
      <c r="D22" s="12">
        <v>1.135054</v>
      </c>
      <c r="E22" s="12">
        <v>1.12586</v>
      </c>
      <c r="F22" s="12">
        <v>1.057184</v>
      </c>
      <c r="G22" s="12"/>
      <c r="H22" s="12">
        <v>3.354077</v>
      </c>
      <c r="I22" s="12">
        <v>1.7043653697562</v>
      </c>
      <c r="J22" s="12">
        <v>0.976373749912098</v>
      </c>
      <c r="K22" s="12">
        <v>1.226291</v>
      </c>
      <c r="L22" s="12">
        <v>1.844101889224046</v>
      </c>
      <c r="M22" s="12">
        <v>1.3949053</v>
      </c>
      <c r="N22" s="12"/>
      <c r="O22" s="12">
        <v>0.783784796073719</v>
      </c>
      <c r="P22" s="12">
        <v>1.410161137580872</v>
      </c>
      <c r="Q22" s="12">
        <v>1.820096</v>
      </c>
      <c r="R22" s="12">
        <v>1.897805</v>
      </c>
      <c r="S22" s="12"/>
      <c r="AA22" s="12">
        <v>3.354077</v>
      </c>
      <c r="AB22" s="12">
        <v>1.67882887768341</v>
      </c>
    </row>
    <row r="23">
      <c r="A23" s="11">
        <v>202106.0</v>
      </c>
      <c r="B23" s="10">
        <v>0.9</v>
      </c>
      <c r="C23" s="12">
        <v>0.796607136181979</v>
      </c>
      <c r="D23" s="12">
        <v>1.053214</v>
      </c>
      <c r="E23" s="12">
        <v>0.916154</v>
      </c>
      <c r="F23" s="12">
        <v>0.939468</v>
      </c>
      <c r="G23" s="12"/>
      <c r="H23" s="12">
        <v>1.657253</v>
      </c>
      <c r="I23" s="12">
        <v>1.97153965322016</v>
      </c>
      <c r="J23" s="12">
        <v>1.17892843737267</v>
      </c>
      <c r="K23" s="12">
        <v>1.311106</v>
      </c>
      <c r="L23" s="12">
        <v>1.068983430345735</v>
      </c>
      <c r="M23" s="12">
        <v>1.5954639</v>
      </c>
      <c r="N23" s="12"/>
      <c r="O23" s="12">
        <v>0.8204900711257506</v>
      </c>
      <c r="P23" s="12">
        <v>1.310708999633789</v>
      </c>
      <c r="Q23" s="12">
        <v>0.772235</v>
      </c>
      <c r="R23" s="12">
        <v>1.253916</v>
      </c>
      <c r="S23" s="12"/>
      <c r="AA23" s="12">
        <v>1.657253</v>
      </c>
      <c r="AB23" s="12">
        <v>0.875089109586018</v>
      </c>
    </row>
    <row r="24">
      <c r="A24" s="11">
        <v>202109.0</v>
      </c>
      <c r="B24" s="10">
        <v>0.1</v>
      </c>
      <c r="C24" s="12">
        <v>1.58321751816522</v>
      </c>
      <c r="D24" s="12">
        <v>0.572086</v>
      </c>
      <c r="E24" s="12">
        <v>0.509077</v>
      </c>
      <c r="F24" s="12">
        <v>0.591745</v>
      </c>
      <c r="G24" s="12"/>
      <c r="H24" s="12">
        <v>-0.08534</v>
      </c>
      <c r="I24" s="12">
        <v>1.13610755989835</v>
      </c>
      <c r="J24" s="12">
        <v>0.832167663612693</v>
      </c>
      <c r="K24" s="12">
        <v>0.947987</v>
      </c>
      <c r="L24" s="12">
        <v>1.044452737442104</v>
      </c>
      <c r="M24" s="12">
        <v>0.3389696</v>
      </c>
      <c r="N24" s="12"/>
      <c r="O24" s="12">
        <v>0.8600688985906004</v>
      </c>
      <c r="P24" s="12">
        <v>0.9060195088386536</v>
      </c>
      <c r="Q24" s="12">
        <v>0.581938</v>
      </c>
      <c r="R24" s="12">
        <v>1.3136</v>
      </c>
      <c r="S24" s="12"/>
      <c r="AA24" s="12">
        <v>-0.08534</v>
      </c>
      <c r="AB24" s="12">
        <v>1.11403979726431</v>
      </c>
    </row>
    <row r="25">
      <c r="A25" s="11">
        <v>202112.0</v>
      </c>
      <c r="B25" s="10">
        <v>1.4</v>
      </c>
      <c r="C25" s="12">
        <v>0.670523473673872</v>
      </c>
      <c r="D25" s="12">
        <v>1.296681</v>
      </c>
      <c r="E25" s="12">
        <v>1.352924</v>
      </c>
      <c r="F25" s="12">
        <v>1.212161</v>
      </c>
      <c r="G25" s="12"/>
      <c r="H25" s="12">
        <v>1.260339</v>
      </c>
      <c r="I25" s="12">
        <v>0.573513773976256</v>
      </c>
      <c r="J25" s="12">
        <v>0.720868015515752</v>
      </c>
      <c r="K25" s="12">
        <v>1.695731</v>
      </c>
      <c r="L25" s="12">
        <v>1.317399611871757</v>
      </c>
      <c r="M25" s="12">
        <v>0.67769426</v>
      </c>
      <c r="N25" s="12"/>
      <c r="O25" s="12">
        <v>0.7461581227621673</v>
      </c>
      <c r="P25" s="12">
        <v>0.9543006420135498</v>
      </c>
      <c r="Q25" s="12">
        <v>1.735769</v>
      </c>
      <c r="R25" s="12">
        <v>1.745013</v>
      </c>
      <c r="S25" s="12"/>
      <c r="AA25" s="12">
        <v>1.260339</v>
      </c>
      <c r="AB25" s="12">
        <v>1.92627796520724</v>
      </c>
    </row>
    <row r="26">
      <c r="A26" s="11">
        <v>202203.0</v>
      </c>
      <c r="B26" s="10">
        <v>0.7</v>
      </c>
      <c r="C26" s="12">
        <v>1.23484862610723</v>
      </c>
      <c r="D26" s="12">
        <v>0.844207</v>
      </c>
      <c r="E26" s="12">
        <v>0.836529</v>
      </c>
      <c r="F26" s="12">
        <v>0.87667</v>
      </c>
      <c r="G26" s="12"/>
      <c r="H26" s="12">
        <v>0.97516</v>
      </c>
      <c r="I26" s="12">
        <v>0.869855594816955</v>
      </c>
      <c r="J26" s="12">
        <v>0.865386756680136</v>
      </c>
      <c r="K26" s="12">
        <v>1.517371</v>
      </c>
      <c r="L26" s="12">
        <v>0.7077584820272023</v>
      </c>
      <c r="M26" s="12">
        <v>0.31368905</v>
      </c>
      <c r="N26" s="12"/>
      <c r="O26" s="12">
        <v>0.719861657381175</v>
      </c>
      <c r="P26" s="12">
        <v>0.9226475954055786</v>
      </c>
      <c r="Q26" s="12">
        <v>0.893021</v>
      </c>
      <c r="R26" s="12">
        <v>0.958533</v>
      </c>
      <c r="S26" s="12"/>
      <c r="AA26" s="12">
        <v>0.97516</v>
      </c>
      <c r="AB26" s="12">
        <v>1.07367741591147</v>
      </c>
    </row>
    <row r="27">
      <c r="A27" s="11">
        <v>202206.0</v>
      </c>
      <c r="B27" s="10">
        <v>0.8</v>
      </c>
      <c r="C27" s="12">
        <v>0.383136012791175</v>
      </c>
      <c r="D27" s="12">
        <v>0.373763</v>
      </c>
      <c r="E27" s="12">
        <v>0.39195</v>
      </c>
      <c r="F27" s="12">
        <v>0.449743</v>
      </c>
      <c r="G27" s="12"/>
      <c r="H27" s="12">
        <v>1.116168</v>
      </c>
      <c r="I27" s="12">
        <v>0.759941990429723</v>
      </c>
      <c r="J27" s="12">
        <v>0.882830359263547</v>
      </c>
      <c r="K27" s="12">
        <v>1.272369</v>
      </c>
      <c r="L27" s="12">
        <v>0.4834810597058379</v>
      </c>
      <c r="M27" s="12">
        <v>0.71954453</v>
      </c>
      <c r="N27" s="12"/>
      <c r="O27" s="12">
        <v>0.1856769105464946</v>
      </c>
      <c r="P27" s="12">
        <v>0.6347840428352356</v>
      </c>
      <c r="Q27" s="12">
        <v>0.268611</v>
      </c>
      <c r="R27" s="12">
        <v>0.569141</v>
      </c>
      <c r="S27" s="12"/>
      <c r="AA27" s="12">
        <v>1.116168</v>
      </c>
      <c r="AB27" s="12">
        <v>1.06432442542789</v>
      </c>
    </row>
    <row r="28">
      <c r="A28" s="11">
        <v>202209.0</v>
      </c>
      <c r="B28" s="10">
        <v>0.2</v>
      </c>
      <c r="C28" s="12">
        <v>-0.0351820861485255</v>
      </c>
      <c r="D28" s="12">
        <v>0.199928</v>
      </c>
      <c r="E28" s="12">
        <v>0.095254</v>
      </c>
      <c r="F28" s="12">
        <v>0.340619</v>
      </c>
      <c r="G28" s="12"/>
      <c r="H28" s="12">
        <v>1.04117</v>
      </c>
      <c r="I28" s="12">
        <v>0.289937769275357</v>
      </c>
      <c r="J28" s="12">
        <v>0.422397806308413</v>
      </c>
      <c r="K28" s="12">
        <v>0.873112</v>
      </c>
      <c r="L28" s="12">
        <v>0.6200469423216148</v>
      </c>
      <c r="M28" s="12">
        <v>0.68461347</v>
      </c>
      <c r="N28" s="12"/>
      <c r="O28" s="12">
        <v>0.102861034699738</v>
      </c>
      <c r="P28" s="12">
        <v>0.6409762501716614</v>
      </c>
      <c r="Q28" s="12">
        <v>0.588907</v>
      </c>
      <c r="R28" s="12">
        <v>0.596038</v>
      </c>
      <c r="S28" s="12"/>
      <c r="AA28" s="12">
        <v>1.04117</v>
      </c>
      <c r="AB28" s="12">
        <v>0.127648047147357</v>
      </c>
    </row>
    <row r="29">
      <c r="A29" s="11">
        <v>202212.0</v>
      </c>
      <c r="B29" s="10">
        <v>-0.3</v>
      </c>
      <c r="C29" s="12">
        <v>-0.809326583177729</v>
      </c>
      <c r="D29" s="12">
        <v>-0.78486</v>
      </c>
      <c r="E29" s="12">
        <v>-0.93253</v>
      </c>
      <c r="F29" s="12">
        <v>-0.55036</v>
      </c>
      <c r="G29" s="12"/>
      <c r="H29" s="12">
        <v>-0.03764</v>
      </c>
      <c r="I29" s="12">
        <v>0.00430738701820665</v>
      </c>
      <c r="J29" s="12">
        <v>0.458855650769433</v>
      </c>
      <c r="K29" s="12">
        <v>-0.43845</v>
      </c>
      <c r="L29" s="12">
        <v>0.04564943352870898</v>
      </c>
      <c r="M29" s="12">
        <v>-0.58131605</v>
      </c>
      <c r="N29" s="12"/>
      <c r="O29" s="12">
        <v>0.1549300603082361</v>
      </c>
      <c r="P29" s="12">
        <v>0.2817533314228058</v>
      </c>
      <c r="Q29" s="12">
        <v>-0.714974</v>
      </c>
      <c r="R29" s="12">
        <v>-0.435121</v>
      </c>
      <c r="S29" s="12"/>
      <c r="AA29" s="12">
        <v>-0.03764</v>
      </c>
      <c r="AB29" s="12">
        <v>-0.0313513499010105</v>
      </c>
    </row>
    <row r="30">
      <c r="A30" s="11">
        <v>202303.0</v>
      </c>
      <c r="B30" s="10">
        <v>0.3</v>
      </c>
      <c r="C30" s="12">
        <v>0.360300487819128</v>
      </c>
      <c r="D30" s="12">
        <v>0.32618</v>
      </c>
      <c r="E30" s="12">
        <v>0.190789</v>
      </c>
      <c r="F30" s="12">
        <v>0.426876</v>
      </c>
      <c r="G30" s="12"/>
      <c r="H30" s="12"/>
      <c r="J30" s="12">
        <v>0.4536</v>
      </c>
      <c r="K30" s="12">
        <v>0.606136</v>
      </c>
      <c r="L30" s="12">
        <v>0.4547666387746112</v>
      </c>
      <c r="M30" s="12"/>
      <c r="N30" s="12"/>
      <c r="O30" s="12">
        <v>0.5152144700291137</v>
      </c>
      <c r="P30" s="12">
        <v>0.05632436648011208</v>
      </c>
      <c r="Q30" s="13"/>
      <c r="R30" s="13"/>
      <c r="S30" s="12"/>
      <c r="AB30" s="13">
        <v>0.712594137978205</v>
      </c>
    </row>
    <row r="31">
      <c r="A31" s="11">
        <v>202306.0</v>
      </c>
      <c r="B31" s="2">
        <v>0.6</v>
      </c>
      <c r="C31" s="2">
        <v>1.6</v>
      </c>
      <c r="D31" s="12">
        <v>0.79</v>
      </c>
      <c r="E31" s="12">
        <v>0.79</v>
      </c>
      <c r="F31" s="12">
        <v>0.7</v>
      </c>
      <c r="K31" s="2">
        <v>0.88</v>
      </c>
      <c r="L31" s="12">
        <v>0.53</v>
      </c>
      <c r="O31" s="12">
        <v>0.62</v>
      </c>
      <c r="P31" s="12">
        <v>1.12</v>
      </c>
      <c r="Q31" s="2">
        <v>0.23</v>
      </c>
      <c r="R31" s="2">
        <v>0.7</v>
      </c>
    </row>
    <row r="32">
      <c r="A32" s="11">
        <v>202309.0</v>
      </c>
      <c r="B32" s="2">
        <v>0.6</v>
      </c>
      <c r="C32" s="2">
        <v>0.29</v>
      </c>
      <c r="D32" s="2">
        <v>0.29</v>
      </c>
      <c r="E32" s="2">
        <v>0.27</v>
      </c>
      <c r="F32" s="2">
        <v>0.39</v>
      </c>
      <c r="K32" s="2">
        <v>0.45</v>
      </c>
      <c r="L32" s="2">
        <v>0.45</v>
      </c>
      <c r="O32" s="2">
        <v>0.63</v>
      </c>
      <c r="P32" s="2">
        <v>0.5</v>
      </c>
      <c r="Q32" s="2">
        <v>-0.66</v>
      </c>
      <c r="R32" s="2">
        <v>0.08</v>
      </c>
    </row>
    <row r="33">
      <c r="A33" s="11">
        <v>202312.0</v>
      </c>
      <c r="B33" s="2">
        <v>0.6</v>
      </c>
      <c r="C33" s="2">
        <v>0.23</v>
      </c>
      <c r="D33" s="2">
        <v>0.84</v>
      </c>
      <c r="E33" s="2">
        <v>0.8</v>
      </c>
      <c r="F33" s="2">
        <v>0.75</v>
      </c>
      <c r="K33" s="2">
        <v>0.8</v>
      </c>
      <c r="L33" s="2">
        <v>0.97</v>
      </c>
      <c r="O33" s="2">
        <v>0.66</v>
      </c>
      <c r="P33" s="2">
        <v>1.32</v>
      </c>
      <c r="Q33" s="2">
        <v>0.43</v>
      </c>
      <c r="R33" s="2">
        <v>0.74</v>
      </c>
    </row>
    <row r="34">
      <c r="A34" s="11">
        <v>202403.0</v>
      </c>
      <c r="B34" s="2">
        <v>1.3</v>
      </c>
      <c r="C34" s="2">
        <v>0.69</v>
      </c>
      <c r="D34" s="2">
        <v>0.7</v>
      </c>
      <c r="E34" s="2">
        <v>0.7</v>
      </c>
      <c r="F34" s="2">
        <v>0.66</v>
      </c>
      <c r="K34" s="2">
        <v>0.62</v>
      </c>
      <c r="L34" s="2">
        <v>0.82</v>
      </c>
      <c r="O34" s="2">
        <v>0.71</v>
      </c>
      <c r="P34" s="2">
        <v>0.94</v>
      </c>
      <c r="Q34" s="2">
        <v>0.83</v>
      </c>
      <c r="R34" s="2">
        <v>0.95</v>
      </c>
    </row>
    <row r="35">
      <c r="C35" s="2" t="s">
        <v>137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9"/>
      <c r="B1" s="10" t="s">
        <v>102</v>
      </c>
      <c r="C1" s="2" t="s">
        <v>121</v>
      </c>
      <c r="D1" s="2" t="s">
        <v>122</v>
      </c>
      <c r="E1" s="2" t="s">
        <v>123</v>
      </c>
      <c r="F1" s="2" t="s">
        <v>124</v>
      </c>
      <c r="H1" s="2" t="s">
        <v>76</v>
      </c>
      <c r="I1" s="2" t="s">
        <v>56</v>
      </c>
      <c r="J1" s="2" t="s">
        <v>125</v>
      </c>
      <c r="K1" s="2" t="s">
        <v>126</v>
      </c>
      <c r="L1" s="2" t="s">
        <v>127</v>
      </c>
      <c r="M1" s="2" t="s">
        <v>128</v>
      </c>
      <c r="O1" s="2" t="s">
        <v>129</v>
      </c>
      <c r="P1" s="2" t="s">
        <v>130</v>
      </c>
      <c r="Q1" s="2" t="s">
        <v>131</v>
      </c>
      <c r="R1" s="2" t="s">
        <v>132</v>
      </c>
      <c r="AA1" s="2" t="s">
        <v>87</v>
      </c>
      <c r="AB1" s="2" t="s">
        <v>133</v>
      </c>
      <c r="AC1" s="2" t="s">
        <v>134</v>
      </c>
    </row>
    <row r="2">
      <c r="A2" s="11">
        <v>201603.0</v>
      </c>
      <c r="B2" s="10">
        <v>0.3</v>
      </c>
      <c r="C2" s="12">
        <f>abs(pred_GDP_now!C2-pred_GDP_now!$B2)</f>
        <v>0.2032344947</v>
      </c>
      <c r="D2" s="12">
        <f>abs(pred_GDP_now!D2-pred_GDP_now!$B2)</f>
        <v>0.100863</v>
      </c>
      <c r="E2" s="12">
        <f>abs(pred_GDP_now!E2-pred_GDP_now!$B2)</f>
        <v>0.20688</v>
      </c>
      <c r="F2" s="12">
        <f>abs(pred_GDP_now!F2-pred_GDP_now!$B2)</f>
        <v>0.074067</v>
      </c>
      <c r="G2" s="12"/>
      <c r="H2" s="12">
        <f>abs(pred_GDP_now!H2-pred_GDP_now!$B2)</f>
        <v>0.447097</v>
      </c>
      <c r="I2" s="12">
        <f>abs(pred_GDP_now!I2-pred_GDP_now!$B2)</f>
        <v>0.1764445437</v>
      </c>
      <c r="J2" s="12">
        <f>abs(pred_GDP_now!J2-pred_GDP_now!$B2)</f>
        <v>0.5197947938</v>
      </c>
      <c r="K2" s="12">
        <f>abs(pred_GDP_now!K2-pred_GDP_now!$B2)</f>
        <v>0.498164</v>
      </c>
      <c r="L2" s="12">
        <f>abs(pred_GDP_now!L2-pred_GDP_now!$B2)</f>
        <v>0.05011399473</v>
      </c>
      <c r="M2" s="12">
        <f>abs(pred_GDP_now!M2-pred_GDP_now!$B2)</f>
        <v>0.58277946</v>
      </c>
      <c r="N2" s="12"/>
      <c r="O2" s="12">
        <f>abs(pred_GDP_now!O2-pred_GDP_now!$B2)</f>
        <v>0.2361807018</v>
      </c>
      <c r="P2" s="12">
        <f>abs(pred_GDP_now!P2-pred_GDP_now!$B2)</f>
        <v>0.2715963244</v>
      </c>
      <c r="Q2" s="12">
        <f>abs(pred_GDP_now!Q2-pred_GDP_now!$B2)</f>
        <v>0.003693</v>
      </c>
      <c r="R2" s="12">
        <f>abs(pred_GDP_now!R2-pred_GDP_now!$B2)</f>
        <v>0.259534</v>
      </c>
      <c r="S2" s="12"/>
      <c r="AA2" s="12">
        <f>abs(pred_GDP_now!AA2-pred_GDP_now!$B2)</f>
        <v>0.447097</v>
      </c>
      <c r="AB2" s="15" t="str">
        <f t="shared" ref="AB2:AB29" si="1">index($C$1:$AA$1, match(min(C2:AA2),C2:AA2,0))</f>
        <v>LQR</v>
      </c>
      <c r="AC2" s="13">
        <f t="shared" ref="AC2:AC29" si="2">min(C2:AA2)</f>
        <v>0.003693</v>
      </c>
    </row>
    <row r="3">
      <c r="A3" s="11">
        <v>201606.0</v>
      </c>
      <c r="B3" s="10">
        <v>1.2</v>
      </c>
      <c r="C3" s="12">
        <f>abs(pred_GDP_now!C3-pred_GDP_now!$B3)</f>
        <v>0.2903193519</v>
      </c>
      <c r="D3" s="12">
        <f>abs(pred_GDP_now!D3-pred_GDP_now!$B3)</f>
        <v>0.307921</v>
      </c>
      <c r="E3" s="12">
        <f>abs(pred_GDP_now!E3-pred_GDP_now!$B3)</f>
        <v>0.35189</v>
      </c>
      <c r="F3" s="12">
        <f>abs(pred_GDP_now!F3-pred_GDP_now!$B3)</f>
        <v>0.308037</v>
      </c>
      <c r="G3" s="12"/>
      <c r="H3" s="12">
        <f>abs(pred_GDP_now!H3-pred_GDP_now!$B3)</f>
        <v>0.848571</v>
      </c>
      <c r="I3" s="12">
        <f>abs(pred_GDP_now!I3-pred_GDP_now!$B3)</f>
        <v>0.1366302458</v>
      </c>
      <c r="J3" s="12">
        <f>abs(pred_GDP_now!J3-pred_GDP_now!$B3)</f>
        <v>0.1313580166</v>
      </c>
      <c r="K3" s="12">
        <f>abs(pred_GDP_now!K3-pred_GDP_now!$B3)</f>
        <v>0.067056</v>
      </c>
      <c r="L3" s="12">
        <f>abs(pred_GDP_now!L3-pred_GDP_now!$B3)</f>
        <v>0.1487954793</v>
      </c>
      <c r="M3" s="12">
        <f>abs(pred_GDP_now!M3-pred_GDP_now!$B3)</f>
        <v>0.6181272</v>
      </c>
      <c r="N3" s="12"/>
      <c r="O3" s="12">
        <f>abs(pred_GDP_now!O3-pred_GDP_now!$B3)</f>
        <v>0.4273005164</v>
      </c>
      <c r="P3" s="12">
        <f>abs(pred_GDP_now!P3-pred_GDP_now!$B3)</f>
        <v>0.5542190552</v>
      </c>
      <c r="Q3" s="12">
        <f>abs(pred_GDP_now!Q3-pred_GDP_now!$B3)</f>
        <v>0.636002</v>
      </c>
      <c r="R3" s="12">
        <f>abs(pred_GDP_now!R3-pred_GDP_now!$B3)</f>
        <v>0.066576</v>
      </c>
      <c r="S3" s="12"/>
      <c r="AA3" s="12">
        <f>abs(pred_GDP_now!AA3-pred_GDP_now!$B3)</f>
        <v>0.848571</v>
      </c>
      <c r="AB3" s="15" t="str">
        <f t="shared" si="1"/>
        <v>OptimARIMA</v>
      </c>
      <c r="AC3" s="13">
        <f t="shared" si="2"/>
        <v>0.066576</v>
      </c>
    </row>
    <row r="4">
      <c r="A4" s="11">
        <v>201609.0</v>
      </c>
      <c r="B4" s="10">
        <v>0.4</v>
      </c>
      <c r="C4" s="12">
        <f>abs(pred_GDP_now!C4-pred_GDP_now!$B4)</f>
        <v>0.1501057465</v>
      </c>
      <c r="D4" s="12">
        <f>abs(pred_GDP_now!D4-pred_GDP_now!$B4)</f>
        <v>0.241954</v>
      </c>
      <c r="E4" s="12">
        <f>abs(pred_GDP_now!E4-pred_GDP_now!$B4)</f>
        <v>0.163895</v>
      </c>
      <c r="F4" s="12">
        <f>abs(pred_GDP_now!F4-pred_GDP_now!$B4)</f>
        <v>0.284774</v>
      </c>
      <c r="G4" s="12"/>
      <c r="H4" s="12">
        <f>abs(pred_GDP_now!H4-pred_GDP_now!$B4)</f>
        <v>0.536626</v>
      </c>
      <c r="I4" s="12">
        <f>abs(pred_GDP_now!I4-pred_GDP_now!$B4)</f>
        <v>0.5535111578</v>
      </c>
      <c r="J4" s="12">
        <f>abs(pred_GDP_now!J4-pred_GDP_now!$B4)</f>
        <v>0.3264520728</v>
      </c>
      <c r="K4" s="12">
        <f>abs(pred_GDP_now!K4-pred_GDP_now!$B4)</f>
        <v>0.550103</v>
      </c>
      <c r="L4" s="12">
        <f>abs(pred_GDP_now!L4-pred_GDP_now!$B4)</f>
        <v>0.05401846422</v>
      </c>
      <c r="M4" s="12">
        <f>abs(pred_GDP_now!M4-pred_GDP_now!$B4)</f>
        <v>0.2968781</v>
      </c>
      <c r="N4" s="12"/>
      <c r="O4" s="12">
        <f>abs(pred_GDP_now!O4-pred_GDP_now!$B4)</f>
        <v>0.4639183591</v>
      </c>
      <c r="P4" s="12">
        <f>abs(pred_GDP_now!P4-pred_GDP_now!$B4)</f>
        <v>0.5282013178</v>
      </c>
      <c r="Q4" s="12">
        <f>abs(pred_GDP_now!Q4-pred_GDP_now!$B4)</f>
        <v>0.192652</v>
      </c>
      <c r="R4" s="12">
        <f>abs(pred_GDP_now!R4-pred_GDP_now!$B4)</f>
        <v>0.042873</v>
      </c>
      <c r="S4" s="12"/>
      <c r="AA4" s="12">
        <f>abs(pred_GDP_now!AA4-pred_GDP_now!$B4)</f>
        <v>0.536626</v>
      </c>
      <c r="AB4" s="15" t="str">
        <f t="shared" si="1"/>
        <v>OptimARIMA</v>
      </c>
      <c r="AC4" s="13">
        <f t="shared" si="2"/>
        <v>0.042873</v>
      </c>
    </row>
    <row r="5">
      <c r="A5" s="11">
        <v>201612.0</v>
      </c>
      <c r="B5" s="10">
        <v>0.6</v>
      </c>
      <c r="C5" s="12">
        <f>abs(pred_GDP_now!C5-pred_GDP_now!$B5)</f>
        <v>0.5310325707</v>
      </c>
      <c r="D5" s="12">
        <f>abs(pred_GDP_now!D5-pred_GDP_now!$B5)</f>
        <v>0.095008</v>
      </c>
      <c r="E5" s="12">
        <f>abs(pred_GDP_now!E5-pred_GDP_now!$B5)</f>
        <v>0.042045</v>
      </c>
      <c r="F5" s="12">
        <f>abs(pred_GDP_now!F5-pred_GDP_now!$B5)</f>
        <v>0.112063</v>
      </c>
      <c r="G5" s="12"/>
      <c r="H5" s="12">
        <f>abs(pred_GDP_now!H5-pred_GDP_now!$B5)</f>
        <v>0.024246</v>
      </c>
      <c r="I5" s="12">
        <f>abs(pred_GDP_now!I5-pred_GDP_now!$B5)</f>
        <v>0.4674276446</v>
      </c>
      <c r="J5" s="12">
        <f>abs(pred_GDP_now!J5-pred_GDP_now!$B5)</f>
        <v>0.2729148464</v>
      </c>
      <c r="K5" s="12">
        <f>abs(pred_GDP_now!K5-pred_GDP_now!$B5)</f>
        <v>0.445621</v>
      </c>
      <c r="L5" s="12">
        <f>abs(pred_GDP_now!L5-pred_GDP_now!$B5)</f>
        <v>0.6844757027</v>
      </c>
      <c r="M5" s="12">
        <f>abs(pred_GDP_now!M5-pred_GDP_now!$B5)</f>
        <v>0.36055126</v>
      </c>
      <c r="N5" s="12"/>
      <c r="O5" s="12">
        <f>abs(pred_GDP_now!O5-pred_GDP_now!$B5)</f>
        <v>0.1346466398</v>
      </c>
      <c r="P5" s="12">
        <f>abs(pred_GDP_now!P5-pred_GDP_now!$B5)</f>
        <v>0.4994868279</v>
      </c>
      <c r="Q5" s="12">
        <f>abs(pred_GDP_now!Q5-pred_GDP_now!$B5)</f>
        <v>0.169816</v>
      </c>
      <c r="R5" s="12">
        <f>abs(pred_GDP_now!R5-pred_GDP_now!$B5)</f>
        <v>0.736816</v>
      </c>
      <c r="S5" s="12"/>
      <c r="AA5" s="12">
        <f>abs(pred_GDP_now!AA5-pred_GDP_now!$B5)</f>
        <v>0.024246</v>
      </c>
      <c r="AB5" s="15" t="str">
        <f t="shared" si="1"/>
        <v>LBVAR</v>
      </c>
      <c r="AC5" s="13">
        <f t="shared" si="2"/>
        <v>0.024246</v>
      </c>
    </row>
    <row r="6">
      <c r="A6" s="11">
        <v>201703.0</v>
      </c>
      <c r="B6" s="10">
        <v>1.0</v>
      </c>
      <c r="C6" s="12">
        <f>abs(pred_GDP_now!C6-pred_GDP_now!$B6)</f>
        <v>0.07711623584</v>
      </c>
      <c r="D6" s="12">
        <f>abs(pred_GDP_now!D6-pred_GDP_now!$B6)</f>
        <v>0.119916</v>
      </c>
      <c r="E6" s="12">
        <f>abs(pred_GDP_now!E6-pred_GDP_now!$B6)</f>
        <v>0.097867</v>
      </c>
      <c r="F6" s="12">
        <f>abs(pred_GDP_now!F6-pred_GDP_now!$B6)</f>
        <v>0.054444</v>
      </c>
      <c r="G6" s="12"/>
      <c r="H6" s="12">
        <f>abs(pred_GDP_now!H6-pred_GDP_now!$B6)</f>
        <v>0.352409</v>
      </c>
      <c r="I6" s="12">
        <f>abs(pred_GDP_now!I6-pred_GDP_now!$B6)</f>
        <v>0.06702324931</v>
      </c>
      <c r="J6" s="12">
        <f>abs(pred_GDP_now!J6-pred_GDP_now!$B6)</f>
        <v>0.04790937799</v>
      </c>
      <c r="K6" s="12">
        <f>abs(pred_GDP_now!K6-pred_GDP_now!$B6)</f>
        <v>0.113357</v>
      </c>
      <c r="L6" s="12">
        <f>abs(pred_GDP_now!L6-pred_GDP_now!$B6)</f>
        <v>0.1047904706</v>
      </c>
      <c r="M6" s="12">
        <f>abs(pred_GDP_now!M6-pred_GDP_now!$B6)</f>
        <v>0.2134948</v>
      </c>
      <c r="N6" s="12"/>
      <c r="O6" s="12">
        <f>abs(pred_GDP_now!O6-pred_GDP_now!$B6)</f>
        <v>0.181566846</v>
      </c>
      <c r="P6" s="12">
        <f>abs(pred_GDP_now!P6-pred_GDP_now!$B6)</f>
        <v>0.1070343256</v>
      </c>
      <c r="Q6" s="12">
        <f>abs(pred_GDP_now!Q6-pred_GDP_now!$B6)</f>
        <v>0.074216</v>
      </c>
      <c r="R6" s="12">
        <f>abs(pred_GDP_now!R6-pred_GDP_now!$B6)</f>
        <v>0.447208</v>
      </c>
      <c r="S6" s="12"/>
      <c r="AA6" s="12">
        <f>abs(pred_GDP_now!AA6-pred_GDP_now!$B6)</f>
        <v>0.352409</v>
      </c>
      <c r="AB6" s="15" t="str">
        <f t="shared" si="1"/>
        <v>T-M</v>
      </c>
      <c r="AC6" s="13">
        <f t="shared" si="2"/>
        <v>0.04790937799</v>
      </c>
    </row>
    <row r="7">
      <c r="A7" s="11">
        <v>201706.0</v>
      </c>
      <c r="B7" s="10">
        <v>0.8</v>
      </c>
      <c r="C7" s="12">
        <f>abs(pred_GDP_now!C7-pred_GDP_now!$B7)</f>
        <v>0.2916392204</v>
      </c>
      <c r="D7" s="12">
        <f>abs(pred_GDP_now!D7-pred_GDP_now!$B7)</f>
        <v>0.308525</v>
      </c>
      <c r="E7" s="12">
        <f>abs(pred_GDP_now!E7-pred_GDP_now!$B7)</f>
        <v>0.326052</v>
      </c>
      <c r="F7" s="12">
        <f>abs(pred_GDP_now!F7-pred_GDP_now!$B7)</f>
        <v>0.215314</v>
      </c>
      <c r="G7" s="12"/>
      <c r="H7" s="12">
        <f>abs(pred_GDP_now!H7-pred_GDP_now!$B7)</f>
        <v>0.110721</v>
      </c>
      <c r="I7" s="12">
        <f>abs(pred_GDP_now!I7-pred_GDP_now!$B7)</f>
        <v>0.132465719</v>
      </c>
      <c r="J7" s="12">
        <f>abs(pred_GDP_now!J7-pred_GDP_now!$B7)</f>
        <v>0.1448839162</v>
      </c>
      <c r="K7" s="12">
        <f>abs(pred_GDP_now!K7-pred_GDP_now!$B7)</f>
        <v>0.013014</v>
      </c>
      <c r="L7" s="12">
        <f>abs(pred_GDP_now!L7-pred_GDP_now!$B7)</f>
        <v>0.2296328385</v>
      </c>
      <c r="M7" s="12">
        <f>abs(pred_GDP_now!M7-pred_GDP_now!$B7)</f>
        <v>0.00766276</v>
      </c>
      <c r="N7" s="12"/>
      <c r="O7" s="12">
        <f>abs(pred_GDP_now!O7-pred_GDP_now!$B7)</f>
        <v>0.00501686219</v>
      </c>
      <c r="P7" s="12">
        <f>abs(pred_GDP_now!P7-pred_GDP_now!$B7)</f>
        <v>0.3916115284</v>
      </c>
      <c r="Q7" s="12">
        <f>abs(pred_GDP_now!Q7-pred_GDP_now!$B7)</f>
        <v>0.145407</v>
      </c>
      <c r="R7" s="12">
        <f>abs(pred_GDP_now!R7-pred_GDP_now!$B7)</f>
        <v>0.484572</v>
      </c>
      <c r="S7" s="12"/>
      <c r="AA7" s="12">
        <f>abs(pred_GDP_now!AA7-pred_GDP_now!$B7)</f>
        <v>0.110721</v>
      </c>
      <c r="AB7" s="15" t="str">
        <f t="shared" si="1"/>
        <v>RF-DVS</v>
      </c>
      <c r="AC7" s="13">
        <f t="shared" si="2"/>
        <v>0.00501686219</v>
      </c>
    </row>
    <row r="8">
      <c r="A8" s="11">
        <v>201709.0</v>
      </c>
      <c r="B8" s="10">
        <v>1.4</v>
      </c>
      <c r="C8" s="12">
        <f>abs(pred_GDP_now!C8-pred_GDP_now!$B8)</f>
        <v>0.6621946798</v>
      </c>
      <c r="D8" s="12">
        <f>abs(pred_GDP_now!D8-pred_GDP_now!$B8)</f>
        <v>1.112299</v>
      </c>
      <c r="E8" s="12">
        <f>abs(pred_GDP_now!E8-pred_GDP_now!$B8)</f>
        <v>1.124247</v>
      </c>
      <c r="F8" s="12">
        <f>abs(pred_GDP_now!F8-pred_GDP_now!$B8)</f>
        <v>1.000759</v>
      </c>
      <c r="G8" s="12"/>
      <c r="H8" s="12">
        <f>abs(pred_GDP_now!H8-pred_GDP_now!$B8)</f>
        <v>0.430359</v>
      </c>
      <c r="I8" s="12">
        <f>abs(pred_GDP_now!I8-pred_GDP_now!$B8)</f>
        <v>0.6565410503</v>
      </c>
      <c r="J8" s="12">
        <f>abs(pred_GDP_now!J8-pred_GDP_now!$B8)</f>
        <v>0.5652676988</v>
      </c>
      <c r="K8" s="12">
        <f>abs(pred_GDP_now!K8-pred_GDP_now!$B8)</f>
        <v>0.439868</v>
      </c>
      <c r="L8" s="12">
        <f>abs(pred_GDP_now!L8-pred_GDP_now!$B8)</f>
        <v>0.4786701123</v>
      </c>
      <c r="M8" s="12">
        <f>abs(pred_GDP_now!M8-pred_GDP_now!$B8)</f>
        <v>0.7240981</v>
      </c>
      <c r="N8" s="12"/>
      <c r="O8" s="12">
        <f>abs(pred_GDP_now!O8-pred_GDP_now!$B8)</f>
        <v>0.5995486964</v>
      </c>
      <c r="P8" s="12">
        <f>abs(pred_GDP_now!P8-pred_GDP_now!$B8)</f>
        <v>0.5200379133</v>
      </c>
      <c r="Q8" s="12">
        <f>abs(pred_GDP_now!Q8-pred_GDP_now!$B8)</f>
        <v>0.687624</v>
      </c>
      <c r="R8" s="12">
        <f>abs(pred_GDP_now!R8-pred_GDP_now!$B8)</f>
        <v>0.426198</v>
      </c>
      <c r="S8" s="12"/>
      <c r="AA8" s="12">
        <f>abs(pred_GDP_now!AA8-pred_GDP_now!$B8)</f>
        <v>0.430359</v>
      </c>
      <c r="AB8" s="15" t="str">
        <f t="shared" si="1"/>
        <v>OptimARIMA</v>
      </c>
      <c r="AC8" s="13">
        <f t="shared" si="2"/>
        <v>0.426198</v>
      </c>
    </row>
    <row r="9">
      <c r="A9" s="11">
        <v>201712.0</v>
      </c>
      <c r="B9" s="10">
        <v>-0.3</v>
      </c>
      <c r="C9" s="12">
        <f>abs(pred_GDP_now!C9-pred_GDP_now!$B9)</f>
        <v>1.010096886</v>
      </c>
      <c r="D9" s="12">
        <f>abs(pred_GDP_now!D9-pred_GDP_now!$B9)</f>
        <v>1.252379</v>
      </c>
      <c r="E9" s="12">
        <f>abs(pred_GDP_now!E9-pred_GDP_now!$B9)</f>
        <v>0.973771</v>
      </c>
      <c r="F9" s="12">
        <f>abs(pred_GDP_now!F9-pred_GDP_now!$B9)</f>
        <v>1.195778</v>
      </c>
      <c r="G9" s="12"/>
      <c r="H9" s="12">
        <f>abs(pred_GDP_now!H9-pred_GDP_now!$B9)</f>
        <v>1.687553</v>
      </c>
      <c r="I9" s="12">
        <f>abs(pred_GDP_now!I9-pred_GDP_now!$B9)</f>
        <v>1.172119605</v>
      </c>
      <c r="J9" s="12">
        <f>abs(pred_GDP_now!J9-pred_GDP_now!$B9)</f>
        <v>1.194160425</v>
      </c>
      <c r="K9" s="12">
        <f>abs(pred_GDP_now!K9-pred_GDP_now!$B9)</f>
        <v>0.994095</v>
      </c>
      <c r="L9" s="12">
        <f>abs(pred_GDP_now!L9-pred_GDP_now!$B9)</f>
        <v>0.8121252927</v>
      </c>
      <c r="M9" s="12">
        <f>abs(pred_GDP_now!M9-pred_GDP_now!$B9)</f>
        <v>1.01935225</v>
      </c>
      <c r="N9" s="12"/>
      <c r="O9" s="12">
        <f>abs(pred_GDP_now!O9-pred_GDP_now!$B9)</f>
        <v>1.043252139</v>
      </c>
      <c r="P9" s="12">
        <f>abs(pred_GDP_now!P9-pred_GDP_now!$B9)</f>
        <v>1.098802018</v>
      </c>
      <c r="Q9" s="12">
        <f>abs(pred_GDP_now!Q9-pred_GDP_now!$B9)</f>
        <v>0.654928</v>
      </c>
      <c r="R9" s="12">
        <f>abs(pred_GDP_now!R9-pred_GDP_now!$B9)</f>
        <v>0.778414</v>
      </c>
      <c r="S9" s="12"/>
      <c r="AA9" s="12">
        <f>abs(pred_GDP_now!AA9-pred_GDP_now!$B9)</f>
        <v>1.687553</v>
      </c>
      <c r="AB9" s="15" t="str">
        <f t="shared" si="1"/>
        <v>LQR</v>
      </c>
      <c r="AC9" s="13">
        <f t="shared" si="2"/>
        <v>0.654928</v>
      </c>
    </row>
    <row r="10">
      <c r="A10" s="11">
        <v>201803.0</v>
      </c>
      <c r="B10" s="10">
        <v>1.3</v>
      </c>
      <c r="C10" s="12">
        <f>abs(pred_GDP_now!C10-pred_GDP_now!$B10)</f>
        <v>0.1920021614</v>
      </c>
      <c r="D10" s="12">
        <f>abs(pred_GDP_now!D10-pred_GDP_now!$B10)</f>
        <v>0.621278</v>
      </c>
      <c r="E10" s="12">
        <f>abs(pred_GDP_now!E10-pred_GDP_now!$B10)</f>
        <v>0.491907</v>
      </c>
      <c r="F10" s="12">
        <f>abs(pred_GDP_now!F10-pred_GDP_now!$B10)</f>
        <v>0.590313</v>
      </c>
      <c r="G10" s="12"/>
      <c r="H10" s="12">
        <f>abs(pred_GDP_now!H10-pred_GDP_now!$B10)</f>
        <v>0.546515</v>
      </c>
      <c r="I10" s="12">
        <f>abs(pred_GDP_now!I10-pred_GDP_now!$B10)</f>
        <v>0.322473599</v>
      </c>
      <c r="J10" s="12">
        <f>abs(pred_GDP_now!J10-pred_GDP_now!$B10)</f>
        <v>0.2945620423</v>
      </c>
      <c r="K10" s="12">
        <f>abs(pred_GDP_now!K10-pred_GDP_now!$B10)</f>
        <v>0.362932</v>
      </c>
      <c r="L10" s="12">
        <f>abs(pred_GDP_now!L10-pred_GDP_now!$B10)</f>
        <v>0.08590983548</v>
      </c>
      <c r="M10" s="12">
        <f>abs(pred_GDP_now!M10-pred_GDP_now!$B10)</f>
        <v>0.49558966</v>
      </c>
      <c r="N10" s="12"/>
      <c r="O10" s="12">
        <f>abs(pred_GDP_now!O10-pred_GDP_now!$B10)</f>
        <v>0.1882227166</v>
      </c>
      <c r="P10" s="12">
        <f>abs(pred_GDP_now!P10-pred_GDP_now!$B10)</f>
        <v>0.5878017426</v>
      </c>
      <c r="Q10" s="12">
        <f>abs(pred_GDP_now!Q10-pred_GDP_now!$B10)</f>
        <v>0.555678</v>
      </c>
      <c r="R10" s="12">
        <f>abs(pred_GDP_now!R10-pred_GDP_now!$B10)</f>
        <v>0.41661</v>
      </c>
      <c r="S10" s="12"/>
      <c r="AA10" s="12">
        <f>abs(pred_GDP_now!AA10-pred_GDP_now!$B10)</f>
        <v>0.546515</v>
      </c>
      <c r="AB10" s="15" t="str">
        <f t="shared" si="1"/>
        <v>SVR-KNN</v>
      </c>
      <c r="AC10" s="13">
        <f t="shared" si="2"/>
        <v>0.08590983548</v>
      </c>
    </row>
    <row r="11">
      <c r="A11" s="11">
        <v>201806.0</v>
      </c>
      <c r="B11" s="10">
        <v>0.7</v>
      </c>
      <c r="C11" s="12">
        <f>abs(pred_GDP_now!C11-pred_GDP_now!$B11)</f>
        <v>0.2595958435</v>
      </c>
      <c r="D11" s="12">
        <f>abs(pred_GDP_now!D11-pred_GDP_now!$B11)</f>
        <v>0.011343</v>
      </c>
      <c r="E11" s="12">
        <f>abs(pred_GDP_now!E11-pred_GDP_now!$B11)</f>
        <v>0.147664</v>
      </c>
      <c r="F11" s="12">
        <f>abs(pred_GDP_now!F11-pred_GDP_now!$B11)</f>
        <v>0.001288</v>
      </c>
      <c r="G11" s="12"/>
      <c r="H11" s="12">
        <f>abs(pred_GDP_now!H11-pred_GDP_now!$B11)</f>
        <v>0.38374</v>
      </c>
      <c r="I11" s="12">
        <f>abs(pred_GDP_now!I11-pred_GDP_now!$B11)</f>
        <v>0.1332085308</v>
      </c>
      <c r="J11" s="12">
        <f>abs(pred_GDP_now!J11-pred_GDP_now!$B11)</f>
        <v>0.151069828</v>
      </c>
      <c r="K11" s="12">
        <f>abs(pred_GDP_now!K11-pred_GDP_now!$B11)</f>
        <v>0.137201</v>
      </c>
      <c r="L11" s="12">
        <f>abs(pred_GDP_now!L11-pred_GDP_now!$B11)</f>
        <v>0.1227377328</v>
      </c>
      <c r="M11" s="12">
        <f>abs(pred_GDP_now!M11-pred_GDP_now!$B11)</f>
        <v>0.0662591</v>
      </c>
      <c r="N11" s="12"/>
      <c r="O11" s="12">
        <f>abs(pred_GDP_now!O11-pred_GDP_now!$B11)</f>
        <v>0.2000415997</v>
      </c>
      <c r="P11" s="12">
        <f>abs(pred_GDP_now!P11-pred_GDP_now!$B11)</f>
        <v>0.6132168055</v>
      </c>
      <c r="Q11" s="12">
        <f>abs(pred_GDP_now!Q11-pred_GDP_now!$B11)</f>
        <v>0.012101</v>
      </c>
      <c r="R11" s="12">
        <f>abs(pred_GDP_now!R11-pred_GDP_now!$B11)</f>
        <v>0.103613</v>
      </c>
      <c r="S11" s="12"/>
      <c r="AA11" s="12">
        <f>abs(pred_GDP_now!AA11-pred_GDP_now!$B11)</f>
        <v>0.38374</v>
      </c>
      <c r="AB11" s="15" t="str">
        <f t="shared" si="1"/>
        <v>BEM3</v>
      </c>
      <c r="AC11" s="13">
        <f t="shared" si="2"/>
        <v>0.001288</v>
      </c>
    </row>
    <row r="12">
      <c r="A12" s="11">
        <v>201809.0</v>
      </c>
      <c r="B12" s="10">
        <v>0.6</v>
      </c>
      <c r="C12" s="12">
        <f>abs(pred_GDP_now!C12-pred_GDP_now!$B12)</f>
        <v>0.3710973926</v>
      </c>
      <c r="D12" s="12">
        <f>abs(pred_GDP_now!D12-pred_GDP_now!$B12)</f>
        <v>0.076312</v>
      </c>
      <c r="E12" s="12">
        <f>abs(pred_GDP_now!E12-pred_GDP_now!$B12)</f>
        <v>0.124334</v>
      </c>
      <c r="F12" s="12">
        <f>abs(pred_GDP_now!F12-pred_GDP_now!$B12)</f>
        <v>0.028576</v>
      </c>
      <c r="G12" s="12"/>
      <c r="H12" s="12">
        <f>abs(pred_GDP_now!H12-pred_GDP_now!$B12)</f>
        <v>0.238222</v>
      </c>
      <c r="I12" s="12">
        <f>abs(pred_GDP_now!I12-pred_GDP_now!$B12)</f>
        <v>0.4800162974</v>
      </c>
      <c r="J12" s="12">
        <f>abs(pred_GDP_now!J12-pred_GDP_now!$B12)</f>
        <v>0.4457687842</v>
      </c>
      <c r="K12" s="12">
        <f>abs(pred_GDP_now!K12-pred_GDP_now!$B12)</f>
        <v>0.101816</v>
      </c>
      <c r="L12" s="12">
        <f>abs(pred_GDP_now!L12-pred_GDP_now!$B12)</f>
        <v>0.00425636097</v>
      </c>
      <c r="M12" s="12">
        <f>abs(pred_GDP_now!M12-pred_GDP_now!$B12)</f>
        <v>0.25250707</v>
      </c>
      <c r="N12" s="12"/>
      <c r="O12" s="12">
        <f>abs(pred_GDP_now!O12-pred_GDP_now!$B12)</f>
        <v>0.01924370093</v>
      </c>
      <c r="P12" s="12">
        <f>abs(pred_GDP_now!P12-pred_GDP_now!$B12)</f>
        <v>0.08545734882</v>
      </c>
      <c r="Q12" s="12">
        <f>abs(pred_GDP_now!Q12-pred_GDP_now!$B12)</f>
        <v>0.079213</v>
      </c>
      <c r="R12" s="12">
        <f>abs(pred_GDP_now!R12-pred_GDP_now!$B12)</f>
        <v>0.279481</v>
      </c>
      <c r="S12" s="12"/>
      <c r="AA12" s="12">
        <f>abs(pred_GDP_now!AA12-pred_GDP_now!$B12)</f>
        <v>0.238222</v>
      </c>
      <c r="AB12" s="15" t="str">
        <f t="shared" si="1"/>
        <v>SVR-KNN</v>
      </c>
      <c r="AC12" s="13">
        <f t="shared" si="2"/>
        <v>0.00425636097</v>
      </c>
    </row>
    <row r="13">
      <c r="A13" s="11">
        <v>201812.0</v>
      </c>
      <c r="B13" s="10">
        <v>0.6</v>
      </c>
      <c r="C13" s="12">
        <f>abs(pred_GDP_now!C13-pred_GDP_now!$B13)</f>
        <v>0.3341084737</v>
      </c>
      <c r="D13" s="12">
        <f>abs(pred_GDP_now!D13-pred_GDP_now!$B13)</f>
        <v>0.50306</v>
      </c>
      <c r="E13" s="12">
        <f>abs(pred_GDP_now!E13-pred_GDP_now!$B13)</f>
        <v>0.62169</v>
      </c>
      <c r="F13" s="12">
        <f>abs(pred_GDP_now!F13-pred_GDP_now!$B13)</f>
        <v>0.354111</v>
      </c>
      <c r="G13" s="12"/>
      <c r="H13" s="12">
        <f>abs(pred_GDP_now!H13-pred_GDP_now!$B13)</f>
        <v>0.149574</v>
      </c>
      <c r="I13" s="12">
        <f>abs(pred_GDP_now!I13-pred_GDP_now!$B13)</f>
        <v>0.2489672594</v>
      </c>
      <c r="J13" s="12">
        <f>abs(pred_GDP_now!J13-pred_GDP_now!$B13)</f>
        <v>0.0612460545</v>
      </c>
      <c r="K13" s="12">
        <f>abs(pred_GDP_now!K13-pred_GDP_now!$B13)</f>
        <v>0.103083</v>
      </c>
      <c r="L13" s="12">
        <f>abs(pred_GDP_now!L13-pred_GDP_now!$B13)</f>
        <v>0.1468817216</v>
      </c>
      <c r="M13" s="12">
        <f>abs(pred_GDP_now!M13-pred_GDP_now!$B13)</f>
        <v>0.543915844</v>
      </c>
      <c r="N13" s="12"/>
      <c r="O13" s="12">
        <f>abs(pred_GDP_now!O13-pred_GDP_now!$B13)</f>
        <v>0.5399712853</v>
      </c>
      <c r="P13" s="12">
        <f>abs(pred_GDP_now!P13-pred_GDP_now!$B13)</f>
        <v>0.1254835963</v>
      </c>
      <c r="Q13" s="12">
        <f>abs(pred_GDP_now!Q13-pred_GDP_now!$B13)</f>
        <v>0.482321</v>
      </c>
      <c r="R13" s="12">
        <f>abs(pred_GDP_now!R13-pred_GDP_now!$B13)</f>
        <v>0.189253</v>
      </c>
      <c r="S13" s="12"/>
      <c r="AA13" s="12">
        <f>abs(pred_GDP_now!AA13-pred_GDP_now!$B13)</f>
        <v>0.149574</v>
      </c>
      <c r="AB13" s="15" t="str">
        <f t="shared" si="1"/>
        <v>T-M</v>
      </c>
      <c r="AC13" s="13">
        <f t="shared" si="2"/>
        <v>0.0612460545</v>
      </c>
    </row>
    <row r="14">
      <c r="A14" s="11">
        <v>201903.0</v>
      </c>
      <c r="B14" s="10">
        <v>-0.1</v>
      </c>
      <c r="C14" s="12">
        <f>abs(pred_GDP_now!C14-pred_GDP_now!$B14)</f>
        <v>0.2182526655</v>
      </c>
      <c r="D14" s="12">
        <f>abs(pred_GDP_now!D14-pred_GDP_now!$B14)</f>
        <v>0.02774</v>
      </c>
      <c r="E14" s="12">
        <f>abs(pred_GDP_now!E14-pred_GDP_now!$B14)</f>
        <v>0.22045</v>
      </c>
      <c r="F14" s="12">
        <f>abs(pred_GDP_now!F14-pred_GDP_now!$B14)</f>
        <v>0.256505</v>
      </c>
      <c r="G14" s="12"/>
      <c r="H14" s="12">
        <f>abs(pred_GDP_now!H14-pred_GDP_now!$B14)</f>
        <v>0.85638</v>
      </c>
      <c r="I14" s="12">
        <f>abs(pred_GDP_now!I14-pred_GDP_now!$B14)</f>
        <v>0.6125553472</v>
      </c>
      <c r="J14" s="12">
        <f>abs(pred_GDP_now!J14-pred_GDP_now!$B14)</f>
        <v>0.7062022176</v>
      </c>
      <c r="K14" s="12">
        <f>abs(pred_GDP_now!K14-pred_GDP_now!$B14)</f>
        <v>0.461543</v>
      </c>
      <c r="L14" s="12">
        <f>abs(pred_GDP_now!L14-pred_GDP_now!$B14)</f>
        <v>0.01380994902</v>
      </c>
      <c r="M14" s="12">
        <f>abs(pred_GDP_now!M14-pred_GDP_now!$B14)</f>
        <v>0.810923</v>
      </c>
      <c r="N14" s="12"/>
      <c r="O14" s="12">
        <f>abs(pred_GDP_now!O14-pred_GDP_now!$B14)</f>
        <v>0.7133359215</v>
      </c>
      <c r="P14" s="12">
        <f>abs(pred_GDP_now!P14-pred_GDP_now!$B14)</f>
        <v>0.7857364178</v>
      </c>
      <c r="Q14" s="12">
        <f>abs(pred_GDP_now!Q14-pred_GDP_now!$B14)</f>
        <v>0.467977</v>
      </c>
      <c r="R14" s="12">
        <f>abs(pred_GDP_now!R14-pred_GDP_now!$B14)</f>
        <v>0.11914</v>
      </c>
      <c r="S14" s="12"/>
      <c r="AA14" s="12">
        <f>abs(pred_GDP_now!AA14-pred_GDP_now!$B14)</f>
        <v>0.85638</v>
      </c>
      <c r="AB14" s="15" t="str">
        <f t="shared" si="1"/>
        <v>SVR-KNN</v>
      </c>
      <c r="AC14" s="13">
        <f t="shared" si="2"/>
        <v>0.01380994902</v>
      </c>
    </row>
    <row r="15">
      <c r="A15" s="11">
        <v>201906.0</v>
      </c>
      <c r="B15" s="10">
        <v>1.1</v>
      </c>
      <c r="C15" s="12">
        <f>abs(pred_GDP_now!C15-pred_GDP_now!$B15)</f>
        <v>0.01156835276</v>
      </c>
      <c r="D15" s="12">
        <f>abs(pred_GDP_now!D15-pred_GDP_now!$B15)</f>
        <v>0.245915</v>
      </c>
      <c r="E15" s="12">
        <f>abs(pred_GDP_now!E15-pred_GDP_now!$B15)</f>
        <v>0.262458</v>
      </c>
      <c r="F15" s="12">
        <f>abs(pred_GDP_now!F15-pred_GDP_now!$B15)</f>
        <v>0.296762</v>
      </c>
      <c r="G15" s="12"/>
      <c r="H15" s="12">
        <f>abs(pred_GDP_now!H15-pred_GDP_now!$B15)</f>
        <v>0.154876</v>
      </c>
      <c r="I15" s="12">
        <f>abs(pred_GDP_now!I15-pred_GDP_now!$B15)</f>
        <v>0.05998339926</v>
      </c>
      <c r="J15" s="12">
        <f>abs(pred_GDP_now!J15-pred_GDP_now!$B15)</f>
        <v>0.1038175531</v>
      </c>
      <c r="K15" s="12">
        <f>abs(pred_GDP_now!K15-pred_GDP_now!$B15)</f>
        <v>0.219009</v>
      </c>
      <c r="L15" s="12">
        <f>abs(pred_GDP_now!L15-pred_GDP_now!$B15)</f>
        <v>0.2270205426</v>
      </c>
      <c r="M15" s="12">
        <f>abs(pred_GDP_now!M15-pred_GDP_now!$B15)</f>
        <v>0.5871112</v>
      </c>
      <c r="N15" s="12"/>
      <c r="O15" s="12">
        <f>abs(pred_GDP_now!O15-pred_GDP_now!$B15)</f>
        <v>0.2352160915</v>
      </c>
      <c r="P15" s="12">
        <f>abs(pred_GDP_now!P15-pred_GDP_now!$B15)</f>
        <v>0.20905509</v>
      </c>
      <c r="Q15" s="12">
        <f>abs(pred_GDP_now!Q15-pred_GDP_now!$B15)</f>
        <v>0.12701</v>
      </c>
      <c r="R15" s="12">
        <f>abs(pred_GDP_now!R15-pred_GDP_now!$B15)</f>
        <v>0.033297</v>
      </c>
      <c r="S15" s="12"/>
      <c r="AA15" s="12">
        <f>abs(pred_GDP_now!AA15-pred_GDP_now!$B15)</f>
        <v>0.154876</v>
      </c>
      <c r="AB15" s="15" t="str">
        <f t="shared" si="1"/>
        <v>DFM</v>
      </c>
      <c r="AC15" s="13">
        <f t="shared" si="2"/>
        <v>0.01156835276</v>
      </c>
    </row>
    <row r="16">
      <c r="A16" s="11">
        <v>201909.0</v>
      </c>
      <c r="B16" s="10">
        <v>0.4</v>
      </c>
      <c r="C16" s="12">
        <f>abs(pred_GDP_now!C16-pred_GDP_now!$B16)</f>
        <v>0.2998789424</v>
      </c>
      <c r="D16" s="12">
        <f>abs(pred_GDP_now!D16-pred_GDP_now!$B16)</f>
        <v>0.04981</v>
      </c>
      <c r="E16" s="12">
        <f>abs(pred_GDP_now!E16-pred_GDP_now!$B16)</f>
        <v>0.048457</v>
      </c>
      <c r="F16" s="12">
        <f>abs(pred_GDP_now!F16-pred_GDP_now!$B16)</f>
        <v>0.111463</v>
      </c>
      <c r="G16" s="12"/>
      <c r="H16" s="12">
        <f>abs(pred_GDP_now!H16-pred_GDP_now!$B16)</f>
        <v>0.600116</v>
      </c>
      <c r="I16" s="12">
        <f>abs(pred_GDP_now!I16-pred_GDP_now!$B16)</f>
        <v>0.07887444895</v>
      </c>
      <c r="J16" s="12">
        <f>abs(pred_GDP_now!J16-pred_GDP_now!$B16)</f>
        <v>0.264295965</v>
      </c>
      <c r="K16" s="12">
        <f>abs(pred_GDP_now!K16-pred_GDP_now!$B16)</f>
        <v>0.280312</v>
      </c>
      <c r="L16" s="12">
        <f>abs(pred_GDP_now!L16-pred_GDP_now!$B16)</f>
        <v>0.07015825794</v>
      </c>
      <c r="M16" s="12">
        <f>abs(pred_GDP_now!M16-pred_GDP_now!$B16)</f>
        <v>0.7893855</v>
      </c>
      <c r="N16" s="12"/>
      <c r="O16" s="12">
        <f>abs(pred_GDP_now!O16-pred_GDP_now!$B16)</f>
        <v>0.3044653447</v>
      </c>
      <c r="P16" s="12">
        <f>abs(pred_GDP_now!P16-pred_GDP_now!$B16)</f>
        <v>0.6148947239</v>
      </c>
      <c r="Q16" s="12">
        <f>abs(pred_GDP_now!Q16-pred_GDP_now!$B16)</f>
        <v>0.407791</v>
      </c>
      <c r="R16" s="12">
        <f>abs(pred_GDP_now!R16-pred_GDP_now!$B16)</f>
        <v>0.385794</v>
      </c>
      <c r="S16" s="12"/>
      <c r="AA16" s="12">
        <f>abs(pred_GDP_now!AA16-pred_GDP_now!$B16)</f>
        <v>0.600116</v>
      </c>
      <c r="AB16" s="15" t="str">
        <f t="shared" si="1"/>
        <v>BEM2</v>
      </c>
      <c r="AC16" s="13">
        <f t="shared" si="2"/>
        <v>0.048457</v>
      </c>
    </row>
    <row r="17">
      <c r="A17" s="11">
        <v>201912.0</v>
      </c>
      <c r="B17" s="10">
        <v>1.2</v>
      </c>
      <c r="C17" s="12">
        <f>abs(pred_GDP_now!C17-pred_GDP_now!$B17)</f>
        <v>0.6240954745</v>
      </c>
      <c r="D17" s="12">
        <f>abs(pred_GDP_now!D17-pred_GDP_now!$B17)</f>
        <v>0.579015</v>
      </c>
      <c r="E17" s="12">
        <f>abs(pred_GDP_now!E17-pred_GDP_now!$B17)</f>
        <v>0.645323</v>
      </c>
      <c r="F17" s="12">
        <f>abs(pred_GDP_now!F17-pred_GDP_now!$B17)</f>
        <v>0.576494</v>
      </c>
      <c r="G17" s="12"/>
      <c r="H17" s="12">
        <f>abs(pred_GDP_now!H17-pred_GDP_now!$B17)</f>
        <v>0.911211</v>
      </c>
      <c r="I17" s="12">
        <f>abs(pred_GDP_now!I17-pred_GDP_now!$B17)</f>
        <v>0.2244717138</v>
      </c>
      <c r="J17" s="12">
        <f>abs(pred_GDP_now!J17-pred_GDP_now!$B17)</f>
        <v>0.07538259188</v>
      </c>
      <c r="K17" s="12">
        <f>abs(pred_GDP_now!K17-pred_GDP_now!$B17)</f>
        <v>0.347908</v>
      </c>
      <c r="L17" s="12">
        <f>abs(pred_GDP_now!L17-pred_GDP_now!$B17)</f>
        <v>0.3021984045</v>
      </c>
      <c r="M17" s="12">
        <f>abs(pred_GDP_now!M17-pred_GDP_now!$B17)</f>
        <v>0.32632775</v>
      </c>
      <c r="N17" s="12"/>
      <c r="O17" s="12">
        <f>abs(pred_GDP_now!O17-pred_GDP_now!$B17)</f>
        <v>0.4977675017</v>
      </c>
      <c r="P17" s="12">
        <f>abs(pred_GDP_now!P17-pred_GDP_now!$B17)</f>
        <v>1.122979169</v>
      </c>
      <c r="Q17" s="12">
        <f>abs(pred_GDP_now!Q17-pred_GDP_now!$B17)</f>
        <v>0.834046</v>
      </c>
      <c r="R17" s="12">
        <f>abs(pred_GDP_now!R17-pred_GDP_now!$B17)</f>
        <v>0.332488</v>
      </c>
      <c r="S17" s="12"/>
      <c r="AA17" s="12">
        <f>abs(pred_GDP_now!AA17-pred_GDP_now!$B17)</f>
        <v>0.911211</v>
      </c>
      <c r="AB17" s="15" t="str">
        <f t="shared" si="1"/>
        <v>T-M</v>
      </c>
      <c r="AC17" s="13">
        <f t="shared" si="2"/>
        <v>0.07538259188</v>
      </c>
    </row>
    <row r="18">
      <c r="A18" s="11">
        <v>202003.0</v>
      </c>
      <c r="B18" s="10">
        <v>-1.3</v>
      </c>
      <c r="C18" s="12">
        <f>abs(pred_GDP_now!C18-pred_GDP_now!$B18)</f>
        <v>1.260611252</v>
      </c>
      <c r="D18" s="12">
        <f>abs(pred_GDP_now!D18-pred_GDP_now!$B18)</f>
        <v>1.29525</v>
      </c>
      <c r="E18" s="12">
        <f>abs(pred_GDP_now!E18-pred_GDP_now!$B18)</f>
        <v>1.15339</v>
      </c>
      <c r="F18" s="12">
        <f>abs(pred_GDP_now!F18-pred_GDP_now!$B18)</f>
        <v>1.480169</v>
      </c>
      <c r="G18" s="12"/>
      <c r="H18" s="12">
        <f>abs(pred_GDP_now!H18-pred_GDP_now!$B18)</f>
        <v>1.579367</v>
      </c>
      <c r="I18" s="12">
        <f>abs(pred_GDP_now!I18-pred_GDP_now!$B18)</f>
        <v>1.26398385</v>
      </c>
      <c r="J18" s="12">
        <f>abs(pred_GDP_now!J18-pred_GDP_now!$B18)</f>
        <v>1.924116126</v>
      </c>
      <c r="K18" s="12">
        <f>abs(pred_GDP_now!K18-pred_GDP_now!$B18)</f>
        <v>2.139619</v>
      </c>
      <c r="L18" s="12">
        <f>abs(pred_GDP_now!L18-pred_GDP_now!$B18)</f>
        <v>1.531873809</v>
      </c>
      <c r="M18" s="12">
        <f>abs(pred_GDP_now!M18-pred_GDP_now!$B18)</f>
        <v>0.57868134</v>
      </c>
      <c r="N18" s="12"/>
      <c r="O18" s="12">
        <f>abs(pred_GDP_now!O18-pred_GDP_now!$B18)</f>
        <v>1.357405848</v>
      </c>
      <c r="P18" s="12">
        <f>abs(pred_GDP_now!P18-pred_GDP_now!$B18)</f>
        <v>1.600211102</v>
      </c>
      <c r="Q18" s="12">
        <f>abs(pred_GDP_now!Q18-pred_GDP_now!$B18)</f>
        <v>1.272193</v>
      </c>
      <c r="R18" s="12">
        <f>abs(pred_GDP_now!R18-pred_GDP_now!$B18)</f>
        <v>1.332603</v>
      </c>
      <c r="S18" s="12"/>
      <c r="AA18" s="12">
        <f>abs(pred_GDP_now!AA18-pred_GDP_now!$B18)</f>
        <v>1.579367</v>
      </c>
      <c r="AB18" s="15" t="str">
        <f t="shared" si="1"/>
        <v>CRNN</v>
      </c>
      <c r="AC18" s="13">
        <f t="shared" si="2"/>
        <v>0.57868134</v>
      </c>
    </row>
    <row r="19">
      <c r="A19" s="11">
        <v>202006.0</v>
      </c>
      <c r="B19" s="10">
        <v>-3.0</v>
      </c>
      <c r="C19" s="12">
        <f>abs(pred_GDP_now!C19-pred_GDP_now!$B19)</f>
        <v>2.455017562</v>
      </c>
      <c r="D19" s="12">
        <f>abs(pred_GDP_now!D19-pred_GDP_now!$B19)</f>
        <v>1.74597</v>
      </c>
      <c r="E19" s="12">
        <f>abs(pred_GDP_now!E19-pred_GDP_now!$B19)</f>
        <v>1.83879</v>
      </c>
      <c r="F19" s="12">
        <f>abs(pred_GDP_now!F19-pred_GDP_now!$B19)</f>
        <v>2.50811</v>
      </c>
      <c r="G19" s="12"/>
      <c r="H19" s="12">
        <f>abs(pred_GDP_now!H19-pred_GDP_now!$B19)</f>
        <v>4.82413</v>
      </c>
      <c r="I19" s="12">
        <f>abs(pred_GDP_now!I19-pred_GDP_now!$B19)</f>
        <v>2.119151561</v>
      </c>
      <c r="J19" s="12">
        <f>abs(pred_GDP_now!J19-pred_GDP_now!$B19)</f>
        <v>3.253357557</v>
      </c>
      <c r="K19" s="12">
        <f>abs(pred_GDP_now!K19-pred_GDP_now!$B19)</f>
        <v>1.5467</v>
      </c>
      <c r="L19" s="12">
        <f>abs(pred_GDP_now!L19-pred_GDP_now!$B19)</f>
        <v>2.283090413</v>
      </c>
      <c r="M19" s="12">
        <f>abs(pred_GDP_now!M19-pred_GDP_now!$B19)</f>
        <v>3.39227682</v>
      </c>
      <c r="N19" s="12"/>
      <c r="O19" s="12">
        <f>abs(pred_GDP_now!O19-pred_GDP_now!$B19)</f>
        <v>2.015100987</v>
      </c>
      <c r="P19" s="12">
        <f>abs(pred_GDP_now!P19-pred_GDP_now!$B19)</f>
        <v>0.1644263268</v>
      </c>
      <c r="Q19" s="12">
        <f>abs(pred_GDP_now!Q19-pred_GDP_now!$B19)</f>
        <v>0.401413</v>
      </c>
      <c r="R19" s="12">
        <f>abs(pred_GDP_now!R19-pred_GDP_now!$B19)</f>
        <v>1.555817</v>
      </c>
      <c r="S19" s="12"/>
      <c r="AA19" s="12">
        <f>abs(pred_GDP_now!AA19-pred_GDP_now!$B19)</f>
        <v>4.82413</v>
      </c>
      <c r="AB19" s="15" t="str">
        <f t="shared" si="1"/>
        <v>S-XGB</v>
      </c>
      <c r="AC19" s="13">
        <f t="shared" si="2"/>
        <v>0.1644263268</v>
      </c>
    </row>
    <row r="20">
      <c r="A20" s="11">
        <v>202009.0</v>
      </c>
      <c r="B20" s="10">
        <v>2.3</v>
      </c>
      <c r="C20" s="12">
        <f>abs(pred_GDP_now!C20-pred_GDP_now!$B20)</f>
        <v>0.6975332724</v>
      </c>
      <c r="D20" s="12">
        <f>abs(pred_GDP_now!D20-pred_GDP_now!$B20)</f>
        <v>0.446262</v>
      </c>
      <c r="E20" s="12">
        <f>abs(pred_GDP_now!E20-pred_GDP_now!$B20)</f>
        <v>0.047293</v>
      </c>
      <c r="F20" s="12">
        <f>abs(pred_GDP_now!F20-pred_GDP_now!$B20)</f>
        <v>1.227353</v>
      </c>
      <c r="G20" s="12"/>
      <c r="H20" s="12">
        <f>abs(pred_GDP_now!H20-pred_GDP_now!$B20)</f>
        <v>2.046511</v>
      </c>
      <c r="I20" s="12">
        <f>abs(pred_GDP_now!I20-pred_GDP_now!$B20)</f>
        <v>0.1220964995</v>
      </c>
      <c r="J20" s="12">
        <f>abs(pred_GDP_now!J20-pred_GDP_now!$B20)</f>
        <v>0.6490272989</v>
      </c>
      <c r="K20" s="12">
        <f>abs(pred_GDP_now!K20-pred_GDP_now!$B20)</f>
        <v>1.085918</v>
      </c>
      <c r="L20" s="12">
        <f>abs(pred_GDP_now!L20-pred_GDP_now!$B20)</f>
        <v>0.07667376318</v>
      </c>
      <c r="M20" s="12">
        <f>abs(pred_GDP_now!M20-pred_GDP_now!$B20)</f>
        <v>0.8904887</v>
      </c>
      <c r="N20" s="12"/>
      <c r="O20" s="12">
        <f>abs(pred_GDP_now!O20-pred_GDP_now!$B20)</f>
        <v>1.360508369</v>
      </c>
      <c r="P20" s="12">
        <f>abs(pred_GDP_now!P20-pred_GDP_now!$B20)</f>
        <v>0.8027509928</v>
      </c>
      <c r="Q20" s="12">
        <f>abs(pred_GDP_now!Q20-pred_GDP_now!$B20)</f>
        <v>1.477096</v>
      </c>
      <c r="R20" s="12">
        <f>abs(pred_GDP_now!R20-pred_GDP_now!$B20)</f>
        <v>0.564797</v>
      </c>
      <c r="S20" s="12"/>
      <c r="AA20" s="12">
        <f>abs(pred_GDP_now!AA20-pred_GDP_now!$B20)</f>
        <v>2.046511</v>
      </c>
      <c r="AB20" s="15" t="str">
        <f t="shared" si="1"/>
        <v>BEM2</v>
      </c>
      <c r="AC20" s="13">
        <f t="shared" si="2"/>
        <v>0.047293</v>
      </c>
    </row>
    <row r="21">
      <c r="A21" s="11">
        <v>202012.0</v>
      </c>
      <c r="B21" s="10">
        <v>1.3</v>
      </c>
      <c r="C21" s="12">
        <f>abs(pred_GDP_now!C21-pred_GDP_now!$B21)</f>
        <v>0.4622778062</v>
      </c>
      <c r="D21" s="12">
        <f>abs(pred_GDP_now!D21-pred_GDP_now!$B21)</f>
        <v>0.217258</v>
      </c>
      <c r="E21" s="12">
        <f>abs(pred_GDP_now!E21-pred_GDP_now!$B21)</f>
        <v>0.25885</v>
      </c>
      <c r="F21" s="12">
        <f>abs(pred_GDP_now!F21-pred_GDP_now!$B21)</f>
        <v>0.189426</v>
      </c>
      <c r="G21" s="12"/>
      <c r="H21" s="12">
        <f>abs(pred_GDP_now!H21-pred_GDP_now!$B21)</f>
        <v>2.095491</v>
      </c>
      <c r="I21" s="12">
        <f>abs(pred_GDP_now!I21-pred_GDP_now!$B21)</f>
        <v>0.5617172942</v>
      </c>
      <c r="J21" s="12">
        <f>abs(pred_GDP_now!J21-pred_GDP_now!$B21)</f>
        <v>0.02235190133</v>
      </c>
      <c r="K21" s="12">
        <f>abs(pred_GDP_now!K21-pred_GDP_now!$B21)</f>
        <v>0.641732</v>
      </c>
      <c r="L21" s="12">
        <f>abs(pred_GDP_now!L21-pred_GDP_now!$B21)</f>
        <v>0.1660299525</v>
      </c>
      <c r="M21" s="12">
        <f>abs(pred_GDP_now!M21-pred_GDP_now!$B21)</f>
        <v>1.03604664</v>
      </c>
      <c r="N21" s="12"/>
      <c r="O21" s="12">
        <f>abs(pred_GDP_now!O21-pred_GDP_now!$B21)</f>
        <v>0.3911109332</v>
      </c>
      <c r="P21" s="12">
        <f>abs(pred_GDP_now!P21-pred_GDP_now!$B21)</f>
        <v>0.04471032619</v>
      </c>
      <c r="Q21" s="12">
        <f>abs(pred_GDP_now!Q21-pred_GDP_now!$B21)</f>
        <v>0.646373</v>
      </c>
      <c r="R21" s="12">
        <f>abs(pred_GDP_now!R21-pred_GDP_now!$B21)</f>
        <v>0.220173</v>
      </c>
      <c r="S21" s="12"/>
      <c r="AA21" s="12">
        <f>abs(pred_GDP_now!AA21-pred_GDP_now!$B21)</f>
        <v>2.095491</v>
      </c>
      <c r="AB21" s="15" t="str">
        <f t="shared" si="1"/>
        <v>T-M</v>
      </c>
      <c r="AC21" s="13">
        <f t="shared" si="2"/>
        <v>0.02235190133</v>
      </c>
    </row>
    <row r="22">
      <c r="A22" s="11">
        <v>202103.0</v>
      </c>
      <c r="B22" s="10">
        <v>1.8</v>
      </c>
      <c r="C22" s="12">
        <f>abs(pred_GDP_now!C22-pred_GDP_now!$B22)</f>
        <v>1.091203515</v>
      </c>
      <c r="D22" s="12">
        <f>abs(pred_GDP_now!D22-pred_GDP_now!$B22)</f>
        <v>0.664946</v>
      </c>
      <c r="E22" s="12">
        <f>abs(pred_GDP_now!E22-pred_GDP_now!$B22)</f>
        <v>0.67414</v>
      </c>
      <c r="F22" s="12">
        <f>abs(pred_GDP_now!F22-pred_GDP_now!$B22)</f>
        <v>0.742816</v>
      </c>
      <c r="G22" s="12"/>
      <c r="H22" s="12">
        <f>abs(pred_GDP_now!H22-pred_GDP_now!$B22)</f>
        <v>1.554077</v>
      </c>
      <c r="I22" s="12">
        <f>abs(pred_GDP_now!I22-pred_GDP_now!$B22)</f>
        <v>0.09563463024</v>
      </c>
      <c r="J22" s="12">
        <f>abs(pred_GDP_now!J22-pred_GDP_now!$B22)</f>
        <v>0.8236262501</v>
      </c>
      <c r="K22" s="12">
        <f>abs(pred_GDP_now!K22-pred_GDP_now!$B22)</f>
        <v>0.573709</v>
      </c>
      <c r="L22" s="12">
        <f>abs(pred_GDP_now!L22-pred_GDP_now!$B22)</f>
        <v>0.04410188922</v>
      </c>
      <c r="M22" s="12">
        <f>abs(pred_GDP_now!M22-pred_GDP_now!$B22)</f>
        <v>0.4050947</v>
      </c>
      <c r="N22" s="12"/>
      <c r="O22" s="12">
        <f>abs(pred_GDP_now!O22-pred_GDP_now!$B22)</f>
        <v>1.016215204</v>
      </c>
      <c r="P22" s="12">
        <f>abs(pred_GDP_now!P22-pred_GDP_now!$B22)</f>
        <v>0.3898388624</v>
      </c>
      <c r="Q22" s="12">
        <f>abs(pred_GDP_now!Q22-pred_GDP_now!$B22)</f>
        <v>0.020096</v>
      </c>
      <c r="R22" s="12">
        <f>abs(pred_GDP_now!R22-pred_GDP_now!$B22)</f>
        <v>0.097805</v>
      </c>
      <c r="S22" s="12"/>
      <c r="AA22" s="12">
        <f>abs(pred_GDP_now!AA22-pred_GDP_now!$B22)</f>
        <v>1.554077</v>
      </c>
      <c r="AB22" s="15" t="str">
        <f t="shared" si="1"/>
        <v>LQR</v>
      </c>
      <c r="AC22" s="13">
        <f t="shared" si="2"/>
        <v>0.020096</v>
      </c>
    </row>
    <row r="23">
      <c r="A23" s="11">
        <v>202106.0</v>
      </c>
      <c r="B23" s="10">
        <v>0.9</v>
      </c>
      <c r="C23" s="12">
        <f>abs(pred_GDP_now!C23-pred_GDP_now!$B23)</f>
        <v>0.1033928638</v>
      </c>
      <c r="D23" s="12">
        <f>abs(pred_GDP_now!D23-pred_GDP_now!$B23)</f>
        <v>0.153214</v>
      </c>
      <c r="E23" s="12">
        <f>abs(pred_GDP_now!E23-pred_GDP_now!$B23)</f>
        <v>0.016154</v>
      </c>
      <c r="F23" s="12">
        <f>abs(pred_GDP_now!F23-pred_GDP_now!$B23)</f>
        <v>0.039468</v>
      </c>
      <c r="G23" s="12"/>
      <c r="H23" s="12">
        <f>abs(pred_GDP_now!H23-pred_GDP_now!$B23)</f>
        <v>0.757253</v>
      </c>
      <c r="I23" s="12">
        <f>abs(pred_GDP_now!I23-pred_GDP_now!$B23)</f>
        <v>1.071539653</v>
      </c>
      <c r="J23" s="12">
        <f>abs(pred_GDP_now!J23-pred_GDP_now!$B23)</f>
        <v>0.2789284374</v>
      </c>
      <c r="K23" s="12">
        <f>abs(pred_GDP_now!K23-pred_GDP_now!$B23)</f>
        <v>0.411106</v>
      </c>
      <c r="L23" s="12">
        <f>abs(pred_GDP_now!L23-pred_GDP_now!$B23)</f>
        <v>0.1689834303</v>
      </c>
      <c r="M23" s="12">
        <f>abs(pred_GDP_now!M23-pred_GDP_now!$B23)</f>
        <v>0.6954639</v>
      </c>
      <c r="N23" s="12"/>
      <c r="O23" s="12">
        <f>abs(pred_GDP_now!O23-pred_GDP_now!$B23)</f>
        <v>0.07950992887</v>
      </c>
      <c r="P23" s="12">
        <f>abs(pred_GDP_now!P23-pred_GDP_now!$B23)</f>
        <v>0.4107089996</v>
      </c>
      <c r="Q23" s="12">
        <f>abs(pred_GDP_now!Q23-pred_GDP_now!$B23)</f>
        <v>0.127765</v>
      </c>
      <c r="R23" s="12">
        <f>abs(pred_GDP_now!R23-pred_GDP_now!$B23)</f>
        <v>0.353916</v>
      </c>
      <c r="S23" s="12"/>
      <c r="AA23" s="12">
        <f>abs(pred_GDP_now!AA23-pred_GDP_now!$B23)</f>
        <v>0.757253</v>
      </c>
      <c r="AB23" s="15" t="str">
        <f t="shared" si="1"/>
        <v>BEM2</v>
      </c>
      <c r="AC23" s="13">
        <f t="shared" si="2"/>
        <v>0.016154</v>
      </c>
    </row>
    <row r="24">
      <c r="A24" s="11">
        <v>202109.0</v>
      </c>
      <c r="B24" s="10">
        <v>0.1</v>
      </c>
      <c r="C24" s="12">
        <f>abs(pred_GDP_now!C24-pred_GDP_now!$B24)</f>
        <v>1.483217518</v>
      </c>
      <c r="D24" s="12">
        <f>abs(pred_GDP_now!D24-pred_GDP_now!$B24)</f>
        <v>0.472086</v>
      </c>
      <c r="E24" s="12">
        <f>abs(pred_GDP_now!E24-pred_GDP_now!$B24)</f>
        <v>0.409077</v>
      </c>
      <c r="F24" s="12">
        <f>abs(pred_GDP_now!F24-pred_GDP_now!$B24)</f>
        <v>0.491745</v>
      </c>
      <c r="G24" s="12"/>
      <c r="H24" s="12">
        <f>abs(pred_GDP_now!H24-pred_GDP_now!$B24)</f>
        <v>0.18534</v>
      </c>
      <c r="I24" s="12">
        <f>abs(pred_GDP_now!I24-pred_GDP_now!$B24)</f>
        <v>1.03610756</v>
      </c>
      <c r="J24" s="12">
        <f>abs(pred_GDP_now!J24-pred_GDP_now!$B24)</f>
        <v>0.7321676636</v>
      </c>
      <c r="K24" s="12">
        <f>abs(pred_GDP_now!K24-pred_GDP_now!$B24)</f>
        <v>0.847987</v>
      </c>
      <c r="L24" s="12">
        <f>abs(pred_GDP_now!L24-pred_GDP_now!$B24)</f>
        <v>0.9444527374</v>
      </c>
      <c r="M24" s="12">
        <f>abs(pred_GDP_now!M24-pred_GDP_now!$B24)</f>
        <v>0.2389696</v>
      </c>
      <c r="N24" s="12"/>
      <c r="O24" s="12">
        <f>abs(pred_GDP_now!O24-pred_GDP_now!$B24)</f>
        <v>0.7600688986</v>
      </c>
      <c r="P24" s="12">
        <f>abs(pred_GDP_now!P24-pred_GDP_now!$B24)</f>
        <v>0.8060195088</v>
      </c>
      <c r="Q24" s="12">
        <f>abs(pred_GDP_now!Q24-pred_GDP_now!$B24)</f>
        <v>0.481938</v>
      </c>
      <c r="R24" s="12">
        <f>abs(pred_GDP_now!R24-pred_GDP_now!$B24)</f>
        <v>1.2136</v>
      </c>
      <c r="S24" s="12"/>
      <c r="AA24" s="12">
        <f>abs(pred_GDP_now!AA24-pred_GDP_now!$B24)</f>
        <v>0.18534</v>
      </c>
      <c r="AB24" s="15" t="str">
        <f t="shared" si="1"/>
        <v>LBVAR</v>
      </c>
      <c r="AC24" s="13">
        <f t="shared" si="2"/>
        <v>0.18534</v>
      </c>
    </row>
    <row r="25">
      <c r="A25" s="11">
        <v>202112.0</v>
      </c>
      <c r="B25" s="10">
        <v>1.4</v>
      </c>
      <c r="C25" s="12">
        <f>abs(pred_GDP_now!C25-pred_GDP_now!$B25)</f>
        <v>0.7294765263</v>
      </c>
      <c r="D25" s="12">
        <f>abs(pred_GDP_now!D25-pred_GDP_now!$B25)</f>
        <v>0.103319</v>
      </c>
      <c r="E25" s="12">
        <f>abs(pred_GDP_now!E25-pred_GDP_now!$B25)</f>
        <v>0.047076</v>
      </c>
      <c r="F25" s="12">
        <f>abs(pred_GDP_now!F25-pred_GDP_now!$B25)</f>
        <v>0.187839</v>
      </c>
      <c r="G25" s="12"/>
      <c r="H25" s="12">
        <f>abs(pred_GDP_now!H25-pred_GDP_now!$B25)</f>
        <v>0.139661</v>
      </c>
      <c r="I25" s="12">
        <f>abs(pred_GDP_now!I25-pred_GDP_now!$B25)</f>
        <v>0.826486226</v>
      </c>
      <c r="J25" s="12">
        <f>abs(pred_GDP_now!J25-pred_GDP_now!$B25)</f>
        <v>0.6791319845</v>
      </c>
      <c r="K25" s="12">
        <f>abs(pred_GDP_now!K25-pred_GDP_now!$B25)</f>
        <v>0.295731</v>
      </c>
      <c r="L25" s="12">
        <f>abs(pred_GDP_now!L25-pred_GDP_now!$B25)</f>
        <v>0.08260038813</v>
      </c>
      <c r="M25" s="12">
        <f>abs(pred_GDP_now!M25-pred_GDP_now!$B25)</f>
        <v>0.72230574</v>
      </c>
      <c r="N25" s="12"/>
      <c r="O25" s="12">
        <f>abs(pred_GDP_now!O25-pred_GDP_now!$B25)</f>
        <v>0.6538418772</v>
      </c>
      <c r="P25" s="12">
        <f>abs(pred_GDP_now!P25-pred_GDP_now!$B25)</f>
        <v>0.445699358</v>
      </c>
      <c r="Q25" s="12">
        <f>abs(pred_GDP_now!Q25-pred_GDP_now!$B25)</f>
        <v>0.335769</v>
      </c>
      <c r="R25" s="12">
        <f>abs(pred_GDP_now!R25-pred_GDP_now!$B25)</f>
        <v>0.345013</v>
      </c>
      <c r="S25" s="12"/>
      <c r="AA25" s="12">
        <f>abs(pred_GDP_now!AA25-pred_GDP_now!$B25)</f>
        <v>0.139661</v>
      </c>
      <c r="AB25" s="15" t="str">
        <f t="shared" si="1"/>
        <v>BEM2</v>
      </c>
      <c r="AC25" s="13">
        <f t="shared" si="2"/>
        <v>0.047076</v>
      </c>
    </row>
    <row r="26">
      <c r="A26" s="11">
        <v>202203.0</v>
      </c>
      <c r="B26" s="10">
        <v>0.7</v>
      </c>
      <c r="C26" s="12">
        <f>abs(pred_GDP_now!C26-pred_GDP_now!$B26)</f>
        <v>0.5348486261</v>
      </c>
      <c r="D26" s="12">
        <f>abs(pred_GDP_now!D26-pred_GDP_now!$B26)</f>
        <v>0.144207</v>
      </c>
      <c r="E26" s="12">
        <f>abs(pred_GDP_now!E26-pred_GDP_now!$B26)</f>
        <v>0.136529</v>
      </c>
      <c r="F26" s="12">
        <f>abs(pred_GDP_now!F26-pred_GDP_now!$B26)</f>
        <v>0.17667</v>
      </c>
      <c r="G26" s="12"/>
      <c r="H26" s="12">
        <f>abs(pred_GDP_now!H26-pred_GDP_now!$B26)</f>
        <v>0.27516</v>
      </c>
      <c r="I26" s="12">
        <f>abs(pred_GDP_now!I26-pred_GDP_now!$B26)</f>
        <v>0.1698555948</v>
      </c>
      <c r="J26" s="12">
        <f>abs(pred_GDP_now!J26-pred_GDP_now!$B26)</f>
        <v>0.1653867567</v>
      </c>
      <c r="K26" s="12">
        <f>abs(pred_GDP_now!K26-pred_GDP_now!$B26)</f>
        <v>0.817371</v>
      </c>
      <c r="L26" s="12">
        <f>abs(pred_GDP_now!L26-pred_GDP_now!$B26)</f>
        <v>0.007758482027</v>
      </c>
      <c r="M26" s="12">
        <f>abs(pred_GDP_now!M26-pred_GDP_now!$B26)</f>
        <v>0.38631095</v>
      </c>
      <c r="N26" s="12"/>
      <c r="O26" s="12">
        <f>abs(pred_GDP_now!O26-pred_GDP_now!$B26)</f>
        <v>0.01986165738</v>
      </c>
      <c r="P26" s="12">
        <f>abs(pred_GDP_now!P26-pred_GDP_now!$B26)</f>
        <v>0.2226475954</v>
      </c>
      <c r="Q26" s="12">
        <f>abs(pred_GDP_now!Q26-pred_GDP_now!$B26)</f>
        <v>0.193021</v>
      </c>
      <c r="R26" s="12">
        <f>abs(pred_GDP_now!R26-pred_GDP_now!$B26)</f>
        <v>0.258533</v>
      </c>
      <c r="S26" s="12"/>
      <c r="AA26" s="12">
        <f>abs(pred_GDP_now!AA26-pred_GDP_now!$B26)</f>
        <v>0.27516</v>
      </c>
      <c r="AB26" s="15" t="str">
        <f t="shared" si="1"/>
        <v>SVR-KNN</v>
      </c>
      <c r="AC26" s="13">
        <f t="shared" si="2"/>
        <v>0.007758482027</v>
      </c>
    </row>
    <row r="27">
      <c r="A27" s="11">
        <v>202206.0</v>
      </c>
      <c r="B27" s="10">
        <v>0.8</v>
      </c>
      <c r="C27" s="12">
        <f>abs(pred_GDP_now!C27-pred_GDP_now!$B27)</f>
        <v>0.4168639872</v>
      </c>
      <c r="D27" s="12">
        <f>abs(pred_GDP_now!D27-pred_GDP_now!$B27)</f>
        <v>0.426237</v>
      </c>
      <c r="E27" s="12">
        <f>abs(pred_GDP_now!E27-pred_GDP_now!$B27)</f>
        <v>0.40805</v>
      </c>
      <c r="F27" s="12">
        <f>abs(pred_GDP_now!F27-pred_GDP_now!$B27)</f>
        <v>0.350257</v>
      </c>
      <c r="G27" s="12"/>
      <c r="H27" s="12">
        <f>abs(pred_GDP_now!H27-pred_GDP_now!$B27)</f>
        <v>0.316168</v>
      </c>
      <c r="I27" s="12">
        <f>abs(pred_GDP_now!I27-pred_GDP_now!$B27)</f>
        <v>0.04005800957</v>
      </c>
      <c r="J27" s="12">
        <f>abs(pred_GDP_now!J27-pred_GDP_now!$B27)</f>
        <v>0.08283035926</v>
      </c>
      <c r="K27" s="12">
        <f>abs(pred_GDP_now!K27-pred_GDP_now!$B27)</f>
        <v>0.472369</v>
      </c>
      <c r="L27" s="12">
        <f>abs(pred_GDP_now!L27-pred_GDP_now!$B27)</f>
        <v>0.3165189403</v>
      </c>
      <c r="M27" s="12">
        <f>abs(pred_GDP_now!M27-pred_GDP_now!$B27)</f>
        <v>0.08045547</v>
      </c>
      <c r="N27" s="12"/>
      <c r="O27" s="12">
        <f>abs(pred_GDP_now!O27-pred_GDP_now!$B27)</f>
        <v>0.6143230895</v>
      </c>
      <c r="P27" s="12">
        <f>abs(pred_GDP_now!P27-pred_GDP_now!$B27)</f>
        <v>0.1652159572</v>
      </c>
      <c r="Q27" s="12">
        <f>abs(pred_GDP_now!Q27-pred_GDP_now!$B27)</f>
        <v>0.531389</v>
      </c>
      <c r="R27" s="12">
        <f>abs(pred_GDP_now!R27-pred_GDP_now!$B27)</f>
        <v>0.230859</v>
      </c>
      <c r="S27" s="12"/>
      <c r="AA27" s="12">
        <f>abs(pred_GDP_now!AA27-pred_GDP_now!$B27)</f>
        <v>0.316168</v>
      </c>
      <c r="AB27" s="15" t="str">
        <f t="shared" si="1"/>
        <v>TFM</v>
      </c>
      <c r="AC27" s="13">
        <f t="shared" si="2"/>
        <v>0.04005800957</v>
      </c>
    </row>
    <row r="28">
      <c r="A28" s="11">
        <v>202209.0</v>
      </c>
      <c r="B28" s="10">
        <v>0.2</v>
      </c>
      <c r="C28" s="12">
        <f>abs(pred_GDP_now!C28-pred_GDP_now!$B28)</f>
        <v>0.2351820861</v>
      </c>
      <c r="D28" s="12">
        <f>abs(pred_GDP_now!D28-pred_GDP_now!$B28)</f>
        <v>0.000072</v>
      </c>
      <c r="E28" s="12">
        <f>abs(pred_GDP_now!E28-pred_GDP_now!$B28)</f>
        <v>0.104746</v>
      </c>
      <c r="F28" s="12">
        <f>abs(pred_GDP_now!F28-pred_GDP_now!$B28)</f>
        <v>0.140619</v>
      </c>
      <c r="G28" s="12"/>
      <c r="H28" s="12">
        <f>abs(pred_GDP_now!H28-pred_GDP_now!$B28)</f>
        <v>0.84117</v>
      </c>
      <c r="I28" s="12">
        <f>abs(pred_GDP_now!I28-pred_GDP_now!$B28)</f>
        <v>0.08993776928</v>
      </c>
      <c r="J28" s="12">
        <f>abs(pred_GDP_now!J28-pred_GDP_now!$B28)</f>
        <v>0.2223978063</v>
      </c>
      <c r="K28" s="12">
        <f>abs(pred_GDP_now!K28-pred_GDP_now!$B28)</f>
        <v>0.673112</v>
      </c>
      <c r="L28" s="12">
        <f>abs(pred_GDP_now!L28-pred_GDP_now!$B28)</f>
        <v>0.4200469423</v>
      </c>
      <c r="M28" s="12">
        <f>abs(pred_GDP_now!M28-pred_GDP_now!$B28)</f>
        <v>0.48461347</v>
      </c>
      <c r="N28" s="12"/>
      <c r="O28" s="12">
        <f>abs(pred_GDP_now!O28-pred_GDP_now!$B28)</f>
        <v>0.0971389653</v>
      </c>
      <c r="P28" s="12">
        <f>abs(pred_GDP_now!P28-pred_GDP_now!$B28)</f>
        <v>0.4409762502</v>
      </c>
      <c r="Q28" s="12">
        <f>abs(pred_GDP_now!Q28-pred_GDP_now!$B28)</f>
        <v>0.388907</v>
      </c>
      <c r="R28" s="12">
        <f>abs(pred_GDP_now!R28-pred_GDP_now!$B28)</f>
        <v>0.396038</v>
      </c>
      <c r="S28" s="12"/>
      <c r="AA28" s="12">
        <f>abs(pred_GDP_now!AA28-pred_GDP_now!$B28)</f>
        <v>0.84117</v>
      </c>
      <c r="AB28" s="15" t="str">
        <f t="shared" si="1"/>
        <v>BEM1</v>
      </c>
      <c r="AC28" s="13">
        <f t="shared" si="2"/>
        <v>0.000072</v>
      </c>
    </row>
    <row r="29">
      <c r="A29" s="11">
        <v>202212.0</v>
      </c>
      <c r="B29" s="10">
        <v>-0.3</v>
      </c>
      <c r="C29" s="12">
        <f>abs(pred_GDP_now!C29-pred_GDP_now!$B29)</f>
        <v>0.5093265832</v>
      </c>
      <c r="D29" s="12">
        <f>abs(pred_GDP_now!D29-pred_GDP_now!$B29)</f>
        <v>0.48486</v>
      </c>
      <c r="E29" s="12">
        <f>abs(pred_GDP_now!E29-pred_GDP_now!$B29)</f>
        <v>0.63253</v>
      </c>
      <c r="F29" s="12">
        <f>abs(pred_GDP_now!F29-pred_GDP_now!$B29)</f>
        <v>0.25036</v>
      </c>
      <c r="G29" s="12"/>
      <c r="H29" s="12">
        <f>abs(pred_GDP_now!H29-pred_GDP_now!$B29)</f>
        <v>0.26236</v>
      </c>
      <c r="I29" s="12">
        <f>abs(pred_GDP_now!I29-pred_GDP_now!$B29)</f>
        <v>0.304307387</v>
      </c>
      <c r="J29" s="12">
        <f>abs(pred_GDP_now!J29-pred_GDP_now!$B29)</f>
        <v>0.7588556508</v>
      </c>
      <c r="K29" s="12">
        <f>abs(pred_GDP_now!K29-pred_GDP_now!$B29)</f>
        <v>0.13845</v>
      </c>
      <c r="L29" s="12">
        <f>abs(pred_GDP_now!L29-pred_GDP_now!$B29)</f>
        <v>0.3456494335</v>
      </c>
      <c r="M29" s="12">
        <f>abs(pred_GDP_now!M29-pred_GDP_now!$B29)</f>
        <v>0.28131605</v>
      </c>
      <c r="N29" s="12"/>
      <c r="O29" s="12">
        <f>abs(pred_GDP_now!O29-pred_GDP_now!$B29)</f>
        <v>0.4549300603</v>
      </c>
      <c r="P29" s="12">
        <f>abs(pred_GDP_now!P29-pred_GDP_now!$B29)</f>
        <v>0.5817533314</v>
      </c>
      <c r="Q29" s="12">
        <f>abs(pred_GDP_now!Q29-pred_GDP_now!$B29)</f>
        <v>0.414974</v>
      </c>
      <c r="R29" s="12">
        <f>abs(pred_GDP_now!R29-pred_GDP_now!$B29)</f>
        <v>0.135121</v>
      </c>
      <c r="S29" s="12"/>
      <c r="AA29" s="12">
        <f>abs(pred_GDP_now!AA29-pred_GDP_now!$B29)</f>
        <v>0.26236</v>
      </c>
      <c r="AB29" s="15" t="str">
        <f t="shared" si="1"/>
        <v>OptimARIMA</v>
      </c>
      <c r="AC29" s="13">
        <f t="shared" si="2"/>
        <v>0.135121</v>
      </c>
    </row>
    <row r="30">
      <c r="A30" s="11">
        <v>202303.0</v>
      </c>
      <c r="B30" s="10">
        <v>0.3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O30" s="12"/>
      <c r="AA30" s="12"/>
    </row>
    <row r="32">
      <c r="A32" s="13">
        <f t="shared" ref="A32:A34" si="6">average(C32:Q32)</f>
        <v>0.5099454457</v>
      </c>
      <c r="B32" s="2" t="s">
        <v>118</v>
      </c>
      <c r="C32" s="13">
        <f t="shared" ref="C32:F32" si="3">AVERAGE(C2:C30)</f>
        <v>0.5537603604</v>
      </c>
      <c r="D32" s="13">
        <f t="shared" si="3"/>
        <v>0.42167925</v>
      </c>
      <c r="E32" s="13">
        <f t="shared" si="3"/>
        <v>0.4134126786</v>
      </c>
      <c r="F32" s="13">
        <f t="shared" si="3"/>
        <v>0.4730564286</v>
      </c>
      <c r="H32" s="13">
        <f t="shared" ref="H32:M32" si="4">AVERAGE(H2:H30)</f>
        <v>0.8269608571</v>
      </c>
      <c r="I32" s="13">
        <f t="shared" si="4"/>
        <v>0.4722710659</v>
      </c>
      <c r="J32" s="13">
        <f t="shared" si="4"/>
        <v>0.532045142</v>
      </c>
      <c r="K32" s="13">
        <f t="shared" si="4"/>
        <v>0.5278173571</v>
      </c>
      <c r="L32" s="13">
        <f t="shared" si="4"/>
        <v>0.3544062622</v>
      </c>
      <c r="M32" s="13">
        <f t="shared" si="4"/>
        <v>0.6031066584</v>
      </c>
      <c r="O32" s="13">
        <f t="shared" ref="O32:R32" si="5">AVERAGE(O2:O30)</f>
        <v>0.5217753836</v>
      </c>
      <c r="P32" s="13">
        <f t="shared" si="5"/>
        <v>0.506806172</v>
      </c>
      <c r="Q32" s="13">
        <f t="shared" si="5"/>
        <v>0.4221931786</v>
      </c>
      <c r="R32" s="13">
        <f t="shared" si="5"/>
        <v>0.4216479286</v>
      </c>
      <c r="AA32" s="13">
        <f>AVERAGE(AA2:AA30)</f>
        <v>0.8269608571</v>
      </c>
      <c r="AC32" s="13">
        <f>AVERAGE(AC2:AC30)</f>
        <v>0.1013495159</v>
      </c>
    </row>
    <row r="33">
      <c r="A33" s="13">
        <f t="shared" si="6"/>
        <v>0.7308423373</v>
      </c>
      <c r="B33" s="2" t="s">
        <v>119</v>
      </c>
      <c r="C33" s="13">
        <f t="shared" ref="C33:F33" si="7">(sumsq(C2:C30)/count(C2:C30))^(0.5)</f>
        <v>0.7532134863</v>
      </c>
      <c r="D33" s="13">
        <f t="shared" si="7"/>
        <v>0.6047709984</v>
      </c>
      <c r="E33" s="13">
        <f t="shared" si="7"/>
        <v>0.5893854257</v>
      </c>
      <c r="F33" s="13">
        <f t="shared" si="7"/>
        <v>0.7255204718</v>
      </c>
      <c r="G33" s="13"/>
      <c r="H33" s="13">
        <f t="shared" ref="H33:M33" si="8">(sumsq(H2:H30)/count(H2:H30))^(0.5)</f>
        <v>1.27042362</v>
      </c>
      <c r="I33" s="13">
        <f t="shared" si="8"/>
        <v>0.6738789549</v>
      </c>
      <c r="J33" s="13">
        <f t="shared" si="8"/>
        <v>0.850539626</v>
      </c>
      <c r="K33" s="13">
        <f t="shared" si="8"/>
        <v>0.7022965984</v>
      </c>
      <c r="L33" s="13">
        <f t="shared" si="8"/>
        <v>0.6140768167</v>
      </c>
      <c r="M33" s="13">
        <f t="shared" si="8"/>
        <v>0.8513745232</v>
      </c>
      <c r="N33" s="13"/>
      <c r="O33" s="13">
        <f t="shared" ref="O33:R33" si="9">(sumsq(O2:O30)/count(O2:O30))^(0.5)</f>
        <v>0.7012773978</v>
      </c>
      <c r="P33" s="13">
        <f t="shared" si="9"/>
        <v>0.6155642941</v>
      </c>
      <c r="Q33" s="13">
        <f t="shared" si="9"/>
        <v>0.5486281723</v>
      </c>
      <c r="R33" s="13">
        <f t="shared" si="9"/>
        <v>0.5668713578</v>
      </c>
      <c r="S33" s="13"/>
      <c r="AA33" s="13">
        <f>(sumsq(AA2:AA30)/count(AA2:AA30))^(0.5)</f>
        <v>1.27042362</v>
      </c>
      <c r="AC33" s="13">
        <f>(sumsq(AC2:AC30)/count(AC2:AC30))^(0.5)</f>
        <v>0.1946675843</v>
      </c>
    </row>
    <row r="34">
      <c r="A34" s="13">
        <f t="shared" si="6"/>
        <v>2.434763154</v>
      </c>
      <c r="B34" s="2" t="s">
        <v>120</v>
      </c>
      <c r="C34" s="13">
        <f t="shared" ref="C34:F34" si="10">MAX(C2:C30)</f>
        <v>2.455017562</v>
      </c>
      <c r="D34" s="13">
        <f t="shared" si="10"/>
        <v>1.74597</v>
      </c>
      <c r="E34" s="13">
        <f t="shared" si="10"/>
        <v>1.83879</v>
      </c>
      <c r="F34" s="13">
        <f t="shared" si="10"/>
        <v>2.50811</v>
      </c>
      <c r="H34" s="13">
        <f t="shared" ref="H34:M34" si="11">MAX(H2:H30)</f>
        <v>4.82413</v>
      </c>
      <c r="I34" s="13">
        <f t="shared" si="11"/>
        <v>2.119151561</v>
      </c>
      <c r="J34" s="13">
        <f t="shared" si="11"/>
        <v>3.253357557</v>
      </c>
      <c r="K34" s="13">
        <f t="shared" si="11"/>
        <v>2.139619</v>
      </c>
      <c r="L34" s="13">
        <f t="shared" si="11"/>
        <v>2.283090413</v>
      </c>
      <c r="M34" s="13">
        <f t="shared" si="11"/>
        <v>3.39227682</v>
      </c>
      <c r="O34" s="13">
        <f t="shared" ref="O34:R34" si="12">MAX(O2:O30)</f>
        <v>2.015100987</v>
      </c>
      <c r="P34" s="13">
        <f t="shared" si="12"/>
        <v>1.600211102</v>
      </c>
      <c r="Q34" s="13">
        <f t="shared" si="12"/>
        <v>1.477096</v>
      </c>
      <c r="R34" s="13">
        <f t="shared" si="12"/>
        <v>1.555817</v>
      </c>
      <c r="AA34" s="13">
        <f>MAX(AA2:AA30)</f>
        <v>4.82413</v>
      </c>
      <c r="AC34" s="13">
        <f>MAX(AC2:AC30)</f>
        <v>0.654928</v>
      </c>
    </row>
    <row r="36">
      <c r="A36" s="13">
        <f t="shared" ref="A36:A38" si="16">average(C36:Q36)</f>
        <v>0.5606335754</v>
      </c>
      <c r="B36" s="2" t="s">
        <v>118</v>
      </c>
      <c r="C36" s="13">
        <f t="shared" ref="C36:F36" si="13">AVERAGE(C7:C30)</f>
        <v>0.6197165953</v>
      </c>
      <c r="D36" s="13">
        <f t="shared" si="13"/>
        <v>0.4757111739</v>
      </c>
      <c r="E36" s="13">
        <f t="shared" si="13"/>
        <v>0.4657816522</v>
      </c>
      <c r="F36" s="13">
        <f t="shared" si="13"/>
        <v>0.5396606522</v>
      </c>
      <c r="H36" s="13">
        <f t="shared" ref="H36:M36" si="14">AVERAGE(H7:H30)</f>
        <v>0.9106936957</v>
      </c>
      <c r="I36" s="13">
        <f t="shared" si="14"/>
        <v>0.5140240437</v>
      </c>
      <c r="J36" s="13">
        <f t="shared" si="14"/>
        <v>0.59125369</v>
      </c>
      <c r="K36" s="13">
        <f t="shared" si="14"/>
        <v>0.5697645652</v>
      </c>
      <c r="L36" s="13">
        <f t="shared" si="14"/>
        <v>0.3861383143</v>
      </c>
      <c r="M36" s="13">
        <f t="shared" si="14"/>
        <v>0.6441372006</v>
      </c>
      <c r="O36" s="13">
        <f t="shared" ref="O36:R36" si="15">AVERAGE(O7:O30)</f>
        <v>0.5724390295</v>
      </c>
      <c r="P36" s="13">
        <f t="shared" si="15"/>
        <v>0.5317406506</v>
      </c>
      <c r="Q36" s="13">
        <f t="shared" si="15"/>
        <v>0.4671752174</v>
      </c>
      <c r="R36" s="13">
        <f t="shared" si="15"/>
        <v>0.4457884783</v>
      </c>
    </row>
    <row r="37">
      <c r="A37" s="13">
        <f t="shared" si="16"/>
        <v>0.7908434696</v>
      </c>
      <c r="B37" s="2" t="s">
        <v>119</v>
      </c>
      <c r="C37" s="13">
        <f t="shared" ref="C37:F37" si="17">(sumsq(C7:C30)/count(C7:C30))^(0.5)</f>
        <v>0.819575493</v>
      </c>
      <c r="D37" s="13">
        <f t="shared" si="17"/>
        <v>0.6611586043</v>
      </c>
      <c r="E37" s="13">
        <f t="shared" si="17"/>
        <v>0.64341723</v>
      </c>
      <c r="F37" s="13">
        <f t="shared" si="17"/>
        <v>0.7951386953</v>
      </c>
      <c r="G37" s="13"/>
      <c r="H37" s="13">
        <f t="shared" ref="H37:M37" si="18">(sumsq(H7:H30)/count(H7:H30))^(0.5)</f>
        <v>1.380904192</v>
      </c>
      <c r="I37" s="13">
        <f t="shared" si="18"/>
        <v>0.7263968212</v>
      </c>
      <c r="J37" s="13">
        <f t="shared" si="18"/>
        <v>0.9274768019</v>
      </c>
      <c r="K37" s="13">
        <f t="shared" si="18"/>
        <v>0.7530653089</v>
      </c>
      <c r="L37" s="13">
        <f t="shared" si="18"/>
        <v>0.6610752736</v>
      </c>
      <c r="M37" s="13">
        <f t="shared" si="18"/>
        <v>0.9162791777</v>
      </c>
      <c r="N37" s="13"/>
      <c r="O37" s="13">
        <f t="shared" ref="O37:R37" si="19">(sumsq(O7:O30)/count(O7:O30))^(0.5)</f>
        <v>0.759445912</v>
      </c>
      <c r="P37" s="13">
        <f t="shared" si="19"/>
        <v>0.6490420972</v>
      </c>
      <c r="Q37" s="13">
        <f t="shared" si="19"/>
        <v>0.5879894977</v>
      </c>
      <c r="R37" s="13">
        <f t="shared" si="19"/>
        <v>0.5964054153</v>
      </c>
      <c r="S37" s="13"/>
    </row>
    <row r="38">
      <c r="A38" s="13">
        <f t="shared" si="16"/>
        <v>2.434763154</v>
      </c>
      <c r="B38" s="2" t="s">
        <v>120</v>
      </c>
      <c r="C38" s="13">
        <f t="shared" ref="C38:F38" si="20">MAX(C7:C30)</f>
        <v>2.455017562</v>
      </c>
      <c r="D38" s="13">
        <f t="shared" si="20"/>
        <v>1.74597</v>
      </c>
      <c r="E38" s="13">
        <f t="shared" si="20"/>
        <v>1.83879</v>
      </c>
      <c r="F38" s="13">
        <f t="shared" si="20"/>
        <v>2.50811</v>
      </c>
      <c r="H38" s="13">
        <f t="shared" ref="H38:M38" si="21">MAX(H7:H30)</f>
        <v>4.82413</v>
      </c>
      <c r="I38" s="13">
        <f t="shared" si="21"/>
        <v>2.119151561</v>
      </c>
      <c r="J38" s="13">
        <f t="shared" si="21"/>
        <v>3.253357557</v>
      </c>
      <c r="K38" s="13">
        <f t="shared" si="21"/>
        <v>2.139619</v>
      </c>
      <c r="L38" s="13">
        <f t="shared" si="21"/>
        <v>2.283090413</v>
      </c>
      <c r="M38" s="13">
        <f t="shared" si="21"/>
        <v>3.39227682</v>
      </c>
      <c r="O38" s="13">
        <f t="shared" ref="O38:R38" si="22">MAX(O7:O30)</f>
        <v>2.015100987</v>
      </c>
      <c r="P38" s="13">
        <f t="shared" si="22"/>
        <v>1.600211102</v>
      </c>
      <c r="Q38" s="13">
        <f t="shared" si="22"/>
        <v>1.477096</v>
      </c>
      <c r="R38" s="13">
        <f t="shared" si="22"/>
        <v>1.555817</v>
      </c>
    </row>
    <row r="40">
      <c r="A40" s="13">
        <f t="shared" ref="A40:A42" si="26">average(C40:Q40)</f>
        <v>0.4154272142</v>
      </c>
      <c r="B40" s="2" t="s">
        <v>118</v>
      </c>
      <c r="C40" s="13">
        <f t="shared" ref="C40:F40" si="23">AVERAGE(C7:C17)</f>
        <v>0.3885936448</v>
      </c>
      <c r="D40" s="13">
        <f t="shared" si="23"/>
        <v>0.4352432727</v>
      </c>
      <c r="E40" s="13">
        <f t="shared" si="23"/>
        <v>0.4533048182</v>
      </c>
      <c r="F40" s="13">
        <f t="shared" si="23"/>
        <v>0.4206693636</v>
      </c>
      <c r="H40" s="13">
        <f t="shared" ref="H40:M40" si="24">AVERAGE(H7:H17)</f>
        <v>0.5517515455</v>
      </c>
      <c r="I40" s="13">
        <f t="shared" si="24"/>
        <v>0.3746979063</v>
      </c>
      <c r="J40" s="13">
        <f t="shared" si="24"/>
        <v>0.3642415524</v>
      </c>
      <c r="K40" s="13">
        <f t="shared" si="24"/>
        <v>0.3146164545</v>
      </c>
      <c r="L40" s="13">
        <f t="shared" si="24"/>
        <v>0.2266728226</v>
      </c>
      <c r="M40" s="13">
        <f t="shared" si="24"/>
        <v>0.5111938395</v>
      </c>
      <c r="O40" s="13">
        <f t="shared" ref="O40:R40" si="25">AVERAGE(O7:O17)</f>
        <v>0.3950983509</v>
      </c>
      <c r="P40" s="13">
        <f t="shared" si="25"/>
        <v>0.5595523958</v>
      </c>
      <c r="Q40" s="13">
        <f t="shared" si="25"/>
        <v>0.4049178182</v>
      </c>
      <c r="R40" s="13">
        <f t="shared" si="25"/>
        <v>0.3226236364</v>
      </c>
    </row>
    <row r="41">
      <c r="A41" s="13">
        <f t="shared" si="26"/>
        <v>0.5263620587</v>
      </c>
      <c r="B41" s="2" t="s">
        <v>119</v>
      </c>
      <c r="C41" s="13">
        <f t="shared" ref="C41:F41" si="27">(sumsq(C7:C17)/count(C7:C17))^(0.5)</f>
        <v>0.4694908385</v>
      </c>
      <c r="D41" s="13">
        <f t="shared" si="27"/>
        <v>0.5988504825</v>
      </c>
      <c r="E41" s="13">
        <f t="shared" si="27"/>
        <v>0.5657238321</v>
      </c>
      <c r="F41" s="13">
        <f t="shared" si="27"/>
        <v>0.5601199415</v>
      </c>
      <c r="G41" s="13"/>
      <c r="H41" s="13">
        <f t="shared" ref="H41:M41" si="28">(sumsq(H7:H17)/count(H7:H17))^(0.5)</f>
        <v>0.7082743595</v>
      </c>
      <c r="I41" s="13">
        <f t="shared" si="28"/>
        <v>0.4928601639</v>
      </c>
      <c r="J41" s="13">
        <f t="shared" si="28"/>
        <v>0.4920848382</v>
      </c>
      <c r="K41" s="13">
        <f t="shared" si="28"/>
        <v>0.4060918079</v>
      </c>
      <c r="L41" s="13">
        <f t="shared" si="28"/>
        <v>0.3209950883</v>
      </c>
      <c r="M41" s="13">
        <f t="shared" si="28"/>
        <v>0.5958168093</v>
      </c>
      <c r="N41" s="13"/>
      <c r="O41" s="13">
        <f t="shared" ref="O41:R41" si="29">(sumsq(O7:O17)/count(O7:O17))^(0.5)</f>
        <v>0.4972550977</v>
      </c>
      <c r="P41" s="13">
        <f t="shared" si="29"/>
        <v>0.651991579</v>
      </c>
      <c r="Q41" s="13">
        <f t="shared" si="29"/>
        <v>0.483151925</v>
      </c>
      <c r="R41" s="13">
        <f t="shared" si="29"/>
        <v>0.3808241419</v>
      </c>
      <c r="S41" s="13"/>
    </row>
    <row r="42">
      <c r="A42" s="13">
        <f t="shared" si="26"/>
        <v>1.112475674</v>
      </c>
      <c r="B42" s="2" t="s">
        <v>120</v>
      </c>
      <c r="C42" s="13">
        <f t="shared" ref="C42:F42" si="30">MAX(C7:C17)</f>
        <v>1.010096886</v>
      </c>
      <c r="D42" s="13">
        <f t="shared" si="30"/>
        <v>1.252379</v>
      </c>
      <c r="E42" s="13">
        <f t="shared" si="30"/>
        <v>1.124247</v>
      </c>
      <c r="F42" s="13">
        <f t="shared" si="30"/>
        <v>1.195778</v>
      </c>
      <c r="H42" s="13">
        <f t="shared" ref="H42:M42" si="31">MAX(H7:H17)</f>
        <v>1.687553</v>
      </c>
      <c r="I42" s="13">
        <f t="shared" si="31"/>
        <v>1.172119605</v>
      </c>
      <c r="J42" s="13">
        <f t="shared" si="31"/>
        <v>1.194160425</v>
      </c>
      <c r="K42" s="13">
        <f t="shared" si="31"/>
        <v>0.994095</v>
      </c>
      <c r="L42" s="13">
        <f t="shared" si="31"/>
        <v>0.8121252927</v>
      </c>
      <c r="M42" s="13">
        <f t="shared" si="31"/>
        <v>1.01935225</v>
      </c>
      <c r="O42" s="13">
        <f t="shared" ref="O42:R42" si="32">MAX(O7:O17)</f>
        <v>1.043252139</v>
      </c>
      <c r="P42" s="13">
        <f t="shared" si="32"/>
        <v>1.122979169</v>
      </c>
      <c r="Q42" s="13">
        <f t="shared" si="32"/>
        <v>0.834046</v>
      </c>
      <c r="R42" s="13">
        <f t="shared" si="32"/>
        <v>0.778414</v>
      </c>
    </row>
    <row r="44">
      <c r="A44" s="13">
        <f t="shared" ref="A44:A46" si="36">average(C44:Q44)</f>
        <v>0.8768691553</v>
      </c>
      <c r="B44" s="2" t="s">
        <v>118</v>
      </c>
      <c r="C44" s="13">
        <f t="shared" ref="C44:F44" si="33">AVERAGE(C18:C25)</f>
        <v>1.035341289</v>
      </c>
      <c r="D44" s="13">
        <f t="shared" si="33"/>
        <v>0.637288125</v>
      </c>
      <c r="E44" s="13">
        <f t="shared" si="33"/>
        <v>0.55559625</v>
      </c>
      <c r="F44" s="13">
        <f t="shared" si="33"/>
        <v>0.85836575</v>
      </c>
      <c r="H44" s="13">
        <f t="shared" ref="H44:M44" si="34">AVERAGE(H18:H25)</f>
        <v>1.64772875</v>
      </c>
      <c r="I44" s="13">
        <f t="shared" si="34"/>
        <v>0.8870896593</v>
      </c>
      <c r="J44" s="13">
        <f t="shared" si="34"/>
        <v>1.045338402</v>
      </c>
      <c r="K44" s="13">
        <f t="shared" si="34"/>
        <v>0.94281275</v>
      </c>
      <c r="L44" s="13">
        <f t="shared" si="34"/>
        <v>0.6622257979</v>
      </c>
      <c r="M44" s="13">
        <f t="shared" si="34"/>
        <v>0.99491593</v>
      </c>
      <c r="O44" s="13">
        <f t="shared" ref="O44:R44" si="35">AVERAGE(O18:O25)</f>
        <v>0.9542202558</v>
      </c>
      <c r="P44" s="13">
        <f t="shared" si="35"/>
        <v>0.5830456845</v>
      </c>
      <c r="Q44" s="13">
        <f t="shared" si="35"/>
        <v>0.595330375</v>
      </c>
      <c r="R44" s="13">
        <f t="shared" si="35"/>
        <v>0.7104655</v>
      </c>
    </row>
    <row r="45">
      <c r="A45" s="13">
        <f t="shared" si="36"/>
        <v>1.144506943</v>
      </c>
      <c r="B45" s="2" t="s">
        <v>119</v>
      </c>
      <c r="C45" s="13">
        <f t="shared" ref="C45:F45" si="37">(sumsq(C18:C25)/count(C18:C25))^(0.5)</f>
        <v>1.237436402</v>
      </c>
      <c r="D45" s="13">
        <f t="shared" si="37"/>
        <v>0.8419918597</v>
      </c>
      <c r="E45" s="13">
        <f t="shared" si="37"/>
        <v>0.8219628139</v>
      </c>
      <c r="F45" s="13">
        <f t="shared" si="37"/>
        <v>1.164808117</v>
      </c>
      <c r="G45" s="13"/>
      <c r="H45" s="13">
        <f t="shared" ref="H45:M45" si="38">(sumsq(H18:H25)/count(H18:H25))^(0.5)</f>
        <v>2.161838446</v>
      </c>
      <c r="I45" s="13">
        <f t="shared" si="38"/>
        <v>1.080094553</v>
      </c>
      <c r="J45" s="13">
        <f t="shared" si="38"/>
        <v>1.434474874</v>
      </c>
      <c r="K45" s="13">
        <f t="shared" si="38"/>
        <v>1.110516611</v>
      </c>
      <c r="L45" s="13">
        <f t="shared" si="38"/>
        <v>1.032103325</v>
      </c>
      <c r="M45" s="13">
        <f t="shared" si="38"/>
        <v>1.366353756</v>
      </c>
      <c r="N45" s="13"/>
      <c r="O45" s="13">
        <f t="shared" ref="O45:R45" si="39">(sumsq(O18:O25)/count(O18:O25))^(0.5)</f>
        <v>1.115311756</v>
      </c>
      <c r="P45" s="13">
        <f t="shared" si="39"/>
        <v>0.7418803259</v>
      </c>
      <c r="Q45" s="13">
        <f t="shared" si="39"/>
        <v>0.7698174196</v>
      </c>
      <c r="R45" s="13">
        <f t="shared" si="39"/>
        <v>0.8867461853</v>
      </c>
      <c r="S45" s="13"/>
    </row>
    <row r="46">
      <c r="A46" s="13">
        <f t="shared" si="36"/>
        <v>2.434763154</v>
      </c>
      <c r="B46" s="2" t="s">
        <v>120</v>
      </c>
      <c r="C46" s="13">
        <f t="shared" ref="C46:F46" si="40">MAX(C18:C25)</f>
        <v>2.455017562</v>
      </c>
      <c r="D46" s="13">
        <f t="shared" si="40"/>
        <v>1.74597</v>
      </c>
      <c r="E46" s="13">
        <f t="shared" si="40"/>
        <v>1.83879</v>
      </c>
      <c r="F46" s="13">
        <f t="shared" si="40"/>
        <v>2.50811</v>
      </c>
      <c r="H46" s="13">
        <f t="shared" ref="H46:M46" si="41">MAX(H18:H25)</f>
        <v>4.82413</v>
      </c>
      <c r="I46" s="13">
        <f t="shared" si="41"/>
        <v>2.119151561</v>
      </c>
      <c r="J46" s="13">
        <f t="shared" si="41"/>
        <v>3.253357557</v>
      </c>
      <c r="K46" s="13">
        <f t="shared" si="41"/>
        <v>2.139619</v>
      </c>
      <c r="L46" s="13">
        <f t="shared" si="41"/>
        <v>2.283090413</v>
      </c>
      <c r="M46" s="13">
        <f t="shared" si="41"/>
        <v>3.39227682</v>
      </c>
      <c r="O46" s="13">
        <f t="shared" ref="O46:R46" si="42">MAX(O18:O25)</f>
        <v>2.015100987</v>
      </c>
      <c r="P46" s="13">
        <f t="shared" si="42"/>
        <v>1.600211102</v>
      </c>
      <c r="Q46" s="13">
        <f t="shared" si="42"/>
        <v>1.477096</v>
      </c>
      <c r="R46" s="13">
        <f t="shared" si="42"/>
        <v>1.555817</v>
      </c>
    </row>
    <row r="48">
      <c r="A48" s="13">
        <f t="shared" ref="A48:A50" si="46">average(C48:Q48)</f>
        <v>0.4710687836</v>
      </c>
      <c r="B48" s="15" t="s">
        <v>118</v>
      </c>
      <c r="C48" s="13">
        <f t="shared" ref="C48:F48" si="43">AVERAGE(C20:C30)</f>
        <v>0.6263322784</v>
      </c>
      <c r="D48" s="13">
        <f t="shared" si="43"/>
        <v>0.3112461</v>
      </c>
      <c r="E48" s="13">
        <f t="shared" si="43"/>
        <v>0.2734445</v>
      </c>
      <c r="F48" s="13">
        <f t="shared" si="43"/>
        <v>0.3796553</v>
      </c>
      <c r="H48" s="13">
        <f t="shared" ref="H48:M48" si="44">AVERAGE(H20:H30)</f>
        <v>0.8473191</v>
      </c>
      <c r="I48" s="13">
        <f t="shared" si="44"/>
        <v>0.4317740624</v>
      </c>
      <c r="J48" s="13">
        <f t="shared" si="44"/>
        <v>0.4414704109</v>
      </c>
      <c r="K48" s="13">
        <f t="shared" si="44"/>
        <v>0.5957485</v>
      </c>
      <c r="L48" s="13">
        <f t="shared" si="44"/>
        <v>0.2572815959</v>
      </c>
      <c r="M48" s="13">
        <f t="shared" si="44"/>
        <v>0.522106522</v>
      </c>
      <c r="O48" s="13">
        <f t="shared" ref="O48:R48" si="45">AVERAGE(O20:O30)</f>
        <v>0.5447508984</v>
      </c>
      <c r="P48" s="13">
        <f t="shared" si="45"/>
        <v>0.4310321182</v>
      </c>
      <c r="Q48" s="13">
        <f t="shared" si="45"/>
        <v>0.4617328</v>
      </c>
      <c r="R48" s="13">
        <f t="shared" si="45"/>
        <v>0.3815855</v>
      </c>
    </row>
    <row r="49">
      <c r="A49" s="13">
        <f t="shared" si="46"/>
        <v>0.5849452127</v>
      </c>
      <c r="B49" s="15" t="s">
        <v>119</v>
      </c>
      <c r="C49" s="13">
        <f t="shared" ref="C49:F49" si="47">(sumsq(C20:C30)/count(C20:C30))^(0.5)</f>
        <v>0.7354115622</v>
      </c>
      <c r="D49" s="13">
        <f t="shared" si="47"/>
        <v>0.371898023</v>
      </c>
      <c r="E49" s="13">
        <f t="shared" si="47"/>
        <v>0.3591290408</v>
      </c>
      <c r="F49" s="13">
        <f t="shared" si="47"/>
        <v>0.5107889634</v>
      </c>
      <c r="G49" s="13"/>
      <c r="H49" s="13">
        <f t="shared" ref="H49:M49" si="48">(sumsq(H20:H30)/count(H20:H30))^(0.5)</f>
        <v>1.121329939</v>
      </c>
      <c r="I49" s="13">
        <f t="shared" si="48"/>
        <v>0.5809924954</v>
      </c>
      <c r="J49" s="13">
        <f t="shared" si="48"/>
        <v>0.5324212041</v>
      </c>
      <c r="K49" s="13">
        <f t="shared" si="48"/>
        <v>0.6526256806</v>
      </c>
      <c r="L49" s="13">
        <f t="shared" si="48"/>
        <v>0.3686348306</v>
      </c>
      <c r="M49" s="13">
        <f t="shared" si="48"/>
        <v>0.5968806193</v>
      </c>
      <c r="N49" s="13"/>
      <c r="O49" s="13">
        <f t="shared" ref="O49:R49" si="49">(sumsq(O20:O30)/count(O20:O30))^(0.5)</f>
        <v>0.6813489978</v>
      </c>
      <c r="P49" s="13">
        <f t="shared" si="49"/>
        <v>0.4924576137</v>
      </c>
      <c r="Q49" s="13">
        <f t="shared" si="49"/>
        <v>0.6003687951</v>
      </c>
      <c r="R49" s="13">
        <f t="shared" si="49"/>
        <v>0.4888140809</v>
      </c>
      <c r="S49" s="13"/>
    </row>
    <row r="50">
      <c r="A50" s="13">
        <f t="shared" si="46"/>
        <v>1.134642667</v>
      </c>
      <c r="B50" s="15" t="s">
        <v>120</v>
      </c>
      <c r="C50" s="13">
        <f t="shared" ref="C50:F50" si="50">MAX(C20:C30)</f>
        <v>1.483217518</v>
      </c>
      <c r="D50" s="13">
        <f t="shared" si="50"/>
        <v>0.664946</v>
      </c>
      <c r="E50" s="13">
        <f t="shared" si="50"/>
        <v>0.67414</v>
      </c>
      <c r="F50" s="13">
        <f t="shared" si="50"/>
        <v>1.227353</v>
      </c>
      <c r="H50" s="13">
        <f t="shared" ref="H50:M50" si="51">MAX(H20:H30)</f>
        <v>2.095491</v>
      </c>
      <c r="I50" s="13">
        <f t="shared" si="51"/>
        <v>1.071539653</v>
      </c>
      <c r="J50" s="13">
        <f t="shared" si="51"/>
        <v>0.8236262501</v>
      </c>
      <c r="K50" s="13">
        <f t="shared" si="51"/>
        <v>1.085918</v>
      </c>
      <c r="L50" s="13">
        <f t="shared" si="51"/>
        <v>0.9444527374</v>
      </c>
      <c r="M50" s="13">
        <f t="shared" si="51"/>
        <v>1.03604664</v>
      </c>
      <c r="O50" s="13">
        <f t="shared" ref="O50:R50" si="52">MAX(O20:O30)</f>
        <v>1.360508369</v>
      </c>
      <c r="P50" s="13">
        <f t="shared" si="52"/>
        <v>0.8060195088</v>
      </c>
      <c r="Q50" s="13">
        <f t="shared" si="52"/>
        <v>1.477096</v>
      </c>
      <c r="R50" s="13">
        <f t="shared" si="52"/>
        <v>1.2136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9"/>
      <c r="B1" s="10" t="s">
        <v>102</v>
      </c>
      <c r="C1" s="2" t="s">
        <v>121</v>
      </c>
      <c r="D1" s="2" t="s">
        <v>122</v>
      </c>
      <c r="E1" s="2" t="s">
        <v>123</v>
      </c>
      <c r="F1" s="2" t="s">
        <v>124</v>
      </c>
      <c r="H1" s="2" t="s">
        <v>76</v>
      </c>
      <c r="I1" s="2" t="s">
        <v>56</v>
      </c>
      <c r="J1" s="2" t="s">
        <v>125</v>
      </c>
      <c r="K1" s="2" t="s">
        <v>126</v>
      </c>
      <c r="L1" s="2" t="s">
        <v>127</v>
      </c>
      <c r="M1" s="2" t="s">
        <v>128</v>
      </c>
      <c r="O1" s="2" t="s">
        <v>129</v>
      </c>
      <c r="P1" s="2" t="s">
        <v>130</v>
      </c>
      <c r="Q1" s="2" t="s">
        <v>131</v>
      </c>
      <c r="R1" s="2" t="s">
        <v>132</v>
      </c>
      <c r="AA1" s="2" t="s">
        <v>76</v>
      </c>
      <c r="AB1" s="2" t="s">
        <v>136</v>
      </c>
    </row>
    <row r="2">
      <c r="A2" s="11">
        <v>201603.0</v>
      </c>
      <c r="B2" s="10">
        <v>0.3</v>
      </c>
      <c r="C2" s="12">
        <v>0.73593197</v>
      </c>
      <c r="D2" s="12">
        <v>0.38427</v>
      </c>
      <c r="E2" s="12">
        <v>0.328101</v>
      </c>
      <c r="F2" s="12">
        <v>0.744445960144002</v>
      </c>
      <c r="G2" s="12"/>
      <c r="H2" s="12"/>
      <c r="I2" s="12"/>
      <c r="J2" s="12"/>
      <c r="K2" s="12">
        <v>0.371242</v>
      </c>
      <c r="L2" s="12">
        <v>0.7518763862302009</v>
      </c>
      <c r="M2" s="12"/>
      <c r="N2" s="12"/>
      <c r="O2" s="12">
        <v>0.744655947151482</v>
      </c>
      <c r="P2" s="12">
        <v>1.120320439338684</v>
      </c>
      <c r="Q2" s="12">
        <v>0.708422</v>
      </c>
      <c r="R2" s="12">
        <v>0.577348</v>
      </c>
      <c r="AA2" s="12">
        <v>0.6398</v>
      </c>
      <c r="AB2" s="12">
        <v>1.64469492463261</v>
      </c>
    </row>
    <row r="3">
      <c r="A3" s="11">
        <v>201606.0</v>
      </c>
      <c r="B3" s="10">
        <v>1.2</v>
      </c>
      <c r="C3" s="12">
        <v>0.52187155</v>
      </c>
      <c r="D3" s="12">
        <v>0.681736</v>
      </c>
      <c r="E3" s="12">
        <v>0.609076</v>
      </c>
      <c r="F3" s="12">
        <v>0.409306867540415</v>
      </c>
      <c r="G3" s="12"/>
      <c r="H3" s="12"/>
      <c r="I3" s="12">
        <v>1.07835649901587</v>
      </c>
      <c r="J3" s="12">
        <v>0.987036431118543</v>
      </c>
      <c r="K3" s="12">
        <v>-0.03484</v>
      </c>
      <c r="L3" s="12">
        <v>0.8559182989948759</v>
      </c>
      <c r="M3" s="12">
        <v>0.8</v>
      </c>
      <c r="N3" s="12"/>
      <c r="O3" s="12">
        <v>0.7907347841922229</v>
      </c>
      <c r="P3" s="12">
        <v>1.104693651199341</v>
      </c>
      <c r="Q3" s="12">
        <v>0.649907</v>
      </c>
      <c r="R3" s="12">
        <v>0.986338</v>
      </c>
      <c r="AA3" s="12">
        <v>1.25683888882204</v>
      </c>
      <c r="AB3" s="12">
        <v>0.787484509327797</v>
      </c>
    </row>
    <row r="4">
      <c r="A4" s="11">
        <v>201609.0</v>
      </c>
      <c r="B4" s="10">
        <v>0.4</v>
      </c>
      <c r="C4" s="12">
        <v>0.78732432</v>
      </c>
      <c r="D4" s="12">
        <v>0.452506</v>
      </c>
      <c r="E4" s="12">
        <v>0.440791</v>
      </c>
      <c r="F4" s="12">
        <v>0.647123232842795</v>
      </c>
      <c r="G4" s="12"/>
      <c r="H4" s="12"/>
      <c r="I4" s="12">
        <v>1.04601368748994</v>
      </c>
      <c r="J4" s="12">
        <v>0.887490509033018</v>
      </c>
      <c r="K4" s="12">
        <v>0.414438</v>
      </c>
      <c r="L4" s="12">
        <v>0.5036375502859549</v>
      </c>
      <c r="M4" s="12">
        <v>0.8</v>
      </c>
      <c r="N4" s="12"/>
      <c r="O4" s="12">
        <v>0.4057930929885606</v>
      </c>
      <c r="P4" s="12">
        <v>1.135050058364868</v>
      </c>
      <c r="Q4" s="12">
        <v>0.688193</v>
      </c>
      <c r="R4" s="12">
        <v>1.019892</v>
      </c>
      <c r="AA4" s="12">
        <v>0.944353782276036</v>
      </c>
      <c r="AB4" s="12">
        <v>0.367076339758009</v>
      </c>
    </row>
    <row r="5">
      <c r="A5" s="11">
        <v>201612.0</v>
      </c>
      <c r="B5" s="10">
        <v>0.6</v>
      </c>
      <c r="C5" s="12">
        <v>0.61675774</v>
      </c>
      <c r="D5" s="12">
        <v>0.463071</v>
      </c>
      <c r="E5" s="12">
        <v>0.399063</v>
      </c>
      <c r="F5" s="12">
        <v>0.681475426571732</v>
      </c>
      <c r="G5" s="12"/>
      <c r="H5" s="12"/>
      <c r="I5" s="12">
        <v>0.554615772957894</v>
      </c>
      <c r="J5" s="12">
        <v>0.669545230509719</v>
      </c>
      <c r="K5" s="12">
        <v>0.240202</v>
      </c>
      <c r="L5" s="12">
        <v>0.6903847102324399</v>
      </c>
      <c r="M5" s="12">
        <v>0.7</v>
      </c>
      <c r="N5" s="12"/>
      <c r="O5" s="12">
        <v>0.5293892590740461</v>
      </c>
      <c r="P5" s="12">
        <v>1.246863722801208</v>
      </c>
      <c r="Q5" s="12">
        <v>0.6308</v>
      </c>
      <c r="R5" s="12">
        <v>0.854478</v>
      </c>
      <c r="AA5" s="12">
        <v>1.2199875659078</v>
      </c>
      <c r="AB5" s="12">
        <v>1.8972464000575</v>
      </c>
    </row>
    <row r="6">
      <c r="A6" s="11">
        <v>201703.0</v>
      </c>
      <c r="B6" s="10">
        <v>1.0</v>
      </c>
      <c r="C6" s="12">
        <v>1.08965429</v>
      </c>
      <c r="D6" s="12">
        <v>0.916089</v>
      </c>
      <c r="E6" s="12">
        <v>0.877486</v>
      </c>
      <c r="F6" s="12">
        <v>0.785803128143847</v>
      </c>
      <c r="G6" s="12"/>
      <c r="H6" s="12"/>
      <c r="I6" s="12">
        <v>1.34307399516041</v>
      </c>
      <c r="J6" s="12">
        <v>1.09835215516703</v>
      </c>
      <c r="K6" s="12">
        <v>0.106919</v>
      </c>
      <c r="L6" s="12">
        <v>0.1838369903296666</v>
      </c>
      <c r="M6" s="12">
        <v>0.8</v>
      </c>
      <c r="N6" s="12"/>
      <c r="O6" s="12">
        <v>0.677625474005281</v>
      </c>
      <c r="P6" s="12">
        <v>1.242222189903259</v>
      </c>
      <c r="Q6" s="12">
        <v>0.985421</v>
      </c>
      <c r="R6" s="12">
        <v>1.159281</v>
      </c>
      <c r="AA6" s="12">
        <v>0.564016080936919</v>
      </c>
      <c r="AB6" s="12">
        <v>0.30936757979093</v>
      </c>
    </row>
    <row r="7">
      <c r="A7" s="11">
        <v>201706.0</v>
      </c>
      <c r="B7" s="10">
        <v>0.8</v>
      </c>
      <c r="C7" s="12">
        <v>0.70761799</v>
      </c>
      <c r="D7" s="12">
        <v>0.469731</v>
      </c>
      <c r="E7" s="12">
        <v>0.450203</v>
      </c>
      <c r="F7" s="12">
        <v>0.85792085266827</v>
      </c>
      <c r="G7" s="12"/>
      <c r="H7" s="12"/>
      <c r="I7" s="12">
        <v>1.04835401365343</v>
      </c>
      <c r="J7" s="12">
        <v>1.08066980758368</v>
      </c>
      <c r="K7" s="12">
        <v>0.406648</v>
      </c>
      <c r="L7" s="12">
        <v>-0.3581092219871138</v>
      </c>
      <c r="M7" s="12">
        <v>0.6</v>
      </c>
      <c r="N7" s="12"/>
      <c r="O7" s="12">
        <v>0.4098853440261655</v>
      </c>
      <c r="P7" s="12">
        <v>1.001210927963257</v>
      </c>
      <c r="Q7" s="12">
        <v>0.778553</v>
      </c>
      <c r="R7" s="12">
        <v>1.23765</v>
      </c>
      <c r="AA7" s="12">
        <v>0.845960217786733</v>
      </c>
      <c r="AB7" s="12">
        <v>0.141398708344614</v>
      </c>
    </row>
    <row r="8">
      <c r="A8" s="11">
        <v>201709.0</v>
      </c>
      <c r="B8" s="10">
        <v>1.4</v>
      </c>
      <c r="C8" s="12">
        <v>0.92213256</v>
      </c>
      <c r="D8" s="12">
        <v>0.500708</v>
      </c>
      <c r="E8" s="12">
        <v>0.449075</v>
      </c>
      <c r="F8" s="12">
        <v>0.913355476488498</v>
      </c>
      <c r="G8" s="12"/>
      <c r="H8" s="12"/>
      <c r="I8" s="12">
        <v>0.58606156550138</v>
      </c>
      <c r="J8" s="12">
        <v>0.716397903556294</v>
      </c>
      <c r="K8" s="12">
        <v>0.124685</v>
      </c>
      <c r="L8" s="12">
        <v>0.2467247408873057</v>
      </c>
      <c r="M8" s="12">
        <v>1.1</v>
      </c>
      <c r="N8" s="12"/>
      <c r="O8" s="12">
        <v>0.4523410245070454</v>
      </c>
      <c r="P8" s="12">
        <v>0.9107924699783325</v>
      </c>
      <c r="Q8" s="12">
        <v>0.84539</v>
      </c>
      <c r="R8" s="12">
        <v>1.218567</v>
      </c>
      <c r="AA8" s="12">
        <v>1.29322725711027</v>
      </c>
      <c r="AB8" s="12">
        <v>0.260795039268109</v>
      </c>
    </row>
    <row r="9">
      <c r="A9" s="11">
        <v>201712.0</v>
      </c>
      <c r="B9" s="10">
        <v>-0.3</v>
      </c>
      <c r="C9" s="12">
        <v>0.97254494</v>
      </c>
      <c r="D9" s="12">
        <v>0.547752</v>
      </c>
      <c r="E9" s="12">
        <v>0.462819</v>
      </c>
      <c r="F9" s="12">
        <v>0.439255156329144</v>
      </c>
      <c r="G9" s="12"/>
      <c r="H9" s="12"/>
      <c r="I9" s="12">
        <v>0.986169614322784</v>
      </c>
      <c r="J9" s="12">
        <v>1.05751402477185</v>
      </c>
      <c r="K9" s="12">
        <v>0.084091</v>
      </c>
      <c r="L9" s="12">
        <v>0.4229377375123065</v>
      </c>
      <c r="M9" s="12">
        <v>0.9</v>
      </c>
      <c r="N9" s="12"/>
      <c r="O9" s="12">
        <v>0.5096688741103208</v>
      </c>
      <c r="P9" s="12">
        <v>1.247796416282654</v>
      </c>
      <c r="Q9" s="12">
        <v>0.849378</v>
      </c>
      <c r="R9" s="12">
        <v>1.120793</v>
      </c>
      <c r="AA9" s="12">
        <v>0.84576885453623</v>
      </c>
      <c r="AB9" s="12">
        <v>0.586244101640526</v>
      </c>
    </row>
    <row r="10">
      <c r="A10" s="11">
        <v>201803.0</v>
      </c>
      <c r="B10" s="10">
        <v>1.3</v>
      </c>
      <c r="C10" s="12">
        <v>0.92490877</v>
      </c>
      <c r="D10" s="12">
        <v>0.669417</v>
      </c>
      <c r="E10" s="12">
        <v>0.61394</v>
      </c>
      <c r="F10" s="12">
        <v>0.971331151736199</v>
      </c>
      <c r="G10" s="12"/>
      <c r="H10" s="12"/>
      <c r="I10" s="12">
        <v>0.837665197149131</v>
      </c>
      <c r="J10" s="12">
        <v>0.797081856765925</v>
      </c>
      <c r="K10" s="12">
        <v>0.206457</v>
      </c>
      <c r="L10" s="12">
        <v>0.631522757000635</v>
      </c>
      <c r="M10" s="12">
        <v>1.1</v>
      </c>
      <c r="N10" s="12"/>
      <c r="O10" s="12">
        <v>0.6663135869813845</v>
      </c>
      <c r="P10" s="12">
        <v>0.8730100393295288</v>
      </c>
      <c r="Q10" s="12">
        <v>0.548781</v>
      </c>
      <c r="R10" s="12">
        <v>0.772475</v>
      </c>
      <c r="AA10" s="12">
        <v>0.514916660233197</v>
      </c>
      <c r="AB10" s="12">
        <v>1.31070769823503</v>
      </c>
    </row>
    <row r="11">
      <c r="A11" s="11">
        <v>201806.0</v>
      </c>
      <c r="B11" s="10">
        <v>0.7</v>
      </c>
      <c r="C11" s="12">
        <v>0.61097282</v>
      </c>
      <c r="D11" s="12">
        <v>0.6894</v>
      </c>
      <c r="E11" s="12">
        <v>0.651112</v>
      </c>
      <c r="F11" s="12">
        <v>0.515040201101602</v>
      </c>
      <c r="G11" s="12"/>
      <c r="H11" s="12"/>
      <c r="I11" s="12">
        <v>0.33402416087642</v>
      </c>
      <c r="J11" s="12">
        <v>0.493752860739392</v>
      </c>
      <c r="K11" s="12">
        <v>0.271466</v>
      </c>
      <c r="L11" s="12">
        <v>0.4802440329204245</v>
      </c>
      <c r="M11" s="12">
        <v>0.6</v>
      </c>
      <c r="N11" s="12"/>
      <c r="O11" s="12">
        <v>0.5742530856927897</v>
      </c>
      <c r="P11" s="12">
        <v>0.7823218703269958</v>
      </c>
      <c r="Q11" s="12">
        <v>0.663451</v>
      </c>
      <c r="R11" s="12">
        <v>1.002659</v>
      </c>
      <c r="AA11" s="12">
        <v>0.27791852737675</v>
      </c>
      <c r="AB11" s="12">
        <v>0.811786822796148</v>
      </c>
    </row>
    <row r="12">
      <c r="A12" s="11">
        <v>201809.0</v>
      </c>
      <c r="B12" s="10">
        <v>0.6</v>
      </c>
      <c r="C12" s="12">
        <v>1.04818163</v>
      </c>
      <c r="D12" s="12">
        <v>0.607729</v>
      </c>
      <c r="E12" s="12">
        <v>0.56543</v>
      </c>
      <c r="F12" s="12">
        <v>0.795707864125372</v>
      </c>
      <c r="G12" s="12"/>
      <c r="H12" s="12"/>
      <c r="I12" s="12">
        <v>1.27523596818745</v>
      </c>
      <c r="J12" s="12">
        <v>0.923188367330705</v>
      </c>
      <c r="K12" s="12">
        <v>0.197968</v>
      </c>
      <c r="L12" s="12">
        <v>0.6422120016715098</v>
      </c>
      <c r="M12" s="12">
        <v>0.8</v>
      </c>
      <c r="N12" s="12"/>
      <c r="O12" s="12">
        <v>0.5791277701292075</v>
      </c>
      <c r="P12" s="12">
        <v>1.461755156517029</v>
      </c>
      <c r="Q12" s="12">
        <v>0.606897</v>
      </c>
      <c r="R12" s="12">
        <v>0.840567</v>
      </c>
      <c r="AA12" s="12">
        <v>0.906977303819575</v>
      </c>
      <c r="AB12" s="12">
        <v>0.475575285581759</v>
      </c>
    </row>
    <row r="13">
      <c r="A13" s="11">
        <v>201812.0</v>
      </c>
      <c r="B13" s="10">
        <v>0.6</v>
      </c>
      <c r="C13" s="12">
        <v>0.54190395</v>
      </c>
      <c r="D13" s="12">
        <v>0.505337</v>
      </c>
      <c r="E13" s="12">
        <v>0.446804</v>
      </c>
      <c r="F13" s="12">
        <v>0.532143750185754</v>
      </c>
      <c r="G13" s="12"/>
      <c r="H13" s="12"/>
      <c r="I13" s="12">
        <v>0.332822225911388</v>
      </c>
      <c r="J13" s="12">
        <v>0.517625004486694</v>
      </c>
      <c r="K13" s="12">
        <v>0.0952</v>
      </c>
      <c r="L13" s="12">
        <v>0.7361880965221417</v>
      </c>
      <c r="M13" s="12">
        <v>0.7</v>
      </c>
      <c r="N13" s="12"/>
      <c r="O13" s="12">
        <v>0.513607389345027</v>
      </c>
      <c r="P13" s="12">
        <v>0.9507715106010437</v>
      </c>
      <c r="Q13" s="12">
        <v>0.970054</v>
      </c>
      <c r="R13" s="12">
        <v>0.714293</v>
      </c>
      <c r="AA13" s="12">
        <v>1.34536327779945</v>
      </c>
      <c r="AB13" s="12">
        <v>0.572633307024063</v>
      </c>
    </row>
    <row r="14">
      <c r="A14" s="11">
        <v>201903.0</v>
      </c>
      <c r="B14" s="10">
        <v>-0.1</v>
      </c>
      <c r="C14" s="12">
        <v>0.57776114</v>
      </c>
      <c r="D14" s="12">
        <v>0.395094</v>
      </c>
      <c r="E14" s="12">
        <v>0.333607</v>
      </c>
      <c r="F14" s="12">
        <v>0.249530521992836</v>
      </c>
      <c r="G14" s="12"/>
      <c r="H14" s="12"/>
      <c r="I14" s="12">
        <v>0.562204844528883</v>
      </c>
      <c r="J14" s="12">
        <v>0.611881522568091</v>
      </c>
      <c r="K14" s="12">
        <v>-0.1897</v>
      </c>
      <c r="L14" s="12">
        <v>-0.5249372296949559</v>
      </c>
      <c r="M14" s="12">
        <v>0.7</v>
      </c>
      <c r="N14" s="12"/>
      <c r="O14" s="12">
        <v>0.6892892872027733</v>
      </c>
      <c r="P14" s="12">
        <v>0.6186259388923645</v>
      </c>
      <c r="Q14" s="12">
        <v>0.662429</v>
      </c>
      <c r="R14" s="12">
        <v>0.534452</v>
      </c>
      <c r="AA14" s="12">
        <v>0.184394645520694</v>
      </c>
      <c r="AB14" s="12">
        <v>1.06235311625926</v>
      </c>
    </row>
    <row r="15">
      <c r="A15" s="11">
        <v>201906.0</v>
      </c>
      <c r="B15" s="10">
        <v>1.1</v>
      </c>
      <c r="C15" s="12">
        <v>0.55266637</v>
      </c>
      <c r="D15" s="12">
        <v>0.672491</v>
      </c>
      <c r="E15" s="12">
        <v>0.634205</v>
      </c>
      <c r="F15" s="12">
        <v>0.40883803858065</v>
      </c>
      <c r="G15" s="12"/>
      <c r="H15" s="12"/>
      <c r="I15" s="12">
        <v>0.97066659838597</v>
      </c>
      <c r="J15" s="12">
        <v>0.990007620601531</v>
      </c>
      <c r="K15" s="12">
        <v>-0.29079</v>
      </c>
      <c r="L15" s="12">
        <v>0.6182143623663094</v>
      </c>
      <c r="M15" s="12">
        <v>0.7</v>
      </c>
      <c r="N15" s="12"/>
      <c r="O15" s="12">
        <v>0.7243783781720867</v>
      </c>
      <c r="P15" s="12">
        <v>0.9024232029914856</v>
      </c>
      <c r="Q15" s="12">
        <v>0.125722</v>
      </c>
      <c r="R15" s="12">
        <v>0.423217</v>
      </c>
      <c r="AA15" s="12">
        <v>0.331029941752196</v>
      </c>
      <c r="AB15" s="12">
        <v>1.17842271466109</v>
      </c>
    </row>
    <row r="16">
      <c r="A16" s="11">
        <v>201909.0</v>
      </c>
      <c r="B16" s="10">
        <v>0.4</v>
      </c>
      <c r="C16" s="12">
        <v>0.47246244</v>
      </c>
      <c r="D16" s="12">
        <v>0.603259</v>
      </c>
      <c r="E16" s="12">
        <v>0.598342</v>
      </c>
      <c r="F16" s="12">
        <v>0.579472898337596</v>
      </c>
      <c r="G16" s="12"/>
      <c r="H16" s="12"/>
      <c r="I16" s="12">
        <v>0.332475645686251</v>
      </c>
      <c r="J16" s="12">
        <v>0.590591531385109</v>
      </c>
      <c r="K16" s="12">
        <v>0.438102</v>
      </c>
      <c r="L16" s="12">
        <v>0.5842240763555644</v>
      </c>
      <c r="M16" s="12">
        <v>0.2</v>
      </c>
      <c r="N16" s="12"/>
      <c r="O16" s="12">
        <v>0.6382004787192023</v>
      </c>
      <c r="P16" s="12">
        <v>1.058837413787842</v>
      </c>
      <c r="Q16" s="12">
        <v>0.666027</v>
      </c>
      <c r="R16" s="12">
        <v>0.782248</v>
      </c>
      <c r="AA16" s="12">
        <v>0.388779470391208</v>
      </c>
      <c r="AB16" s="12">
        <v>1.20206309673674</v>
      </c>
    </row>
    <row r="17">
      <c r="A17" s="11">
        <v>201912.0</v>
      </c>
      <c r="B17" s="10">
        <v>1.2</v>
      </c>
      <c r="C17" s="12">
        <v>0.5725426</v>
      </c>
      <c r="D17" s="12">
        <v>0.677511</v>
      </c>
      <c r="E17" s="12">
        <v>0.636049</v>
      </c>
      <c r="F17" s="12">
        <v>0.675865898135131</v>
      </c>
      <c r="G17" s="12"/>
      <c r="H17" s="12"/>
      <c r="I17" s="12">
        <v>1.78959446932319</v>
      </c>
      <c r="J17" s="12">
        <v>1.28793190562761</v>
      </c>
      <c r="K17" s="12">
        <v>0.174499</v>
      </c>
      <c r="L17" s="12">
        <v>0.7418191511679879</v>
      </c>
      <c r="M17" s="12">
        <v>0.7</v>
      </c>
      <c r="N17" s="12"/>
      <c r="O17" s="12">
        <v>0.6605355601282349</v>
      </c>
      <c r="P17" s="12">
        <v>0.7062757611274719</v>
      </c>
      <c r="Q17" s="12">
        <v>0.692307</v>
      </c>
      <c r="R17" s="12">
        <v>0.945888</v>
      </c>
      <c r="AA17" s="12">
        <v>0.284608830466626</v>
      </c>
      <c r="AB17" s="12">
        <v>1.83179835652896</v>
      </c>
    </row>
    <row r="18">
      <c r="A18" s="11">
        <v>202003.0</v>
      </c>
      <c r="B18" s="10">
        <v>-1.3</v>
      </c>
      <c r="C18" s="12">
        <v>0.46986457</v>
      </c>
      <c r="D18" s="12">
        <v>0.549058</v>
      </c>
      <c r="E18" s="12">
        <v>0.520496</v>
      </c>
      <c r="F18" s="12">
        <v>0.586659333036144</v>
      </c>
      <c r="G18" s="12"/>
      <c r="H18" s="12"/>
      <c r="I18" s="12">
        <v>0.73696617104273</v>
      </c>
      <c r="J18" s="12">
        <v>0.963146694627689</v>
      </c>
      <c r="K18" s="12">
        <v>0.029684</v>
      </c>
      <c r="L18" s="12">
        <v>0.2765880769842894</v>
      </c>
      <c r="M18" s="12">
        <v>0.5</v>
      </c>
      <c r="N18" s="12"/>
      <c r="O18" s="12">
        <v>0.6260772587889255</v>
      </c>
      <c r="P18" s="12">
        <v>0.922684371471405</v>
      </c>
      <c r="Q18" s="12">
        <v>0.409247</v>
      </c>
      <c r="R18" s="12">
        <v>0.736839</v>
      </c>
      <c r="AA18" s="12">
        <v>1.1449225511953</v>
      </c>
      <c r="AB18" s="12">
        <v>-1.32046975612992</v>
      </c>
    </row>
    <row r="19">
      <c r="A19" s="11">
        <v>202006.0</v>
      </c>
      <c r="B19" s="10">
        <v>-3.0</v>
      </c>
      <c r="C19" s="12">
        <v>0.07401588</v>
      </c>
      <c r="D19" s="12">
        <v>-0.23854</v>
      </c>
      <c r="E19" s="12">
        <v>-0.28699</v>
      </c>
      <c r="F19" s="12">
        <v>0.0560921100781542</v>
      </c>
      <c r="G19" s="12"/>
      <c r="H19" s="12"/>
      <c r="I19" s="12">
        <v>-1.31251591333647</v>
      </c>
      <c r="J19" s="12">
        <v>-0.315451879130649</v>
      </c>
      <c r="K19" s="12">
        <v>0.025082</v>
      </c>
      <c r="L19" s="12">
        <v>-1.153209282293123</v>
      </c>
      <c r="M19" s="12">
        <v>0.7</v>
      </c>
      <c r="N19" s="12"/>
      <c r="O19" s="12">
        <v>0.8443909806919396</v>
      </c>
      <c r="P19" s="12">
        <v>-3.194133281707764</v>
      </c>
      <c r="Q19" s="12">
        <v>0.841118</v>
      </c>
      <c r="R19" s="12">
        <v>0.669851</v>
      </c>
      <c r="AA19" s="12">
        <v>-5.02909735073861</v>
      </c>
      <c r="AB19" s="12">
        <v>1.17086667238731</v>
      </c>
    </row>
    <row r="20">
      <c r="A20" s="11">
        <v>202009.0</v>
      </c>
      <c r="B20" s="10">
        <v>2.3</v>
      </c>
      <c r="C20" s="12">
        <v>-0.5154841</v>
      </c>
      <c r="D20" s="12">
        <v>1.149676</v>
      </c>
      <c r="E20" s="12">
        <v>1.052633</v>
      </c>
      <c r="F20" s="12">
        <v>-0.560716216784551</v>
      </c>
      <c r="G20" s="12"/>
      <c r="H20" s="12"/>
      <c r="I20" s="12">
        <v>1.26815588160386</v>
      </c>
      <c r="J20" s="12">
        <v>1.97982099703279</v>
      </c>
      <c r="K20" s="12">
        <v>-1.43354</v>
      </c>
      <c r="L20" s="12">
        <v>1.455949004482765</v>
      </c>
      <c r="M20" s="12">
        <v>0.2</v>
      </c>
      <c r="N20" s="12"/>
      <c r="O20" s="12">
        <v>1.61467284565668</v>
      </c>
      <c r="P20" s="12">
        <v>1.303980231285095</v>
      </c>
      <c r="Q20" s="12">
        <v>0.168204</v>
      </c>
      <c r="R20" s="12">
        <v>0.868676</v>
      </c>
      <c r="AA20" s="12">
        <v>37.3642048066691</v>
      </c>
      <c r="AB20" s="12">
        <v>0.883702642060391</v>
      </c>
    </row>
    <row r="21">
      <c r="A21" s="11">
        <v>202012.0</v>
      </c>
      <c r="B21" s="10">
        <v>1.3</v>
      </c>
      <c r="C21" s="12">
        <v>-0.2428119</v>
      </c>
      <c r="D21" s="12">
        <v>0.780103</v>
      </c>
      <c r="E21" s="12">
        <v>1.000648</v>
      </c>
      <c r="F21" s="12">
        <v>0.190476569439824</v>
      </c>
      <c r="G21" s="12"/>
      <c r="H21" s="12"/>
      <c r="I21" s="12">
        <v>1.4635677342273</v>
      </c>
      <c r="J21" s="12">
        <v>1.97010523744368</v>
      </c>
      <c r="K21" s="12">
        <v>0.975803</v>
      </c>
      <c r="L21" s="12">
        <v>1.131580882756197</v>
      </c>
      <c r="M21" s="12">
        <v>-0.3</v>
      </c>
      <c r="N21" s="12"/>
      <c r="O21" s="12">
        <v>0.2671601814872588</v>
      </c>
      <c r="P21" s="12">
        <v>1.076251626014709</v>
      </c>
      <c r="Q21" s="12">
        <v>0.678219</v>
      </c>
      <c r="R21" s="12">
        <v>1.381186</v>
      </c>
      <c r="AA21" s="12">
        <v>1.24315586574196</v>
      </c>
      <c r="AB21" s="12">
        <v>1.23701952644644</v>
      </c>
    </row>
    <row r="22">
      <c r="A22" s="11">
        <v>202103.0</v>
      </c>
      <c r="B22" s="10">
        <v>1.8</v>
      </c>
      <c r="C22" s="12">
        <v>0.72215955</v>
      </c>
      <c r="D22" s="12">
        <v>0.226528</v>
      </c>
      <c r="E22" s="12">
        <v>0.161777</v>
      </c>
      <c r="F22" s="12">
        <v>1.20316815950619</v>
      </c>
      <c r="G22" s="12"/>
      <c r="H22" s="12"/>
      <c r="I22" s="12">
        <v>1.48090199809167</v>
      </c>
      <c r="J22" s="12">
        <v>0.848022734781354</v>
      </c>
      <c r="K22" s="12">
        <v>0.992813</v>
      </c>
      <c r="L22" s="12">
        <v>0.6095356548209274</v>
      </c>
      <c r="M22" s="12">
        <v>1.2</v>
      </c>
      <c r="N22" s="12"/>
      <c r="O22" s="12">
        <v>1.03072308105292</v>
      </c>
      <c r="P22" s="12">
        <v>0.8842695355415344</v>
      </c>
      <c r="Q22" s="12">
        <v>0.741075</v>
      </c>
      <c r="R22" s="12">
        <v>1.13407</v>
      </c>
      <c r="AA22" s="12">
        <v>1.00953476822603</v>
      </c>
      <c r="AB22" s="12">
        <v>1.7408487495973</v>
      </c>
    </row>
    <row r="23">
      <c r="A23" s="11">
        <v>202106.0</v>
      </c>
      <c r="B23" s="10">
        <v>0.9</v>
      </c>
      <c r="C23" s="12">
        <v>0.89574391</v>
      </c>
      <c r="D23" s="12">
        <v>0.436104</v>
      </c>
      <c r="E23" s="12">
        <v>0.398934</v>
      </c>
      <c r="F23" s="12">
        <v>0.905239254407286</v>
      </c>
      <c r="G23" s="12"/>
      <c r="H23" s="12"/>
      <c r="I23" s="12">
        <v>1.53949849379076</v>
      </c>
      <c r="J23" s="12">
        <v>1.08387393328905</v>
      </c>
      <c r="K23" s="12">
        <v>0.388105</v>
      </c>
      <c r="L23" s="12">
        <v>-0.3058992134851657</v>
      </c>
      <c r="M23" s="12">
        <v>0.9</v>
      </c>
      <c r="N23" s="12"/>
      <c r="O23" s="12">
        <v>0.2249981822095583</v>
      </c>
      <c r="P23" s="12">
        <v>1.279181361198425</v>
      </c>
      <c r="Q23" s="12">
        <v>0.811061</v>
      </c>
      <c r="R23" s="12">
        <v>1.044378</v>
      </c>
      <c r="AA23" s="12">
        <v>2.10709612653065</v>
      </c>
      <c r="AB23" s="12">
        <v>0.825130717728779</v>
      </c>
    </row>
    <row r="24">
      <c r="A24" s="11">
        <v>202109.0</v>
      </c>
      <c r="B24" s="10">
        <v>0.1</v>
      </c>
      <c r="C24" s="12">
        <v>1.51028272</v>
      </c>
      <c r="D24" s="12">
        <v>0.4277</v>
      </c>
      <c r="E24" s="12">
        <v>0.373122</v>
      </c>
      <c r="F24" s="12">
        <v>0.946653670833886</v>
      </c>
      <c r="G24" s="12"/>
      <c r="H24" s="12"/>
      <c r="I24" s="12">
        <v>1.33151646640148</v>
      </c>
      <c r="J24" s="12">
        <v>0.702287541533289</v>
      </c>
      <c r="K24" s="12">
        <v>0.349149</v>
      </c>
      <c r="L24" s="12">
        <v>0.1495340178489748</v>
      </c>
      <c r="M24" s="12">
        <v>0.9</v>
      </c>
      <c r="N24" s="12"/>
      <c r="O24" s="12">
        <v>-0.3031223002330353</v>
      </c>
      <c r="P24" s="12">
        <v>0.8240099549293518</v>
      </c>
      <c r="Q24" s="12">
        <v>0.6025</v>
      </c>
      <c r="R24" s="12">
        <v>0.814563</v>
      </c>
      <c r="AA24" s="12">
        <v>0.754072566962508</v>
      </c>
      <c r="AB24" s="12">
        <v>1.03681909623156</v>
      </c>
    </row>
    <row r="25">
      <c r="A25" s="11">
        <v>202112.0</v>
      </c>
      <c r="B25" s="10">
        <v>1.4</v>
      </c>
      <c r="C25" s="12">
        <v>1.26923158</v>
      </c>
      <c r="D25" s="12">
        <v>0.279647</v>
      </c>
      <c r="E25" s="12">
        <v>0.227302</v>
      </c>
      <c r="F25" s="12">
        <v>0.471199685862267</v>
      </c>
      <c r="G25" s="12"/>
      <c r="H25" s="12"/>
      <c r="I25" s="12">
        <v>0.318932271279567</v>
      </c>
      <c r="J25" s="12">
        <v>0.598324947089793</v>
      </c>
      <c r="K25" s="12">
        <v>0.106398</v>
      </c>
      <c r="L25" s="12">
        <v>0.3099367893374314</v>
      </c>
      <c r="M25" s="12">
        <v>0.5</v>
      </c>
      <c r="N25" s="12"/>
      <c r="O25" s="12">
        <v>0.6973843202080707</v>
      </c>
      <c r="P25" s="12">
        <v>0.6959048509597778</v>
      </c>
      <c r="Q25" s="12">
        <v>0.745762</v>
      </c>
      <c r="R25" s="12">
        <v>0.985542</v>
      </c>
      <c r="AA25" s="12">
        <v>1.74920332950441</v>
      </c>
      <c r="AB25" s="12">
        <v>1.34883298999842</v>
      </c>
    </row>
    <row r="26">
      <c r="A26" s="11">
        <v>202203.0</v>
      </c>
      <c r="B26" s="10">
        <v>0.7</v>
      </c>
      <c r="C26" s="12">
        <v>1.56852992</v>
      </c>
      <c r="D26" s="12">
        <v>0.658273</v>
      </c>
      <c r="E26" s="12">
        <v>0.631397</v>
      </c>
      <c r="F26" s="12">
        <v>0.9327761110967</v>
      </c>
      <c r="G26" s="12"/>
      <c r="H26" s="12"/>
      <c r="I26" s="12">
        <v>0.901178754915622</v>
      </c>
      <c r="J26" s="12">
        <v>0.681837742298614</v>
      </c>
      <c r="K26" s="12">
        <v>0.572933</v>
      </c>
      <c r="L26" s="12">
        <v>0.2289103647350075</v>
      </c>
      <c r="M26" s="12">
        <v>0.5</v>
      </c>
      <c r="N26" s="12"/>
      <c r="O26" s="12">
        <v>0.2734385651524212</v>
      </c>
      <c r="P26" s="12">
        <v>0.9396571516990662</v>
      </c>
      <c r="Q26" s="12">
        <v>0.835546</v>
      </c>
      <c r="R26" s="12">
        <v>0.880653</v>
      </c>
      <c r="AA26" s="12">
        <v>0.0143916189056246</v>
      </c>
      <c r="AB26" s="12">
        <v>0.658289220713408</v>
      </c>
    </row>
    <row r="27">
      <c r="A27" s="11">
        <v>202206.0</v>
      </c>
      <c r="B27" s="10">
        <v>0.8</v>
      </c>
      <c r="C27" s="12">
        <v>0.93684512</v>
      </c>
      <c r="D27" s="12">
        <v>0.096974</v>
      </c>
      <c r="E27" s="12">
        <v>0.031349</v>
      </c>
      <c r="F27" s="12">
        <v>0.616638101409506</v>
      </c>
      <c r="G27" s="12"/>
      <c r="H27" s="12"/>
      <c r="I27" s="12">
        <v>0.863341551628118</v>
      </c>
      <c r="J27" s="12">
        <v>0.823452254129817</v>
      </c>
      <c r="K27" s="12">
        <v>0.494463</v>
      </c>
      <c r="L27" s="12">
        <v>0.6284529803142505</v>
      </c>
      <c r="M27" s="12">
        <v>0.9</v>
      </c>
      <c r="N27" s="12"/>
      <c r="O27" s="12">
        <v>0.6556564956929742</v>
      </c>
      <c r="P27" s="12">
        <v>0.776991069316864</v>
      </c>
      <c r="Q27" s="12">
        <v>0.178326</v>
      </c>
      <c r="R27" s="12">
        <v>0.684093</v>
      </c>
      <c r="AA27" s="12">
        <v>0.134886523526714</v>
      </c>
      <c r="AB27" s="12">
        <v>0.455964031901835</v>
      </c>
    </row>
    <row r="28">
      <c r="A28" s="11">
        <v>202209.0</v>
      </c>
      <c r="B28" s="10">
        <v>0.2</v>
      </c>
      <c r="C28" s="12">
        <v>1.10883911</v>
      </c>
      <c r="D28" s="12">
        <v>0.042476</v>
      </c>
      <c r="E28" s="12">
        <v>-0.02288</v>
      </c>
      <c r="F28" s="12">
        <v>0.184599529236751</v>
      </c>
      <c r="G28" s="12"/>
      <c r="H28" s="12"/>
      <c r="I28" s="12">
        <v>0.0790661512242153</v>
      </c>
      <c r="J28" s="12">
        <v>0.402342213381497</v>
      </c>
      <c r="K28" s="12">
        <v>0.273641</v>
      </c>
      <c r="L28" s="12">
        <v>0.7941381311793805</v>
      </c>
      <c r="M28" s="12">
        <v>0.7</v>
      </c>
      <c r="N28" s="12"/>
      <c r="O28" s="12">
        <v>0.9307344638765699</v>
      </c>
      <c r="P28" s="12">
        <v>0.4654483795166016</v>
      </c>
      <c r="Q28" s="12">
        <v>0.024278</v>
      </c>
      <c r="R28" s="12">
        <v>0.342689</v>
      </c>
      <c r="AA28" s="12">
        <v>-0.0115048139241254</v>
      </c>
      <c r="AB28" s="12">
        <v>0.457146541487816</v>
      </c>
    </row>
    <row r="29">
      <c r="A29" s="11">
        <v>202212.0</v>
      </c>
      <c r="B29" s="10">
        <v>-0.3</v>
      </c>
      <c r="C29" s="12">
        <v>0.74323709</v>
      </c>
      <c r="D29" s="12">
        <v>0.321686</v>
      </c>
      <c r="E29" s="12">
        <v>0.260699</v>
      </c>
      <c r="F29" s="12">
        <v>0.299755678892732</v>
      </c>
      <c r="G29" s="12"/>
      <c r="H29" s="12"/>
      <c r="I29" s="12">
        <v>0.243265593556894</v>
      </c>
      <c r="J29" s="12">
        <v>0.45572752312017</v>
      </c>
      <c r="K29" s="12">
        <v>0.229872</v>
      </c>
      <c r="L29" s="12">
        <v>0.6763669264051444</v>
      </c>
      <c r="M29" s="12">
        <v>0.7</v>
      </c>
      <c r="N29" s="12"/>
      <c r="O29" s="12">
        <v>0.6724416738527565</v>
      </c>
      <c r="P29" s="12">
        <v>0.5282914638519287</v>
      </c>
      <c r="Q29" s="12">
        <v>0.491229</v>
      </c>
      <c r="R29" s="12">
        <v>0.665859</v>
      </c>
      <c r="AA29" s="12">
        <v>-0.242504577649909</v>
      </c>
      <c r="AB29" s="12">
        <v>0.0402309871187397</v>
      </c>
    </row>
    <row r="30">
      <c r="A30" s="11">
        <v>202303.0</v>
      </c>
      <c r="B30" s="10">
        <v>0.3</v>
      </c>
      <c r="C30" s="12">
        <v>0.62314627</v>
      </c>
      <c r="D30" s="12">
        <v>0.399041</v>
      </c>
      <c r="E30" s="12">
        <v>0.324923</v>
      </c>
      <c r="F30" s="12">
        <v>-0.284810352986642</v>
      </c>
      <c r="G30" s="12"/>
      <c r="H30" s="12"/>
      <c r="I30" s="12">
        <v>0.0760768832797263</v>
      </c>
      <c r="J30" s="12">
        <v>0.632695178147132</v>
      </c>
      <c r="K30" s="12">
        <v>-0.17197</v>
      </c>
      <c r="L30" s="12">
        <v>0.8937415530874233</v>
      </c>
      <c r="M30" s="12">
        <v>0.5</v>
      </c>
      <c r="N30" s="12"/>
      <c r="O30" s="12">
        <v>0.760271452846739</v>
      </c>
      <c r="P30" s="12">
        <v>0.3981434404850006</v>
      </c>
      <c r="Q30" s="12">
        <v>0.387704</v>
      </c>
      <c r="R30" s="12">
        <v>0.520642</v>
      </c>
      <c r="AA30" s="12">
        <v>0.531717602317747</v>
      </c>
      <c r="AB30" s="12">
        <v>1.9840623243306</v>
      </c>
    </row>
    <row r="31">
      <c r="A31" s="11">
        <v>202306.0</v>
      </c>
      <c r="C31" s="12">
        <v>-0.562511</v>
      </c>
      <c r="D31" s="12">
        <v>0.567574</v>
      </c>
      <c r="E31" s="12">
        <v>0.555144</v>
      </c>
      <c r="F31" s="12">
        <v>0.351167685324505</v>
      </c>
      <c r="G31" s="12"/>
      <c r="H31" s="12"/>
      <c r="K31" s="12"/>
      <c r="L31" s="12">
        <v>0.8132558050213383</v>
      </c>
      <c r="M31" s="12"/>
      <c r="N31" s="12"/>
      <c r="O31" s="12">
        <v>0.8528314454126871</v>
      </c>
      <c r="P31" s="12">
        <v>1.124447703361511</v>
      </c>
    </row>
    <row r="32">
      <c r="A32" s="11">
        <v>202309.0</v>
      </c>
      <c r="D32" s="12"/>
      <c r="E32" s="12"/>
      <c r="F32" s="12"/>
      <c r="L32" s="12"/>
      <c r="O32" s="12"/>
      <c r="P32" s="12"/>
    </row>
    <row r="33">
      <c r="A33" s="11">
        <v>202312.0</v>
      </c>
      <c r="K33" s="2"/>
      <c r="L33" s="12"/>
      <c r="M33" s="12"/>
    </row>
    <row r="34">
      <c r="A34" s="11">
        <v>202403.0</v>
      </c>
      <c r="K34" s="12"/>
      <c r="L34" s="12"/>
      <c r="M34" s="12"/>
    </row>
    <row r="35">
      <c r="A35" s="11"/>
      <c r="K35" s="12"/>
      <c r="L35" s="12"/>
      <c r="M35" s="12"/>
    </row>
    <row r="36">
      <c r="K36" s="12"/>
      <c r="L36" s="12"/>
      <c r="M36" s="12"/>
    </row>
    <row r="37">
      <c r="K37" s="12"/>
      <c r="L37" s="12"/>
      <c r="M37" s="12"/>
    </row>
    <row r="38">
      <c r="K38" s="12"/>
      <c r="L38" s="12"/>
      <c r="M38" s="12"/>
    </row>
    <row r="39">
      <c r="K39" s="12"/>
      <c r="L39" s="12"/>
      <c r="M39" s="12"/>
    </row>
    <row r="40">
      <c r="K40" s="12"/>
      <c r="L40" s="12"/>
      <c r="M40" s="12"/>
    </row>
    <row r="41">
      <c r="K41" s="12"/>
      <c r="L41" s="12"/>
      <c r="M41" s="12"/>
    </row>
    <row r="42">
      <c r="K42" s="12"/>
      <c r="L42" s="12"/>
      <c r="M42" s="12"/>
    </row>
    <row r="43">
      <c r="K43" s="12"/>
      <c r="L43" s="12"/>
      <c r="M43" s="12"/>
    </row>
    <row r="44">
      <c r="K44" s="12"/>
      <c r="L44" s="12"/>
      <c r="M44" s="12"/>
    </row>
    <row r="45">
      <c r="K45" s="12"/>
      <c r="L45" s="12"/>
      <c r="M45" s="12"/>
    </row>
    <row r="46">
      <c r="K46" s="12"/>
      <c r="L46" s="12"/>
      <c r="M46" s="12"/>
    </row>
    <row r="47">
      <c r="K47" s="12"/>
      <c r="L47" s="12"/>
      <c r="M47" s="12"/>
    </row>
    <row r="48">
      <c r="K48" s="12"/>
      <c r="L48" s="12"/>
      <c r="M48" s="12"/>
    </row>
    <row r="49">
      <c r="K49" s="12"/>
      <c r="L49" s="12"/>
      <c r="M49" s="12"/>
    </row>
    <row r="50">
      <c r="K50" s="12"/>
      <c r="L50" s="12"/>
      <c r="M50" s="12"/>
    </row>
    <row r="51">
      <c r="K51" s="12"/>
      <c r="L51" s="12"/>
      <c r="M51" s="12"/>
    </row>
    <row r="52">
      <c r="K52" s="12"/>
      <c r="L52" s="12"/>
      <c r="M52" s="12"/>
    </row>
    <row r="53">
      <c r="K53" s="12"/>
      <c r="L53" s="12"/>
      <c r="M53" s="12"/>
    </row>
    <row r="54">
      <c r="K54" s="12"/>
      <c r="L54" s="12"/>
      <c r="M54" s="12"/>
    </row>
    <row r="55">
      <c r="K55" s="12"/>
      <c r="L55" s="12"/>
      <c r="M55" s="12"/>
    </row>
    <row r="56">
      <c r="K56" s="12"/>
      <c r="L56" s="12"/>
      <c r="M56" s="12"/>
    </row>
    <row r="57">
      <c r="K57" s="12"/>
      <c r="L57" s="12"/>
      <c r="M57" s="12"/>
    </row>
    <row r="58">
      <c r="K58" s="12"/>
      <c r="L58" s="12"/>
      <c r="M58" s="12"/>
    </row>
    <row r="59">
      <c r="K59" s="12"/>
      <c r="L59" s="12"/>
      <c r="M59" s="12"/>
    </row>
    <row r="60">
      <c r="K60" s="12"/>
      <c r="L60" s="12"/>
      <c r="M60" s="12"/>
    </row>
    <row r="61">
      <c r="K61" s="12"/>
      <c r="L61" s="12"/>
      <c r="M61" s="12"/>
    </row>
    <row r="62">
      <c r="K62" s="12"/>
      <c r="L62" s="12"/>
      <c r="M62" s="12"/>
    </row>
    <row r="63">
      <c r="K63" s="12"/>
      <c r="L63" s="2"/>
      <c r="M63" s="2"/>
    </row>
    <row r="64">
      <c r="L64" s="12"/>
      <c r="M64" s="12"/>
    </row>
    <row r="65">
      <c r="K65" s="2"/>
      <c r="L65" s="12"/>
      <c r="M65" s="12"/>
    </row>
    <row r="66">
      <c r="K66" s="12"/>
      <c r="L66" s="12"/>
      <c r="M66" s="12"/>
    </row>
    <row r="67">
      <c r="K67" s="12"/>
      <c r="L67" s="12"/>
      <c r="M67" s="12"/>
    </row>
    <row r="68">
      <c r="K68" s="12"/>
      <c r="L68" s="12"/>
      <c r="M68" s="12"/>
    </row>
    <row r="69">
      <c r="K69" s="12"/>
      <c r="L69" s="12"/>
      <c r="M69" s="12"/>
    </row>
    <row r="70">
      <c r="K70" s="12"/>
      <c r="L70" s="12"/>
      <c r="M70" s="12"/>
    </row>
    <row r="71">
      <c r="K71" s="12"/>
      <c r="L71" s="12"/>
      <c r="M71" s="12"/>
    </row>
    <row r="72">
      <c r="K72" s="12"/>
      <c r="L72" s="12"/>
      <c r="M72" s="12"/>
    </row>
    <row r="73">
      <c r="K73" s="12"/>
      <c r="L73" s="12"/>
      <c r="M73" s="12"/>
    </row>
    <row r="74">
      <c r="K74" s="12"/>
      <c r="L74" s="12"/>
      <c r="M74" s="12"/>
    </row>
    <row r="75">
      <c r="K75" s="12"/>
      <c r="L75" s="12"/>
      <c r="M75" s="12"/>
    </row>
    <row r="76">
      <c r="K76" s="12"/>
      <c r="L76" s="12"/>
      <c r="M76" s="12"/>
    </row>
    <row r="77">
      <c r="K77" s="12"/>
      <c r="L77" s="12"/>
      <c r="M77" s="12"/>
    </row>
    <row r="78">
      <c r="K78" s="12"/>
      <c r="L78" s="12"/>
      <c r="M78" s="12"/>
    </row>
    <row r="79">
      <c r="K79" s="12"/>
      <c r="L79" s="12"/>
      <c r="M79" s="12"/>
    </row>
    <row r="80">
      <c r="K80" s="12"/>
      <c r="L80" s="12"/>
      <c r="M80" s="12"/>
    </row>
    <row r="81">
      <c r="K81" s="12"/>
      <c r="L81" s="12"/>
      <c r="M81" s="12"/>
    </row>
    <row r="82">
      <c r="K82" s="12"/>
      <c r="L82" s="12"/>
      <c r="M82" s="12"/>
    </row>
    <row r="83">
      <c r="K83" s="12"/>
      <c r="L83" s="12"/>
      <c r="M83" s="12"/>
    </row>
    <row r="84">
      <c r="K84" s="12"/>
      <c r="L84" s="12"/>
      <c r="M84" s="12"/>
    </row>
    <row r="85">
      <c r="K85" s="12"/>
      <c r="L85" s="12"/>
      <c r="M85" s="12"/>
    </row>
    <row r="86">
      <c r="K86" s="12"/>
      <c r="L86" s="12"/>
      <c r="M86" s="12"/>
    </row>
    <row r="87">
      <c r="K87" s="12"/>
      <c r="L87" s="12"/>
      <c r="M87" s="12"/>
    </row>
    <row r="88">
      <c r="K88" s="12"/>
      <c r="L88" s="12"/>
      <c r="M88" s="12"/>
    </row>
    <row r="89">
      <c r="K89" s="12"/>
      <c r="L89" s="12"/>
      <c r="M89" s="12"/>
    </row>
    <row r="90">
      <c r="K90" s="12"/>
      <c r="L90" s="12"/>
      <c r="M90" s="12"/>
    </row>
    <row r="91">
      <c r="K91" s="12"/>
      <c r="L91" s="12"/>
      <c r="M91" s="12"/>
    </row>
    <row r="92">
      <c r="K92" s="12"/>
      <c r="L92" s="12"/>
      <c r="M92" s="12"/>
    </row>
    <row r="93">
      <c r="K93" s="12"/>
      <c r="L93" s="12"/>
      <c r="M93" s="12"/>
    </row>
    <row r="94">
      <c r="K94" s="12"/>
      <c r="L94" s="2"/>
      <c r="M94" s="2"/>
    </row>
    <row r="95">
      <c r="K95" s="12"/>
      <c r="L95" s="12"/>
      <c r="M95" s="12"/>
    </row>
    <row r="96">
      <c r="L96" s="12"/>
      <c r="M96" s="12"/>
    </row>
    <row r="97">
      <c r="K97" s="2"/>
      <c r="L97" s="12"/>
      <c r="M97" s="12"/>
    </row>
    <row r="98">
      <c r="K98" s="12"/>
      <c r="L98" s="12"/>
      <c r="M98" s="12"/>
    </row>
    <row r="99">
      <c r="K99" s="12"/>
      <c r="L99" s="12"/>
      <c r="M99" s="12"/>
    </row>
    <row r="100">
      <c r="K100" s="12"/>
      <c r="L100" s="12"/>
      <c r="M100" s="12"/>
    </row>
    <row r="101">
      <c r="K101" s="12"/>
      <c r="L101" s="12"/>
      <c r="M101" s="12"/>
    </row>
    <row r="102">
      <c r="K102" s="12"/>
      <c r="L102" s="12"/>
      <c r="M102" s="12"/>
    </row>
    <row r="103">
      <c r="K103" s="12"/>
      <c r="L103" s="12"/>
      <c r="M103" s="12"/>
    </row>
    <row r="104">
      <c r="K104" s="12"/>
      <c r="L104" s="12"/>
      <c r="M104" s="12"/>
    </row>
    <row r="105">
      <c r="K105" s="12"/>
      <c r="L105" s="12"/>
      <c r="M105" s="12"/>
    </row>
    <row r="106">
      <c r="K106" s="12"/>
      <c r="L106" s="12"/>
      <c r="M106" s="12"/>
    </row>
    <row r="107">
      <c r="K107" s="12"/>
      <c r="L107" s="12"/>
      <c r="M107" s="12"/>
    </row>
    <row r="108">
      <c r="K108" s="12"/>
      <c r="L108" s="12"/>
      <c r="M108" s="12"/>
    </row>
    <row r="109">
      <c r="K109" s="12"/>
      <c r="L109" s="12"/>
      <c r="M109" s="12"/>
    </row>
    <row r="110">
      <c r="K110" s="12"/>
      <c r="L110" s="12"/>
      <c r="M110" s="12"/>
    </row>
    <row r="111">
      <c r="K111" s="12"/>
      <c r="L111" s="12"/>
      <c r="M111" s="12"/>
    </row>
    <row r="112">
      <c r="K112" s="12"/>
      <c r="L112" s="12"/>
      <c r="M112" s="12"/>
    </row>
    <row r="113">
      <c r="K113" s="12"/>
      <c r="L113" s="12"/>
      <c r="M113" s="12"/>
    </row>
    <row r="114">
      <c r="K114" s="12"/>
      <c r="L114" s="12"/>
      <c r="M114" s="12"/>
    </row>
    <row r="115">
      <c r="K115" s="12"/>
      <c r="L115" s="12"/>
      <c r="M115" s="12"/>
    </row>
    <row r="116">
      <c r="K116" s="12"/>
      <c r="L116" s="12"/>
      <c r="M116" s="12"/>
    </row>
    <row r="117">
      <c r="K117" s="12"/>
      <c r="L117" s="12"/>
      <c r="M117" s="12"/>
    </row>
    <row r="118">
      <c r="K118" s="12"/>
      <c r="L118" s="12"/>
      <c r="M118" s="12"/>
    </row>
    <row r="119">
      <c r="K119" s="12"/>
      <c r="L119" s="12"/>
      <c r="M119" s="12"/>
    </row>
    <row r="120">
      <c r="K120" s="12"/>
      <c r="L120" s="12"/>
      <c r="M120" s="12"/>
    </row>
    <row r="121">
      <c r="K121" s="12"/>
      <c r="L121" s="12"/>
      <c r="M121" s="12"/>
    </row>
    <row r="122">
      <c r="K122" s="12"/>
      <c r="L122" s="12"/>
      <c r="M122" s="12"/>
    </row>
    <row r="123">
      <c r="K123" s="12"/>
      <c r="L123" s="12"/>
      <c r="M123" s="12"/>
    </row>
    <row r="124">
      <c r="K124" s="12"/>
      <c r="L124" s="12"/>
      <c r="M124" s="12"/>
    </row>
    <row r="125">
      <c r="K125" s="12"/>
      <c r="L125" s="2"/>
      <c r="M125" s="2"/>
    </row>
    <row r="126">
      <c r="K126" s="12"/>
      <c r="L126" s="12"/>
      <c r="M126" s="12"/>
    </row>
    <row r="127">
      <c r="K127" s="12"/>
      <c r="L127" s="12"/>
      <c r="M127" s="12"/>
    </row>
    <row r="128">
      <c r="L128" s="12"/>
      <c r="M128" s="12"/>
    </row>
    <row r="129">
      <c r="K129" s="2"/>
      <c r="L129" s="12"/>
      <c r="M129" s="12"/>
    </row>
    <row r="130">
      <c r="K130" s="12"/>
      <c r="L130" s="12"/>
      <c r="M130" s="12"/>
    </row>
    <row r="131">
      <c r="K131" s="12"/>
      <c r="L131" s="12"/>
      <c r="M131" s="12"/>
    </row>
    <row r="132">
      <c r="K132" s="12"/>
      <c r="L132" s="12"/>
      <c r="M132" s="12"/>
    </row>
    <row r="133">
      <c r="K133" s="12"/>
      <c r="L133" s="12"/>
      <c r="M133" s="12"/>
    </row>
    <row r="134">
      <c r="K134" s="12"/>
      <c r="L134" s="12"/>
      <c r="M134" s="12"/>
    </row>
    <row r="135">
      <c r="K135" s="12"/>
      <c r="L135" s="12"/>
      <c r="M135" s="12"/>
    </row>
    <row r="136">
      <c r="K136" s="12"/>
      <c r="L136" s="12"/>
      <c r="M136" s="12"/>
    </row>
    <row r="137">
      <c r="K137" s="12"/>
      <c r="L137" s="12"/>
      <c r="M137" s="12"/>
    </row>
    <row r="138">
      <c r="K138" s="12"/>
      <c r="L138" s="12"/>
      <c r="M138" s="12"/>
    </row>
    <row r="139">
      <c r="K139" s="12"/>
      <c r="L139" s="12"/>
      <c r="M139" s="12"/>
    </row>
    <row r="140">
      <c r="K140" s="12"/>
      <c r="L140" s="12"/>
      <c r="M140" s="12"/>
    </row>
    <row r="141">
      <c r="K141" s="12"/>
      <c r="L141" s="12"/>
      <c r="M141" s="12"/>
    </row>
    <row r="142">
      <c r="K142" s="12"/>
      <c r="L142" s="12"/>
      <c r="M142" s="12"/>
    </row>
    <row r="143">
      <c r="K143" s="12"/>
      <c r="L143" s="12"/>
      <c r="M143" s="12"/>
    </row>
    <row r="144">
      <c r="K144" s="12"/>
      <c r="L144" s="12"/>
      <c r="M144" s="12"/>
    </row>
    <row r="145">
      <c r="K145" s="12"/>
      <c r="L145" s="12"/>
      <c r="M145" s="12"/>
    </row>
    <row r="146">
      <c r="K146" s="12"/>
      <c r="L146" s="12"/>
      <c r="M146" s="12"/>
    </row>
    <row r="147">
      <c r="K147" s="12"/>
      <c r="L147" s="12"/>
      <c r="M147" s="12"/>
    </row>
    <row r="148">
      <c r="K148" s="12"/>
      <c r="L148" s="12"/>
      <c r="M148" s="12"/>
    </row>
    <row r="149">
      <c r="K149" s="12"/>
      <c r="L149" s="12"/>
      <c r="M149" s="12"/>
    </row>
    <row r="150">
      <c r="K150" s="12"/>
      <c r="L150" s="12"/>
      <c r="M150" s="12"/>
    </row>
    <row r="151">
      <c r="K151" s="12"/>
      <c r="L151" s="12"/>
      <c r="M151" s="12"/>
    </row>
    <row r="152">
      <c r="K152" s="12"/>
      <c r="L152" s="12"/>
      <c r="M152" s="12"/>
    </row>
    <row r="153">
      <c r="K153" s="12"/>
      <c r="L153" s="12"/>
      <c r="M153" s="12"/>
    </row>
    <row r="154">
      <c r="K154" s="12"/>
      <c r="L154" s="12"/>
      <c r="M154" s="12"/>
    </row>
    <row r="155">
      <c r="K155" s="12"/>
      <c r="L155" s="12"/>
      <c r="M155" s="12"/>
    </row>
    <row r="156">
      <c r="K156" s="12"/>
      <c r="L156" s="2"/>
      <c r="M156" s="2"/>
    </row>
    <row r="157">
      <c r="K157" s="12"/>
      <c r="L157" s="12"/>
      <c r="M157" s="12"/>
    </row>
    <row r="158">
      <c r="K158" s="12"/>
      <c r="L158" s="12"/>
      <c r="M158" s="12"/>
    </row>
    <row r="159">
      <c r="K159" s="12"/>
      <c r="L159" s="12"/>
      <c r="M159" s="12"/>
    </row>
    <row r="160">
      <c r="L160" s="12"/>
      <c r="M160" s="12"/>
    </row>
    <row r="161">
      <c r="K161" s="2"/>
      <c r="L161" s="12"/>
      <c r="M161" s="12"/>
    </row>
    <row r="162">
      <c r="K162" s="12"/>
      <c r="L162" s="12"/>
      <c r="M162" s="12"/>
    </row>
    <row r="163">
      <c r="K163" s="12"/>
      <c r="L163" s="12"/>
      <c r="M163" s="12"/>
    </row>
    <row r="164">
      <c r="K164" s="12"/>
      <c r="L164" s="12"/>
      <c r="M164" s="12"/>
    </row>
    <row r="165">
      <c r="K165" s="12"/>
      <c r="L165" s="12"/>
      <c r="M165" s="12"/>
    </row>
    <row r="166">
      <c r="K166" s="12"/>
      <c r="L166" s="12"/>
      <c r="M166" s="12"/>
    </row>
    <row r="167">
      <c r="K167" s="12"/>
      <c r="L167" s="12"/>
      <c r="M167" s="12"/>
    </row>
    <row r="168">
      <c r="K168" s="12"/>
      <c r="L168" s="12"/>
      <c r="M168" s="12"/>
    </row>
    <row r="169">
      <c r="K169" s="12"/>
      <c r="L169" s="12"/>
      <c r="M169" s="12"/>
    </row>
    <row r="170">
      <c r="K170" s="12"/>
      <c r="L170" s="12"/>
      <c r="M170" s="12"/>
    </row>
    <row r="171">
      <c r="K171" s="12"/>
      <c r="L171" s="12"/>
      <c r="M171" s="12"/>
    </row>
    <row r="172">
      <c r="K172" s="12"/>
      <c r="L172" s="12"/>
      <c r="M172" s="12"/>
    </row>
    <row r="173">
      <c r="K173" s="12"/>
      <c r="L173" s="12"/>
      <c r="M173" s="12"/>
    </row>
    <row r="174">
      <c r="K174" s="12"/>
      <c r="L174" s="12"/>
      <c r="M174" s="12"/>
    </row>
    <row r="175">
      <c r="K175" s="12"/>
      <c r="L175" s="12"/>
      <c r="M175" s="12"/>
    </row>
    <row r="176">
      <c r="K176" s="12"/>
      <c r="L176" s="12"/>
      <c r="M176" s="12"/>
    </row>
    <row r="177">
      <c r="K177" s="12"/>
      <c r="L177" s="12"/>
      <c r="M177" s="12"/>
    </row>
    <row r="178">
      <c r="K178" s="12"/>
      <c r="L178" s="12"/>
      <c r="M178" s="12"/>
    </row>
    <row r="179">
      <c r="K179" s="12"/>
      <c r="L179" s="12"/>
      <c r="M179" s="12"/>
    </row>
    <row r="180">
      <c r="K180" s="12"/>
      <c r="L180" s="12"/>
      <c r="M180" s="12"/>
    </row>
    <row r="181">
      <c r="K181" s="12"/>
      <c r="L181" s="12"/>
      <c r="M181" s="12"/>
    </row>
    <row r="182">
      <c r="K182" s="12"/>
      <c r="L182" s="12"/>
      <c r="M182" s="12"/>
    </row>
    <row r="183">
      <c r="K183" s="12"/>
      <c r="L183" s="12"/>
      <c r="M183" s="12"/>
    </row>
    <row r="184">
      <c r="K184" s="12"/>
      <c r="L184" s="12"/>
      <c r="M184" s="12"/>
    </row>
    <row r="185">
      <c r="K185" s="12"/>
      <c r="L185" s="12"/>
      <c r="M185" s="12"/>
    </row>
    <row r="186">
      <c r="K186" s="12"/>
      <c r="L186" s="12"/>
      <c r="M186" s="12"/>
    </row>
    <row r="187">
      <c r="K187" s="12"/>
      <c r="L187" s="2"/>
      <c r="M187" s="2"/>
    </row>
    <row r="188">
      <c r="K188" s="12"/>
      <c r="L188" s="12"/>
      <c r="M188" s="12"/>
    </row>
    <row r="189">
      <c r="K189" s="12"/>
      <c r="L189" s="12"/>
      <c r="M189" s="12"/>
    </row>
    <row r="190">
      <c r="K190" s="12"/>
      <c r="L190" s="12"/>
      <c r="M190" s="12"/>
    </row>
    <row r="191">
      <c r="K191" s="12"/>
      <c r="L191" s="12"/>
      <c r="M191" s="12"/>
    </row>
    <row r="192">
      <c r="L192" s="12"/>
      <c r="M192" s="12"/>
    </row>
    <row r="193">
      <c r="K193" s="2"/>
      <c r="L193" s="12"/>
      <c r="M193" s="12"/>
    </row>
    <row r="194">
      <c r="K194" s="12"/>
      <c r="L194" s="12"/>
      <c r="M194" s="12"/>
    </row>
    <row r="195">
      <c r="K195" s="12"/>
      <c r="L195" s="12"/>
      <c r="M195" s="12"/>
    </row>
    <row r="196">
      <c r="K196" s="12"/>
      <c r="L196" s="12"/>
      <c r="M196" s="12"/>
    </row>
    <row r="197">
      <c r="K197" s="12"/>
      <c r="L197" s="12"/>
      <c r="M197" s="12"/>
    </row>
    <row r="198">
      <c r="K198" s="12"/>
      <c r="L198" s="12"/>
      <c r="M198" s="12"/>
    </row>
    <row r="199">
      <c r="K199" s="12"/>
      <c r="L199" s="12"/>
      <c r="M199" s="12"/>
    </row>
    <row r="200">
      <c r="K200" s="12"/>
      <c r="L200" s="12"/>
      <c r="M200" s="12"/>
    </row>
    <row r="201">
      <c r="K201" s="12"/>
      <c r="L201" s="12"/>
      <c r="M201" s="12"/>
    </row>
    <row r="202">
      <c r="K202" s="12"/>
      <c r="L202" s="12"/>
      <c r="M202" s="12"/>
    </row>
    <row r="203">
      <c r="K203" s="12"/>
      <c r="L203" s="12"/>
      <c r="M203" s="12"/>
    </row>
    <row r="204">
      <c r="K204" s="12"/>
      <c r="L204" s="12"/>
      <c r="M204" s="12"/>
    </row>
    <row r="205">
      <c r="K205" s="12"/>
      <c r="L205" s="12"/>
      <c r="M205" s="12"/>
    </row>
    <row r="206">
      <c r="K206" s="12"/>
      <c r="L206" s="12"/>
      <c r="M206" s="12"/>
    </row>
    <row r="207">
      <c r="K207" s="12"/>
      <c r="L207" s="12"/>
      <c r="M207" s="12"/>
    </row>
    <row r="208">
      <c r="K208" s="12"/>
      <c r="L208" s="12"/>
      <c r="M208" s="12"/>
    </row>
    <row r="209">
      <c r="K209" s="12"/>
      <c r="L209" s="12"/>
      <c r="M209" s="12"/>
    </row>
    <row r="210">
      <c r="K210" s="12"/>
      <c r="L210" s="12"/>
      <c r="M210" s="12"/>
    </row>
    <row r="211">
      <c r="K211" s="12"/>
      <c r="L211" s="12"/>
      <c r="M211" s="12"/>
    </row>
    <row r="212">
      <c r="K212" s="12"/>
      <c r="L212" s="12"/>
      <c r="M212" s="12"/>
    </row>
    <row r="213">
      <c r="K213" s="12"/>
      <c r="L213" s="12"/>
      <c r="M213" s="12"/>
    </row>
    <row r="214">
      <c r="K214" s="12"/>
      <c r="L214" s="12"/>
      <c r="M214" s="12"/>
    </row>
    <row r="215">
      <c r="K215" s="12"/>
      <c r="L215" s="12"/>
      <c r="M215" s="12"/>
    </row>
    <row r="216">
      <c r="K216" s="12"/>
      <c r="L216" s="12"/>
      <c r="M216" s="12"/>
    </row>
    <row r="217">
      <c r="K217" s="12"/>
      <c r="L217" s="12"/>
      <c r="M217" s="12"/>
    </row>
    <row r="218">
      <c r="K218" s="12"/>
      <c r="L218" s="2"/>
      <c r="M218" s="2"/>
    </row>
    <row r="219">
      <c r="K219" s="12"/>
      <c r="L219" s="12"/>
      <c r="M219" s="12"/>
    </row>
    <row r="220">
      <c r="K220" s="12"/>
      <c r="L220" s="12"/>
      <c r="M220" s="12"/>
    </row>
    <row r="221">
      <c r="K221" s="12"/>
      <c r="L221" s="12"/>
      <c r="M221" s="12"/>
    </row>
    <row r="222">
      <c r="K222" s="12"/>
      <c r="L222" s="12"/>
      <c r="M222" s="12"/>
    </row>
    <row r="223">
      <c r="K223" s="12"/>
      <c r="L223" s="12"/>
      <c r="M223" s="12"/>
    </row>
    <row r="224">
      <c r="L224" s="12"/>
      <c r="M224" s="12"/>
    </row>
    <row r="225">
      <c r="K225" s="2"/>
      <c r="L225" s="12"/>
      <c r="M225" s="12"/>
    </row>
    <row r="226">
      <c r="K226" s="12"/>
      <c r="L226" s="12"/>
      <c r="M226" s="12"/>
    </row>
    <row r="227">
      <c r="K227" s="12"/>
      <c r="L227" s="12"/>
      <c r="M227" s="12"/>
    </row>
    <row r="228">
      <c r="K228" s="12"/>
      <c r="L228" s="12"/>
      <c r="M228" s="12"/>
    </row>
    <row r="229">
      <c r="K229" s="12"/>
      <c r="L229" s="12"/>
      <c r="M229" s="12"/>
    </row>
    <row r="230">
      <c r="K230" s="12"/>
      <c r="L230" s="12"/>
      <c r="M230" s="12"/>
    </row>
    <row r="231">
      <c r="K231" s="12"/>
      <c r="L231" s="12"/>
      <c r="M231" s="12"/>
    </row>
    <row r="232">
      <c r="K232" s="12"/>
      <c r="L232" s="12"/>
      <c r="M232" s="12"/>
    </row>
    <row r="233">
      <c r="K233" s="12"/>
      <c r="L233" s="12"/>
      <c r="M233" s="12"/>
    </row>
    <row r="234">
      <c r="K234" s="12"/>
      <c r="L234" s="12"/>
      <c r="M234" s="12"/>
    </row>
    <row r="235">
      <c r="K235" s="12"/>
      <c r="L235" s="12"/>
      <c r="M235" s="12"/>
    </row>
    <row r="236">
      <c r="K236" s="12"/>
      <c r="L236" s="12"/>
      <c r="M236" s="12"/>
    </row>
    <row r="237">
      <c r="K237" s="12"/>
      <c r="L237" s="12"/>
      <c r="M237" s="12"/>
    </row>
    <row r="238">
      <c r="K238" s="12"/>
      <c r="L238" s="12"/>
      <c r="M238" s="12"/>
    </row>
    <row r="239">
      <c r="K239" s="12"/>
      <c r="L239" s="12"/>
      <c r="M239" s="12"/>
    </row>
    <row r="240">
      <c r="K240" s="12"/>
      <c r="L240" s="12"/>
      <c r="M240" s="12"/>
    </row>
    <row r="241">
      <c r="K241" s="12"/>
      <c r="L241" s="12"/>
      <c r="M241" s="12"/>
    </row>
    <row r="242">
      <c r="K242" s="12"/>
      <c r="L242" s="12"/>
      <c r="M242" s="12"/>
    </row>
    <row r="243">
      <c r="K243" s="12"/>
      <c r="L243" s="12"/>
      <c r="M243" s="12"/>
    </row>
    <row r="244">
      <c r="K244" s="12"/>
      <c r="L244" s="12"/>
      <c r="M244" s="12"/>
    </row>
    <row r="245">
      <c r="K245" s="12"/>
      <c r="L245" s="12"/>
      <c r="M245" s="12"/>
    </row>
    <row r="246">
      <c r="K246" s="12"/>
      <c r="L246" s="12"/>
      <c r="M246" s="12"/>
    </row>
    <row r="247">
      <c r="K247" s="12"/>
      <c r="L247" s="12"/>
      <c r="M247" s="12"/>
    </row>
    <row r="248">
      <c r="K248" s="12"/>
      <c r="L248" s="12"/>
      <c r="M248" s="12"/>
    </row>
    <row r="249">
      <c r="K249" s="12"/>
      <c r="L249" s="2"/>
      <c r="M249" s="2"/>
    </row>
    <row r="250">
      <c r="K250" s="12"/>
      <c r="L250" s="12"/>
      <c r="M250" s="12"/>
    </row>
    <row r="251">
      <c r="K251" s="12"/>
      <c r="L251" s="12"/>
      <c r="M251" s="12"/>
    </row>
    <row r="252">
      <c r="K252" s="12"/>
      <c r="L252" s="12"/>
      <c r="M252" s="12"/>
    </row>
    <row r="253">
      <c r="K253" s="12"/>
      <c r="L253" s="12"/>
      <c r="M253" s="12"/>
    </row>
    <row r="254">
      <c r="K254" s="12"/>
      <c r="L254" s="12"/>
      <c r="M254" s="12"/>
    </row>
    <row r="255">
      <c r="K255" s="12"/>
      <c r="L255" s="12"/>
      <c r="M255" s="12"/>
    </row>
    <row r="256">
      <c r="L256" s="12"/>
      <c r="M256" s="12"/>
    </row>
    <row r="257">
      <c r="K257" s="2"/>
      <c r="L257" s="12"/>
      <c r="M257" s="12"/>
    </row>
    <row r="258">
      <c r="K258" s="12"/>
      <c r="L258" s="12"/>
      <c r="M258" s="12"/>
    </row>
    <row r="259">
      <c r="K259" s="12"/>
      <c r="L259" s="12"/>
      <c r="M259" s="12"/>
    </row>
    <row r="260">
      <c r="K260" s="12"/>
      <c r="L260" s="12"/>
      <c r="M260" s="12"/>
    </row>
    <row r="261">
      <c r="K261" s="12"/>
      <c r="L261" s="12"/>
      <c r="M261" s="12"/>
    </row>
    <row r="262">
      <c r="K262" s="12"/>
      <c r="L262" s="12"/>
      <c r="M262" s="12"/>
    </row>
    <row r="263">
      <c r="K263" s="12"/>
      <c r="L263" s="12"/>
      <c r="M263" s="12"/>
    </row>
    <row r="264">
      <c r="K264" s="12"/>
      <c r="L264" s="12"/>
      <c r="M264" s="12"/>
    </row>
    <row r="265">
      <c r="K265" s="12"/>
      <c r="L265" s="12"/>
      <c r="M265" s="12"/>
    </row>
    <row r="266">
      <c r="K266" s="12"/>
      <c r="L266" s="12"/>
      <c r="M266" s="12"/>
    </row>
    <row r="267">
      <c r="K267" s="12"/>
      <c r="L267" s="12"/>
      <c r="M267" s="12"/>
    </row>
    <row r="268">
      <c r="K268" s="12"/>
      <c r="L268" s="12"/>
      <c r="M268" s="12"/>
    </row>
    <row r="269">
      <c r="K269" s="12"/>
      <c r="L269" s="12"/>
      <c r="M269" s="12"/>
    </row>
    <row r="270">
      <c r="K270" s="12"/>
      <c r="L270" s="12"/>
      <c r="M270" s="12"/>
    </row>
    <row r="271">
      <c r="K271" s="12"/>
      <c r="L271" s="12"/>
      <c r="M271" s="12"/>
    </row>
    <row r="272">
      <c r="K272" s="12"/>
      <c r="L272" s="12"/>
      <c r="M272" s="12"/>
    </row>
    <row r="273">
      <c r="K273" s="12"/>
      <c r="L273" s="12"/>
      <c r="M273" s="12"/>
    </row>
    <row r="274">
      <c r="K274" s="12"/>
      <c r="L274" s="12"/>
      <c r="M274" s="12"/>
    </row>
    <row r="275">
      <c r="K275" s="12"/>
      <c r="L275" s="12"/>
      <c r="M275" s="12"/>
    </row>
    <row r="276">
      <c r="K276" s="12"/>
      <c r="L276" s="12"/>
      <c r="M276" s="12"/>
    </row>
    <row r="277">
      <c r="K277" s="12"/>
      <c r="L277" s="12"/>
      <c r="M277" s="12"/>
    </row>
    <row r="278">
      <c r="K278" s="12"/>
      <c r="L278" s="12"/>
      <c r="M278" s="12"/>
    </row>
    <row r="279">
      <c r="K279" s="12"/>
      <c r="L279" s="12"/>
      <c r="M279" s="12"/>
    </row>
    <row r="280">
      <c r="K280" s="12"/>
      <c r="L280" s="2"/>
      <c r="M280" s="2"/>
    </row>
    <row r="281">
      <c r="K281" s="12"/>
      <c r="L281" s="12"/>
      <c r="M281" s="12"/>
    </row>
    <row r="282">
      <c r="K282" s="12"/>
      <c r="L282" s="12"/>
      <c r="M282" s="12"/>
    </row>
    <row r="283">
      <c r="K283" s="12"/>
      <c r="L283" s="12"/>
      <c r="M283" s="12"/>
    </row>
    <row r="284">
      <c r="K284" s="12"/>
      <c r="L284" s="12"/>
      <c r="M284" s="12"/>
    </row>
    <row r="285">
      <c r="K285" s="12"/>
      <c r="L285" s="12"/>
      <c r="M285" s="12"/>
    </row>
    <row r="286">
      <c r="K286" s="12"/>
      <c r="L286" s="12"/>
      <c r="M286" s="12"/>
    </row>
    <row r="287">
      <c r="K287" s="12"/>
      <c r="L287" s="12"/>
      <c r="M287" s="12"/>
    </row>
    <row r="288">
      <c r="L288" s="12"/>
      <c r="M288" s="12"/>
    </row>
    <row r="289">
      <c r="K289" s="2"/>
      <c r="L289" s="12"/>
      <c r="M289" s="12"/>
    </row>
    <row r="290">
      <c r="K290" s="12"/>
      <c r="L290" s="12"/>
      <c r="M290" s="12"/>
    </row>
    <row r="291">
      <c r="K291" s="12"/>
      <c r="L291" s="12"/>
      <c r="M291" s="12"/>
    </row>
    <row r="292">
      <c r="K292" s="12"/>
      <c r="L292" s="12"/>
      <c r="M292" s="12"/>
    </row>
    <row r="293">
      <c r="K293" s="12"/>
      <c r="L293" s="12"/>
      <c r="M293" s="12"/>
    </row>
    <row r="294">
      <c r="K294" s="12"/>
      <c r="L294" s="12"/>
      <c r="M294" s="12"/>
    </row>
    <row r="295">
      <c r="K295" s="12"/>
      <c r="L295" s="12"/>
      <c r="M295" s="12"/>
    </row>
    <row r="296">
      <c r="K296" s="12"/>
      <c r="L296" s="12"/>
      <c r="M296" s="12"/>
    </row>
    <row r="297">
      <c r="K297" s="12"/>
      <c r="L297" s="12"/>
      <c r="M297" s="12"/>
    </row>
    <row r="298">
      <c r="K298" s="12"/>
      <c r="L298" s="12"/>
      <c r="M298" s="12"/>
    </row>
    <row r="299">
      <c r="K299" s="12"/>
      <c r="L299" s="12"/>
      <c r="M299" s="12"/>
    </row>
    <row r="300">
      <c r="K300" s="12"/>
      <c r="L300" s="12"/>
      <c r="M300" s="12"/>
    </row>
    <row r="301">
      <c r="K301" s="12"/>
      <c r="L301" s="12"/>
      <c r="M301" s="12"/>
    </row>
    <row r="302">
      <c r="K302" s="12"/>
      <c r="L302" s="12"/>
      <c r="M302" s="12"/>
    </row>
    <row r="303">
      <c r="K303" s="12"/>
      <c r="L303" s="12"/>
      <c r="M303" s="12"/>
    </row>
    <row r="304">
      <c r="K304" s="12"/>
      <c r="L304" s="12"/>
      <c r="M304" s="12"/>
    </row>
    <row r="305">
      <c r="K305" s="12"/>
      <c r="L305" s="12"/>
      <c r="M305" s="12"/>
    </row>
    <row r="306">
      <c r="K306" s="12"/>
      <c r="L306" s="12"/>
      <c r="M306" s="12"/>
    </row>
    <row r="307">
      <c r="K307" s="12"/>
      <c r="L307" s="12"/>
      <c r="M307" s="12"/>
    </row>
    <row r="308">
      <c r="K308" s="12"/>
      <c r="L308" s="12"/>
      <c r="M308" s="12"/>
    </row>
    <row r="309">
      <c r="K309" s="12"/>
      <c r="L309" s="12"/>
      <c r="M309" s="12"/>
    </row>
    <row r="310">
      <c r="K310" s="12"/>
      <c r="L310" s="12"/>
      <c r="M310" s="12"/>
    </row>
    <row r="311">
      <c r="K311" s="12"/>
      <c r="L311" s="2"/>
      <c r="M311" s="2"/>
    </row>
    <row r="312">
      <c r="K312" s="12"/>
      <c r="L312" s="12"/>
      <c r="M312" s="12"/>
    </row>
    <row r="313">
      <c r="K313" s="12"/>
      <c r="L313" s="12"/>
      <c r="M313" s="12"/>
    </row>
    <row r="314">
      <c r="K314" s="12"/>
      <c r="L314" s="12"/>
      <c r="M314" s="12"/>
    </row>
    <row r="315">
      <c r="K315" s="12"/>
      <c r="L315" s="12"/>
      <c r="M315" s="12"/>
    </row>
    <row r="316">
      <c r="K316" s="12"/>
      <c r="L316" s="12"/>
      <c r="M316" s="12"/>
    </row>
    <row r="317">
      <c r="K317" s="12"/>
      <c r="L317" s="12"/>
      <c r="M317" s="12"/>
    </row>
    <row r="318">
      <c r="K318" s="12"/>
      <c r="L318" s="12"/>
      <c r="M318" s="12"/>
    </row>
    <row r="319">
      <c r="K319" s="12"/>
      <c r="L319" s="12"/>
      <c r="M319" s="12"/>
    </row>
    <row r="320">
      <c r="L320" s="12"/>
      <c r="M320" s="12"/>
    </row>
    <row r="321">
      <c r="K321" s="2"/>
      <c r="L321" s="12"/>
      <c r="M321" s="12"/>
    </row>
    <row r="322">
      <c r="K322" s="12"/>
      <c r="L322" s="12"/>
      <c r="M322" s="12"/>
    </row>
    <row r="323">
      <c r="K323" s="12"/>
      <c r="L323" s="12"/>
      <c r="M323" s="12"/>
    </row>
    <row r="324">
      <c r="K324" s="12"/>
      <c r="L324" s="12"/>
      <c r="M324" s="12"/>
    </row>
    <row r="325">
      <c r="K325" s="12"/>
      <c r="L325" s="12"/>
      <c r="M325" s="12"/>
    </row>
    <row r="326">
      <c r="K326" s="12"/>
      <c r="L326" s="12"/>
      <c r="M326" s="12"/>
    </row>
    <row r="327">
      <c r="K327" s="12"/>
      <c r="L327" s="12"/>
      <c r="M327" s="12"/>
    </row>
    <row r="328">
      <c r="K328" s="12"/>
      <c r="L328" s="12"/>
      <c r="M328" s="12"/>
    </row>
    <row r="329">
      <c r="K329" s="12"/>
      <c r="L329" s="12"/>
      <c r="M329" s="12"/>
    </row>
    <row r="330">
      <c r="K330" s="12"/>
      <c r="L330" s="12"/>
      <c r="M330" s="12"/>
    </row>
    <row r="331">
      <c r="K331" s="12"/>
      <c r="L331" s="12"/>
      <c r="M331" s="12"/>
    </row>
    <row r="332">
      <c r="K332" s="12"/>
      <c r="L332" s="12"/>
      <c r="M332" s="12"/>
    </row>
    <row r="333">
      <c r="K333" s="12"/>
      <c r="L333" s="12"/>
      <c r="M333" s="12"/>
    </row>
    <row r="334">
      <c r="K334" s="12"/>
      <c r="L334" s="12"/>
      <c r="M334" s="12"/>
    </row>
    <row r="335">
      <c r="K335" s="12"/>
      <c r="L335" s="12"/>
      <c r="M335" s="12"/>
    </row>
    <row r="336">
      <c r="K336" s="12"/>
      <c r="L336" s="12"/>
      <c r="M336" s="12"/>
    </row>
    <row r="337">
      <c r="K337" s="12"/>
      <c r="L337" s="12"/>
      <c r="M337" s="12"/>
    </row>
    <row r="338">
      <c r="K338" s="12"/>
      <c r="L338" s="12"/>
      <c r="M338" s="12"/>
    </row>
    <row r="339">
      <c r="K339" s="12"/>
      <c r="L339" s="12"/>
      <c r="M339" s="12"/>
    </row>
    <row r="340">
      <c r="K340" s="12"/>
      <c r="L340" s="12"/>
      <c r="M340" s="12"/>
    </row>
    <row r="341">
      <c r="K341" s="12"/>
      <c r="L341" s="12"/>
      <c r="M341" s="12"/>
    </row>
    <row r="342">
      <c r="K342" s="12"/>
      <c r="L342" s="2"/>
      <c r="M342" s="2"/>
    </row>
    <row r="343">
      <c r="K343" s="12"/>
      <c r="L343" s="12"/>
      <c r="M343" s="12"/>
    </row>
    <row r="344">
      <c r="K344" s="12"/>
      <c r="L344" s="12"/>
      <c r="M344" s="12"/>
    </row>
    <row r="345">
      <c r="K345" s="12"/>
      <c r="L345" s="12"/>
      <c r="M345" s="12"/>
    </row>
    <row r="346">
      <c r="K346" s="12"/>
      <c r="L346" s="12"/>
      <c r="M346" s="12"/>
    </row>
    <row r="347">
      <c r="K347" s="12"/>
      <c r="L347" s="12"/>
      <c r="M347" s="12"/>
    </row>
    <row r="348">
      <c r="K348" s="12"/>
      <c r="L348" s="12"/>
      <c r="M348" s="12"/>
    </row>
    <row r="349">
      <c r="K349" s="12"/>
      <c r="L349" s="12"/>
      <c r="M349" s="12"/>
    </row>
    <row r="350">
      <c r="K350" s="12"/>
      <c r="L350" s="12"/>
      <c r="M350" s="12"/>
    </row>
    <row r="351">
      <c r="K351" s="12"/>
      <c r="L351" s="12"/>
      <c r="M351" s="12"/>
    </row>
    <row r="352">
      <c r="L352" s="12"/>
      <c r="M352" s="12"/>
    </row>
    <row r="353">
      <c r="K353" s="2"/>
      <c r="L353" s="12"/>
      <c r="M353" s="12"/>
    </row>
    <row r="354">
      <c r="K354" s="12"/>
      <c r="L354" s="12"/>
      <c r="M354" s="12"/>
    </row>
    <row r="355">
      <c r="K355" s="12"/>
      <c r="L355" s="12"/>
      <c r="M355" s="12"/>
    </row>
    <row r="356">
      <c r="K356" s="12"/>
      <c r="L356" s="12"/>
      <c r="M356" s="12"/>
    </row>
    <row r="357">
      <c r="K357" s="12"/>
      <c r="L357" s="12"/>
      <c r="M357" s="12"/>
    </row>
    <row r="358">
      <c r="K358" s="12"/>
      <c r="L358" s="12"/>
      <c r="M358" s="12"/>
    </row>
    <row r="359">
      <c r="K359" s="12"/>
      <c r="L359" s="12"/>
      <c r="M359" s="12"/>
    </row>
    <row r="360">
      <c r="K360" s="12"/>
      <c r="L360" s="12"/>
      <c r="M360" s="12"/>
    </row>
    <row r="361">
      <c r="K361" s="12"/>
      <c r="L361" s="12"/>
      <c r="M361" s="12"/>
    </row>
    <row r="362">
      <c r="K362" s="12"/>
      <c r="L362" s="12"/>
      <c r="M362" s="12"/>
    </row>
    <row r="363">
      <c r="K363" s="12"/>
      <c r="L363" s="12"/>
      <c r="M363" s="12"/>
    </row>
    <row r="364">
      <c r="K364" s="12"/>
      <c r="L364" s="12"/>
      <c r="M364" s="12"/>
    </row>
    <row r="365">
      <c r="K365" s="12"/>
      <c r="L365" s="12"/>
      <c r="M365" s="12"/>
    </row>
    <row r="366">
      <c r="K366" s="12"/>
      <c r="L366" s="12"/>
      <c r="M366" s="12"/>
    </row>
    <row r="367">
      <c r="K367" s="12"/>
      <c r="L367" s="12"/>
      <c r="M367" s="12"/>
    </row>
    <row r="368">
      <c r="K368" s="12"/>
      <c r="L368" s="12"/>
      <c r="M368" s="12"/>
    </row>
    <row r="369">
      <c r="K369" s="12"/>
      <c r="L369" s="12"/>
      <c r="M369" s="12"/>
    </row>
    <row r="370">
      <c r="K370" s="12"/>
      <c r="L370" s="12"/>
      <c r="M370" s="12"/>
    </row>
    <row r="371">
      <c r="K371" s="12"/>
      <c r="L371" s="12"/>
      <c r="M371" s="12"/>
    </row>
    <row r="372">
      <c r="K372" s="12"/>
      <c r="L372" s="12"/>
      <c r="M372" s="12"/>
    </row>
    <row r="373">
      <c r="K373" s="12"/>
      <c r="L373" s="2"/>
      <c r="M373" s="2"/>
    </row>
    <row r="374">
      <c r="K374" s="12"/>
      <c r="L374" s="12"/>
      <c r="M374" s="12"/>
    </row>
    <row r="375">
      <c r="K375" s="12"/>
      <c r="L375" s="12"/>
      <c r="M375" s="12"/>
    </row>
    <row r="376">
      <c r="K376" s="12"/>
      <c r="L376" s="12"/>
      <c r="M376" s="12"/>
    </row>
    <row r="377">
      <c r="K377" s="12"/>
      <c r="L377" s="12"/>
      <c r="M377" s="12"/>
    </row>
    <row r="378">
      <c r="K378" s="12"/>
      <c r="L378" s="12"/>
      <c r="M378" s="12"/>
    </row>
    <row r="379">
      <c r="K379" s="12"/>
      <c r="L379" s="12"/>
      <c r="M379" s="12"/>
    </row>
    <row r="380">
      <c r="K380" s="12"/>
      <c r="L380" s="12"/>
      <c r="M380" s="12"/>
    </row>
    <row r="381">
      <c r="K381" s="12"/>
      <c r="L381" s="12"/>
      <c r="M381" s="12"/>
    </row>
    <row r="382">
      <c r="K382" s="12"/>
      <c r="L382" s="12"/>
      <c r="M382" s="12"/>
    </row>
    <row r="383">
      <c r="K383" s="12"/>
      <c r="L383" s="12"/>
      <c r="M383" s="12"/>
    </row>
    <row r="384">
      <c r="L384" s="12"/>
      <c r="M384" s="12"/>
    </row>
    <row r="385">
      <c r="K385" s="2"/>
      <c r="L385" s="12"/>
      <c r="M385" s="12"/>
    </row>
    <row r="386">
      <c r="K386" s="12"/>
      <c r="L386" s="12"/>
      <c r="M386" s="12"/>
    </row>
    <row r="387">
      <c r="K387" s="12"/>
      <c r="L387" s="12"/>
      <c r="M387" s="12"/>
    </row>
    <row r="388">
      <c r="K388" s="12"/>
      <c r="L388" s="12"/>
      <c r="M388" s="12"/>
    </row>
    <row r="389">
      <c r="K389" s="12"/>
      <c r="L389" s="12"/>
      <c r="M389" s="12"/>
    </row>
    <row r="390">
      <c r="K390" s="12"/>
      <c r="L390" s="12"/>
      <c r="M390" s="12"/>
    </row>
    <row r="391">
      <c r="K391" s="12"/>
      <c r="L391" s="12"/>
      <c r="M391" s="12"/>
    </row>
    <row r="392">
      <c r="K392" s="12"/>
      <c r="L392" s="12"/>
      <c r="M392" s="12"/>
    </row>
    <row r="393">
      <c r="K393" s="12"/>
      <c r="L393" s="12"/>
      <c r="M393" s="12"/>
    </row>
    <row r="394">
      <c r="K394" s="12"/>
      <c r="L394" s="12"/>
      <c r="M394" s="12"/>
    </row>
    <row r="395">
      <c r="K395" s="12"/>
      <c r="L395" s="12"/>
      <c r="M395" s="12"/>
    </row>
    <row r="396">
      <c r="K396" s="12"/>
      <c r="L396" s="12"/>
      <c r="M396" s="12"/>
    </row>
    <row r="397">
      <c r="K397" s="12"/>
      <c r="L397" s="12"/>
      <c r="M397" s="12"/>
    </row>
    <row r="398">
      <c r="K398" s="12"/>
      <c r="L398" s="12"/>
      <c r="M398" s="12"/>
    </row>
    <row r="399">
      <c r="K399" s="12"/>
      <c r="L399" s="12"/>
      <c r="M399" s="12"/>
    </row>
    <row r="400">
      <c r="K400" s="12"/>
      <c r="L400" s="12"/>
      <c r="M400" s="12"/>
    </row>
    <row r="401">
      <c r="K401" s="12"/>
      <c r="L401" s="12"/>
      <c r="M401" s="12"/>
    </row>
    <row r="402">
      <c r="K402" s="12"/>
      <c r="L402" s="12"/>
      <c r="M402" s="12"/>
    </row>
    <row r="403">
      <c r="K403" s="12"/>
      <c r="L403" s="12"/>
      <c r="M403" s="12"/>
    </row>
    <row r="404">
      <c r="K404" s="12"/>
      <c r="L404" s="2"/>
      <c r="M404" s="2"/>
    </row>
    <row r="405">
      <c r="K405" s="12"/>
      <c r="L405" s="12"/>
      <c r="M405" s="12"/>
    </row>
    <row r="406">
      <c r="K406" s="12"/>
      <c r="L406" s="12"/>
      <c r="M406" s="12"/>
    </row>
    <row r="407">
      <c r="K407" s="12"/>
      <c r="L407" s="12"/>
      <c r="M407" s="12"/>
    </row>
    <row r="408">
      <c r="K408" s="12"/>
      <c r="L408" s="12"/>
      <c r="M408" s="12"/>
    </row>
    <row r="409">
      <c r="K409" s="12"/>
      <c r="L409" s="12"/>
      <c r="M409" s="12"/>
    </row>
    <row r="410">
      <c r="K410" s="12"/>
      <c r="L410" s="12"/>
      <c r="M410" s="12"/>
    </row>
    <row r="411">
      <c r="K411" s="12"/>
      <c r="L411" s="12"/>
      <c r="M411" s="12"/>
    </row>
    <row r="412">
      <c r="K412" s="12"/>
      <c r="L412" s="12"/>
      <c r="M412" s="12"/>
    </row>
    <row r="413">
      <c r="K413" s="12"/>
      <c r="L413" s="12"/>
      <c r="M413" s="12"/>
    </row>
    <row r="414">
      <c r="K414" s="12"/>
      <c r="L414" s="12"/>
      <c r="M414" s="12"/>
    </row>
    <row r="415">
      <c r="K415" s="12"/>
      <c r="L415" s="12"/>
      <c r="M415" s="12"/>
    </row>
    <row r="416">
      <c r="L416" s="12"/>
      <c r="M416" s="12"/>
    </row>
    <row r="417">
      <c r="K417" s="2"/>
      <c r="L417" s="12"/>
      <c r="M417" s="12"/>
    </row>
    <row r="418">
      <c r="K418" s="12"/>
      <c r="L418" s="12"/>
      <c r="M418" s="12"/>
    </row>
    <row r="419">
      <c r="K419" s="12"/>
      <c r="L419" s="12"/>
      <c r="M419" s="12"/>
    </row>
    <row r="420">
      <c r="K420" s="12"/>
      <c r="L420" s="12"/>
      <c r="M420" s="12"/>
    </row>
    <row r="421">
      <c r="K421" s="12"/>
      <c r="L421" s="12"/>
      <c r="M421" s="12"/>
    </row>
    <row r="422">
      <c r="K422" s="12"/>
      <c r="L422" s="12"/>
      <c r="M422" s="12"/>
    </row>
    <row r="423">
      <c r="K423" s="12"/>
      <c r="L423" s="12"/>
      <c r="M423" s="12"/>
    </row>
    <row r="424">
      <c r="K424" s="12"/>
      <c r="L424" s="12"/>
      <c r="M424" s="12"/>
    </row>
    <row r="425">
      <c r="K425" s="12"/>
      <c r="L425" s="12"/>
      <c r="M425" s="12"/>
    </row>
    <row r="426">
      <c r="K426" s="12"/>
      <c r="L426" s="12"/>
      <c r="M426" s="12"/>
    </row>
    <row r="427">
      <c r="K427" s="12"/>
      <c r="L427" s="12"/>
      <c r="M427" s="12"/>
    </row>
    <row r="428">
      <c r="K428" s="12"/>
      <c r="L428" s="12"/>
      <c r="M428" s="12"/>
    </row>
    <row r="429">
      <c r="K429" s="12"/>
      <c r="L429" s="12"/>
      <c r="M429" s="12"/>
    </row>
    <row r="430">
      <c r="K430" s="12"/>
      <c r="L430" s="12"/>
      <c r="M430" s="12"/>
    </row>
    <row r="431">
      <c r="K431" s="12"/>
      <c r="L431" s="12"/>
      <c r="M431" s="12"/>
    </row>
    <row r="432">
      <c r="K432" s="12"/>
      <c r="L432" s="12"/>
      <c r="M432" s="12"/>
    </row>
    <row r="433">
      <c r="K433" s="12"/>
      <c r="L433" s="12"/>
      <c r="M433" s="12"/>
    </row>
    <row r="434">
      <c r="K434" s="12"/>
      <c r="L434" s="12"/>
      <c r="M434" s="12"/>
    </row>
    <row r="435">
      <c r="K435" s="12"/>
      <c r="L435" s="2"/>
      <c r="M435" s="2"/>
    </row>
    <row r="436">
      <c r="K436" s="12"/>
      <c r="L436" s="12"/>
      <c r="M436" s="12"/>
    </row>
    <row r="437">
      <c r="K437" s="12"/>
      <c r="L437" s="12"/>
      <c r="M437" s="12"/>
    </row>
    <row r="438">
      <c r="K438" s="12"/>
      <c r="L438" s="12"/>
      <c r="M438" s="12"/>
    </row>
    <row r="439">
      <c r="K439" s="12"/>
      <c r="L439" s="12"/>
      <c r="M439" s="12"/>
    </row>
    <row r="440">
      <c r="K440" s="12"/>
      <c r="L440" s="12"/>
      <c r="M440" s="12"/>
    </row>
    <row r="441">
      <c r="K441" s="12"/>
      <c r="L441" s="12"/>
      <c r="M441" s="12"/>
    </row>
    <row r="442">
      <c r="K442" s="12"/>
      <c r="L442" s="12"/>
      <c r="M442" s="12"/>
    </row>
    <row r="443">
      <c r="K443" s="12"/>
      <c r="L443" s="12"/>
      <c r="M443" s="12"/>
    </row>
    <row r="444">
      <c r="K444" s="12"/>
      <c r="L444" s="12"/>
      <c r="M444" s="12"/>
    </row>
    <row r="445">
      <c r="K445" s="12"/>
      <c r="L445" s="12"/>
      <c r="M445" s="12"/>
    </row>
    <row r="446">
      <c r="K446" s="12"/>
      <c r="L446" s="12"/>
      <c r="M446" s="12"/>
    </row>
    <row r="447">
      <c r="K447" s="12"/>
      <c r="L447" s="12"/>
      <c r="M447" s="12"/>
    </row>
    <row r="448">
      <c r="L448" s="12"/>
      <c r="M448" s="12"/>
    </row>
    <row r="449">
      <c r="K449" s="2"/>
      <c r="L449" s="12"/>
      <c r="M449" s="12"/>
    </row>
    <row r="450">
      <c r="K450" s="12"/>
      <c r="L450" s="12"/>
      <c r="M450" s="12"/>
    </row>
    <row r="451">
      <c r="K451" s="12"/>
      <c r="L451" s="12"/>
      <c r="M451" s="12"/>
    </row>
    <row r="452">
      <c r="K452" s="12"/>
      <c r="L452" s="12"/>
      <c r="M452" s="12"/>
    </row>
    <row r="453">
      <c r="K453" s="12"/>
      <c r="L453" s="12"/>
      <c r="M453" s="12"/>
    </row>
    <row r="454">
      <c r="K454" s="12"/>
      <c r="L454" s="12"/>
      <c r="M454" s="12"/>
    </row>
    <row r="455">
      <c r="K455" s="12"/>
      <c r="L455" s="12"/>
      <c r="M455" s="12"/>
    </row>
    <row r="456">
      <c r="K456" s="12"/>
      <c r="L456" s="12"/>
      <c r="M456" s="12"/>
    </row>
    <row r="457">
      <c r="K457" s="12"/>
      <c r="L457" s="12"/>
      <c r="M457" s="12"/>
    </row>
    <row r="458">
      <c r="K458" s="12"/>
      <c r="L458" s="12"/>
      <c r="M458" s="12"/>
    </row>
    <row r="459">
      <c r="K459" s="12"/>
      <c r="L459" s="12"/>
      <c r="M459" s="12"/>
    </row>
    <row r="460">
      <c r="K460" s="12"/>
      <c r="L460" s="12"/>
      <c r="M460" s="12"/>
    </row>
    <row r="461">
      <c r="K461" s="12"/>
      <c r="L461" s="12"/>
      <c r="M461" s="12"/>
    </row>
    <row r="462">
      <c r="K462" s="12"/>
      <c r="L462" s="12"/>
      <c r="M462" s="12"/>
    </row>
    <row r="463">
      <c r="K463" s="12"/>
      <c r="L463" s="12"/>
      <c r="M463" s="12"/>
    </row>
    <row r="464">
      <c r="K464" s="12"/>
      <c r="L464" s="12"/>
      <c r="M464" s="12"/>
    </row>
    <row r="465">
      <c r="K465" s="12"/>
      <c r="L465" s="12"/>
      <c r="M465" s="12"/>
    </row>
    <row r="466">
      <c r="K466" s="12"/>
      <c r="L466" s="2"/>
      <c r="M466" s="2"/>
    </row>
    <row r="467">
      <c r="K467" s="12"/>
      <c r="L467" s="12"/>
      <c r="M467" s="12"/>
    </row>
    <row r="468">
      <c r="K468" s="12"/>
      <c r="L468" s="12"/>
      <c r="M468" s="12"/>
    </row>
    <row r="469">
      <c r="K469" s="12"/>
      <c r="L469" s="12"/>
      <c r="M469" s="12"/>
    </row>
    <row r="470">
      <c r="K470" s="12"/>
      <c r="L470" s="12"/>
      <c r="M470" s="12"/>
    </row>
    <row r="471">
      <c r="K471" s="12"/>
      <c r="L471" s="12"/>
      <c r="M471" s="12"/>
    </row>
    <row r="472">
      <c r="K472" s="12"/>
      <c r="L472" s="12"/>
      <c r="M472" s="12"/>
    </row>
    <row r="473">
      <c r="K473" s="12"/>
      <c r="L473" s="12"/>
      <c r="M473" s="12"/>
    </row>
    <row r="474">
      <c r="K474" s="12"/>
      <c r="L474" s="12"/>
      <c r="M474" s="12"/>
    </row>
    <row r="475">
      <c r="K475" s="12"/>
      <c r="L475" s="12"/>
      <c r="M475" s="12"/>
    </row>
    <row r="476">
      <c r="K476" s="12"/>
      <c r="L476" s="12"/>
      <c r="M476" s="12"/>
    </row>
    <row r="477">
      <c r="K477" s="12"/>
      <c r="L477" s="12"/>
      <c r="M477" s="12"/>
    </row>
    <row r="478">
      <c r="K478" s="12"/>
      <c r="L478" s="12"/>
      <c r="M478" s="12"/>
    </row>
    <row r="479">
      <c r="K479" s="12"/>
      <c r="L479" s="12"/>
      <c r="M479" s="12"/>
    </row>
    <row r="480">
      <c r="L480" s="12"/>
      <c r="M480" s="12"/>
    </row>
    <row r="481">
      <c r="K481" s="2"/>
      <c r="L481" s="12"/>
      <c r="M481" s="12"/>
    </row>
    <row r="482">
      <c r="K482" s="12"/>
      <c r="L482" s="12"/>
      <c r="M482" s="12"/>
    </row>
    <row r="483">
      <c r="K483" s="12"/>
      <c r="L483" s="12"/>
      <c r="M483" s="12"/>
    </row>
    <row r="484">
      <c r="K484" s="12"/>
      <c r="L484" s="12"/>
      <c r="M484" s="12"/>
    </row>
    <row r="485">
      <c r="K485" s="12"/>
      <c r="L485" s="12"/>
      <c r="M485" s="12"/>
    </row>
    <row r="486">
      <c r="K486" s="12"/>
      <c r="L486" s="12"/>
      <c r="M486" s="12"/>
    </row>
    <row r="487">
      <c r="K487" s="12"/>
      <c r="L487" s="12"/>
      <c r="M487" s="12"/>
    </row>
    <row r="488">
      <c r="K488" s="12"/>
      <c r="L488" s="12"/>
      <c r="M488" s="12"/>
    </row>
    <row r="489">
      <c r="K489" s="12"/>
      <c r="L489" s="12"/>
      <c r="M489" s="12"/>
    </row>
    <row r="490">
      <c r="K490" s="12"/>
      <c r="L490" s="12"/>
      <c r="M490" s="12"/>
    </row>
    <row r="491">
      <c r="K491" s="12"/>
      <c r="L491" s="12"/>
      <c r="M491" s="12"/>
    </row>
    <row r="492">
      <c r="K492" s="12"/>
      <c r="L492" s="12"/>
      <c r="M492" s="12"/>
    </row>
    <row r="493">
      <c r="K493" s="12"/>
      <c r="L493" s="12"/>
      <c r="M493" s="12"/>
    </row>
    <row r="494">
      <c r="K494" s="12"/>
      <c r="L494" s="12"/>
      <c r="M494" s="12"/>
    </row>
    <row r="495">
      <c r="K495" s="12"/>
      <c r="L495" s="12"/>
      <c r="M495" s="12"/>
    </row>
    <row r="496">
      <c r="K496" s="12"/>
      <c r="L496" s="12"/>
      <c r="M496" s="12"/>
    </row>
    <row r="497">
      <c r="K497" s="12"/>
      <c r="L497" s="2"/>
      <c r="M497" s="2"/>
    </row>
    <row r="498">
      <c r="K498" s="12"/>
      <c r="L498" s="12"/>
      <c r="M498" s="12"/>
    </row>
    <row r="499">
      <c r="K499" s="12"/>
      <c r="L499" s="12"/>
      <c r="M499" s="12"/>
    </row>
    <row r="500">
      <c r="K500" s="12"/>
      <c r="L500" s="12"/>
      <c r="M500" s="12"/>
    </row>
    <row r="501">
      <c r="K501" s="12"/>
      <c r="L501" s="12"/>
      <c r="M501" s="12"/>
    </row>
    <row r="502">
      <c r="K502" s="12"/>
      <c r="L502" s="12"/>
      <c r="M502" s="12"/>
    </row>
    <row r="503">
      <c r="K503" s="12"/>
      <c r="L503" s="12"/>
      <c r="M503" s="12"/>
    </row>
    <row r="504">
      <c r="K504" s="12"/>
      <c r="L504" s="12"/>
      <c r="M504" s="12"/>
    </row>
    <row r="505">
      <c r="K505" s="12"/>
      <c r="L505" s="12"/>
      <c r="M505" s="12"/>
    </row>
    <row r="506">
      <c r="K506" s="12"/>
      <c r="L506" s="12"/>
      <c r="M506" s="12"/>
    </row>
    <row r="507">
      <c r="K507" s="12"/>
      <c r="L507" s="12"/>
      <c r="M507" s="12"/>
    </row>
    <row r="508">
      <c r="K508" s="12"/>
      <c r="L508" s="12"/>
      <c r="M508" s="12"/>
    </row>
    <row r="509">
      <c r="K509" s="12"/>
      <c r="L509" s="12"/>
      <c r="M509" s="12"/>
    </row>
    <row r="510">
      <c r="K510" s="12"/>
      <c r="L510" s="12"/>
      <c r="M510" s="12"/>
    </row>
    <row r="511">
      <c r="K511" s="12"/>
      <c r="L511" s="12"/>
      <c r="M511" s="12"/>
    </row>
    <row r="512">
      <c r="L512" s="12"/>
      <c r="M512" s="12"/>
    </row>
    <row r="513">
      <c r="K513" s="2"/>
      <c r="L513" s="12"/>
      <c r="M513" s="12"/>
    </row>
    <row r="514">
      <c r="K514" s="12"/>
      <c r="L514" s="12"/>
      <c r="M514" s="12"/>
    </row>
    <row r="515">
      <c r="K515" s="12"/>
      <c r="L515" s="12"/>
      <c r="M515" s="12"/>
    </row>
    <row r="516">
      <c r="K516" s="12"/>
      <c r="L516" s="12"/>
      <c r="M516" s="12"/>
    </row>
    <row r="517">
      <c r="K517" s="12"/>
      <c r="L517" s="12"/>
      <c r="M517" s="12"/>
    </row>
    <row r="518">
      <c r="K518" s="12"/>
      <c r="L518" s="12"/>
      <c r="M518" s="12"/>
    </row>
    <row r="519">
      <c r="K519" s="12"/>
      <c r="L519" s="12"/>
      <c r="M519" s="12"/>
    </row>
    <row r="520">
      <c r="K520" s="12"/>
      <c r="L520" s="12"/>
      <c r="M520" s="12"/>
    </row>
    <row r="521">
      <c r="K521" s="12"/>
      <c r="L521" s="12"/>
      <c r="M521" s="12"/>
    </row>
    <row r="522">
      <c r="K522" s="12"/>
      <c r="L522" s="12"/>
      <c r="M522" s="12"/>
    </row>
    <row r="523">
      <c r="K523" s="12"/>
      <c r="L523" s="12"/>
      <c r="M523" s="12"/>
    </row>
    <row r="524">
      <c r="K524" s="12"/>
      <c r="L524" s="12"/>
      <c r="M524" s="12"/>
    </row>
    <row r="525">
      <c r="K525" s="12"/>
      <c r="L525" s="12"/>
      <c r="M525" s="12"/>
    </row>
    <row r="526">
      <c r="K526" s="12"/>
      <c r="L526" s="12"/>
      <c r="M526" s="12"/>
    </row>
    <row r="527">
      <c r="K527" s="12"/>
      <c r="L527" s="12"/>
      <c r="M527" s="12"/>
    </row>
    <row r="528">
      <c r="K528" s="12"/>
      <c r="L528" s="2"/>
      <c r="M528" s="2"/>
    </row>
    <row r="529">
      <c r="K529" s="12"/>
      <c r="L529" s="12"/>
      <c r="M529" s="12"/>
    </row>
    <row r="530">
      <c r="K530" s="12"/>
      <c r="L530" s="12"/>
      <c r="M530" s="12"/>
    </row>
    <row r="531">
      <c r="K531" s="12"/>
      <c r="L531" s="12"/>
      <c r="M531" s="12"/>
    </row>
    <row r="532">
      <c r="K532" s="12"/>
      <c r="L532" s="12"/>
      <c r="M532" s="12"/>
    </row>
    <row r="533">
      <c r="K533" s="12"/>
      <c r="L533" s="12"/>
      <c r="M533" s="12"/>
    </row>
    <row r="534">
      <c r="K534" s="12"/>
      <c r="L534" s="12"/>
      <c r="M534" s="12"/>
    </row>
    <row r="535">
      <c r="K535" s="12"/>
      <c r="L535" s="12"/>
      <c r="M535" s="12"/>
    </row>
    <row r="536">
      <c r="K536" s="12"/>
      <c r="L536" s="12"/>
      <c r="M536" s="12"/>
    </row>
    <row r="537">
      <c r="K537" s="12"/>
      <c r="L537" s="12"/>
      <c r="M537" s="12"/>
    </row>
    <row r="538">
      <c r="K538" s="12"/>
      <c r="L538" s="12"/>
      <c r="M538" s="12"/>
    </row>
    <row r="539">
      <c r="K539" s="12"/>
      <c r="L539" s="12"/>
      <c r="M539" s="12"/>
    </row>
    <row r="540">
      <c r="K540" s="12"/>
      <c r="L540" s="12"/>
      <c r="M540" s="12"/>
    </row>
    <row r="541">
      <c r="K541" s="12"/>
      <c r="L541" s="12"/>
      <c r="M541" s="12"/>
    </row>
    <row r="542">
      <c r="K542" s="12"/>
      <c r="L542" s="12"/>
      <c r="M542" s="12"/>
    </row>
    <row r="543">
      <c r="K543" s="12"/>
      <c r="L543" s="12"/>
      <c r="M543" s="12"/>
    </row>
    <row r="544">
      <c r="L544" s="12"/>
      <c r="M544" s="12"/>
    </row>
    <row r="545">
      <c r="K545" s="2"/>
      <c r="L545" s="12"/>
      <c r="M545" s="12"/>
    </row>
    <row r="546">
      <c r="K546" s="12"/>
      <c r="L546" s="12"/>
      <c r="M546" s="12"/>
    </row>
    <row r="547">
      <c r="K547" s="12"/>
      <c r="L547" s="12"/>
      <c r="M547" s="12"/>
    </row>
    <row r="548">
      <c r="K548" s="12"/>
      <c r="L548" s="12"/>
      <c r="M548" s="12"/>
    </row>
    <row r="549">
      <c r="K549" s="12"/>
      <c r="L549" s="12"/>
      <c r="M549" s="12"/>
    </row>
    <row r="550">
      <c r="K550" s="12"/>
      <c r="L550" s="12"/>
      <c r="M550" s="12"/>
    </row>
    <row r="551">
      <c r="K551" s="12"/>
      <c r="L551" s="12"/>
      <c r="M551" s="12"/>
    </row>
    <row r="552">
      <c r="K552" s="12"/>
      <c r="L552" s="12"/>
      <c r="M552" s="12"/>
    </row>
    <row r="553">
      <c r="K553" s="12"/>
      <c r="L553" s="12"/>
      <c r="M553" s="12"/>
    </row>
    <row r="554">
      <c r="K554" s="12"/>
      <c r="L554" s="12"/>
      <c r="M554" s="12"/>
    </row>
    <row r="555">
      <c r="K555" s="12"/>
      <c r="L555" s="12"/>
      <c r="M555" s="12"/>
    </row>
    <row r="556">
      <c r="K556" s="12"/>
      <c r="L556" s="12"/>
      <c r="M556" s="12"/>
    </row>
    <row r="557">
      <c r="K557" s="12"/>
      <c r="L557" s="12"/>
      <c r="M557" s="12"/>
    </row>
    <row r="558">
      <c r="K558" s="12"/>
      <c r="L558" s="12"/>
      <c r="M558" s="12"/>
    </row>
    <row r="559">
      <c r="K559" s="12"/>
      <c r="L559" s="2"/>
      <c r="M559" s="2"/>
    </row>
    <row r="560">
      <c r="K560" s="12"/>
      <c r="L560" s="12"/>
      <c r="M560" s="12"/>
    </row>
    <row r="561">
      <c r="K561" s="12"/>
      <c r="L561" s="12"/>
      <c r="M561" s="12"/>
    </row>
    <row r="562">
      <c r="K562" s="12"/>
      <c r="L562" s="12"/>
      <c r="M562" s="12"/>
    </row>
    <row r="563">
      <c r="K563" s="12"/>
      <c r="L563" s="12"/>
      <c r="M563" s="12"/>
    </row>
    <row r="564">
      <c r="K564" s="12"/>
      <c r="L564" s="12"/>
      <c r="M564" s="12"/>
    </row>
    <row r="565">
      <c r="K565" s="12"/>
      <c r="L565" s="12"/>
      <c r="M565" s="12"/>
    </row>
    <row r="566">
      <c r="K566" s="12"/>
      <c r="L566" s="12"/>
      <c r="M566" s="12"/>
    </row>
    <row r="567">
      <c r="K567" s="12"/>
      <c r="L567" s="12"/>
      <c r="M567" s="12"/>
    </row>
    <row r="568">
      <c r="K568" s="12"/>
      <c r="L568" s="12"/>
      <c r="M568" s="12"/>
    </row>
    <row r="569">
      <c r="K569" s="12"/>
      <c r="L569" s="12"/>
      <c r="M569" s="12"/>
    </row>
    <row r="570">
      <c r="K570" s="12"/>
      <c r="L570" s="12"/>
      <c r="M570" s="12"/>
    </row>
    <row r="571">
      <c r="K571" s="12"/>
      <c r="L571" s="12"/>
      <c r="M571" s="12"/>
    </row>
    <row r="572">
      <c r="K572" s="12"/>
      <c r="L572" s="12"/>
      <c r="M572" s="12"/>
    </row>
    <row r="573">
      <c r="K573" s="12"/>
      <c r="L573" s="12"/>
      <c r="M573" s="12"/>
    </row>
    <row r="574">
      <c r="K574" s="12"/>
      <c r="L574" s="12"/>
      <c r="M574" s="12"/>
    </row>
    <row r="575">
      <c r="K575" s="12"/>
      <c r="L575" s="12"/>
      <c r="M575" s="12"/>
    </row>
    <row r="576">
      <c r="L576" s="12"/>
      <c r="M576" s="12"/>
    </row>
    <row r="577">
      <c r="K577" s="2"/>
      <c r="L577" s="12"/>
      <c r="M577" s="12"/>
    </row>
    <row r="578">
      <c r="K578" s="12"/>
      <c r="L578" s="12"/>
      <c r="M578" s="12"/>
    </row>
    <row r="579">
      <c r="K579" s="12"/>
      <c r="L579" s="12"/>
      <c r="M579" s="12"/>
    </row>
    <row r="580">
      <c r="K580" s="12"/>
      <c r="L580" s="12"/>
      <c r="M580" s="12"/>
    </row>
    <row r="581">
      <c r="K581" s="12"/>
      <c r="L581" s="12"/>
      <c r="M581" s="12"/>
    </row>
    <row r="582">
      <c r="K582" s="12"/>
      <c r="L582" s="12"/>
      <c r="M582" s="12"/>
    </row>
    <row r="583">
      <c r="K583" s="12"/>
      <c r="L583" s="12"/>
      <c r="M583" s="12"/>
    </row>
    <row r="584">
      <c r="K584" s="12"/>
      <c r="L584" s="12"/>
      <c r="M584" s="12"/>
    </row>
    <row r="585">
      <c r="K585" s="12"/>
      <c r="L585" s="12"/>
      <c r="M585" s="12"/>
    </row>
    <row r="586">
      <c r="K586" s="12"/>
      <c r="L586" s="12"/>
      <c r="M586" s="12"/>
    </row>
    <row r="587">
      <c r="K587" s="12"/>
      <c r="L587" s="12"/>
      <c r="M587" s="12"/>
    </row>
    <row r="588">
      <c r="K588" s="12"/>
      <c r="L588" s="12"/>
      <c r="M588" s="12"/>
    </row>
    <row r="589">
      <c r="K589" s="12"/>
      <c r="L589" s="12"/>
      <c r="M589" s="12"/>
    </row>
    <row r="590">
      <c r="K590" s="12"/>
      <c r="L590" s="2"/>
      <c r="M590" s="2"/>
    </row>
    <row r="591">
      <c r="K591" s="12"/>
      <c r="L591" s="12"/>
      <c r="M591" s="12"/>
    </row>
    <row r="592">
      <c r="K592" s="12"/>
      <c r="L592" s="12"/>
      <c r="M592" s="12"/>
    </row>
    <row r="593">
      <c r="K593" s="12"/>
      <c r="L593" s="12"/>
      <c r="M593" s="12"/>
    </row>
    <row r="594">
      <c r="K594" s="12"/>
      <c r="L594" s="12"/>
      <c r="M594" s="12"/>
    </row>
    <row r="595">
      <c r="K595" s="12"/>
      <c r="L595" s="12"/>
      <c r="M595" s="12"/>
    </row>
    <row r="596">
      <c r="K596" s="12"/>
      <c r="L596" s="12"/>
      <c r="M596" s="12"/>
    </row>
    <row r="597">
      <c r="K597" s="12"/>
      <c r="L597" s="12"/>
      <c r="M597" s="12"/>
    </row>
    <row r="598">
      <c r="K598" s="12"/>
      <c r="L598" s="12"/>
      <c r="M598" s="12"/>
    </row>
    <row r="599">
      <c r="K599" s="12"/>
      <c r="L599" s="12"/>
      <c r="M599" s="12"/>
    </row>
    <row r="600">
      <c r="K600" s="12"/>
      <c r="L600" s="12"/>
      <c r="M600" s="12"/>
    </row>
    <row r="601">
      <c r="K601" s="12"/>
      <c r="L601" s="12"/>
      <c r="M601" s="12"/>
    </row>
    <row r="602">
      <c r="K602" s="12"/>
      <c r="L602" s="12"/>
      <c r="M602" s="12"/>
    </row>
    <row r="603">
      <c r="K603" s="12"/>
      <c r="L603" s="12"/>
      <c r="M603" s="12"/>
    </row>
    <row r="604">
      <c r="K604" s="12"/>
      <c r="L604" s="12"/>
      <c r="M604" s="12"/>
    </row>
    <row r="605">
      <c r="K605" s="12"/>
      <c r="L605" s="12"/>
      <c r="M605" s="12"/>
    </row>
    <row r="606">
      <c r="K606" s="12"/>
      <c r="L606" s="12"/>
      <c r="M606" s="12"/>
    </row>
    <row r="607">
      <c r="K607" s="12"/>
      <c r="L607" s="12"/>
      <c r="M607" s="12"/>
    </row>
    <row r="608">
      <c r="L608" s="12"/>
      <c r="M608" s="12"/>
    </row>
    <row r="609">
      <c r="K609" s="2"/>
      <c r="L609" s="12"/>
      <c r="M609" s="12"/>
    </row>
    <row r="610">
      <c r="K610" s="12"/>
      <c r="L610" s="12"/>
      <c r="M610" s="12"/>
    </row>
    <row r="611">
      <c r="K611" s="12"/>
      <c r="L611" s="12"/>
      <c r="M611" s="12"/>
    </row>
    <row r="612">
      <c r="K612" s="12"/>
      <c r="L612" s="12"/>
      <c r="M612" s="12"/>
    </row>
    <row r="613">
      <c r="K613" s="12"/>
      <c r="L613" s="12"/>
      <c r="M613" s="12"/>
    </row>
    <row r="614">
      <c r="K614" s="12"/>
      <c r="L614" s="12"/>
      <c r="M614" s="12"/>
    </row>
    <row r="615">
      <c r="K615" s="12"/>
      <c r="L615" s="12"/>
      <c r="M615" s="12"/>
    </row>
    <row r="616">
      <c r="K616" s="12"/>
      <c r="L616" s="12"/>
      <c r="M616" s="12"/>
    </row>
    <row r="617">
      <c r="K617" s="12"/>
      <c r="L617" s="12"/>
      <c r="M617" s="12"/>
    </row>
    <row r="618">
      <c r="K618" s="12"/>
      <c r="L618" s="12"/>
      <c r="M618" s="12"/>
    </row>
    <row r="619">
      <c r="K619" s="12"/>
      <c r="L619" s="12"/>
      <c r="M619" s="12"/>
    </row>
    <row r="620">
      <c r="K620" s="12"/>
      <c r="L620" s="12"/>
      <c r="M620" s="12"/>
    </row>
    <row r="621">
      <c r="K621" s="12"/>
      <c r="L621" s="2"/>
      <c r="M621" s="2"/>
    </row>
    <row r="622">
      <c r="K622" s="12"/>
      <c r="L622" s="12"/>
      <c r="M622" s="12"/>
    </row>
    <row r="623">
      <c r="K623" s="12"/>
      <c r="L623" s="12"/>
      <c r="M623" s="12"/>
    </row>
    <row r="624">
      <c r="K624" s="12"/>
      <c r="L624" s="12"/>
      <c r="M624" s="12"/>
    </row>
    <row r="625">
      <c r="K625" s="12"/>
      <c r="L625" s="12"/>
      <c r="M625" s="12"/>
    </row>
    <row r="626">
      <c r="K626" s="12"/>
      <c r="L626" s="12"/>
      <c r="M626" s="12"/>
    </row>
    <row r="627">
      <c r="K627" s="12"/>
      <c r="L627" s="12"/>
      <c r="M627" s="12"/>
    </row>
    <row r="628">
      <c r="K628" s="12"/>
      <c r="L628" s="12"/>
      <c r="M628" s="12"/>
    </row>
    <row r="629">
      <c r="K629" s="12"/>
      <c r="L629" s="12"/>
      <c r="M629" s="12"/>
    </row>
    <row r="630">
      <c r="K630" s="12"/>
      <c r="L630" s="12"/>
      <c r="M630" s="12"/>
    </row>
    <row r="631">
      <c r="K631" s="12"/>
      <c r="L631" s="12"/>
      <c r="M631" s="12"/>
    </row>
    <row r="632">
      <c r="K632" s="12"/>
      <c r="L632" s="12"/>
      <c r="M632" s="12"/>
    </row>
    <row r="633">
      <c r="K633" s="12"/>
      <c r="L633" s="12"/>
      <c r="M633" s="12"/>
    </row>
    <row r="634">
      <c r="K634" s="12"/>
      <c r="L634" s="12"/>
      <c r="M634" s="12"/>
    </row>
    <row r="635">
      <c r="K635" s="12"/>
      <c r="L635" s="12"/>
      <c r="M635" s="12"/>
    </row>
    <row r="636">
      <c r="K636" s="12"/>
      <c r="L636" s="12"/>
      <c r="M636" s="12"/>
    </row>
    <row r="637">
      <c r="K637" s="12"/>
      <c r="L637" s="12"/>
      <c r="M637" s="12"/>
    </row>
    <row r="638">
      <c r="K638" s="12"/>
      <c r="L638" s="12"/>
      <c r="M638" s="12"/>
    </row>
    <row r="639">
      <c r="K639" s="12"/>
      <c r="L639" s="12"/>
      <c r="M639" s="12"/>
    </row>
    <row r="640">
      <c r="L640" s="12"/>
      <c r="M640" s="12"/>
    </row>
    <row r="641">
      <c r="K641" s="2"/>
      <c r="L641" s="12"/>
      <c r="M641" s="12"/>
    </row>
    <row r="642">
      <c r="K642" s="12"/>
      <c r="L642" s="12"/>
      <c r="M642" s="12"/>
    </row>
    <row r="643">
      <c r="K643" s="12"/>
      <c r="L643" s="12"/>
      <c r="M643" s="12"/>
    </row>
    <row r="644">
      <c r="K644" s="12"/>
      <c r="L644" s="12"/>
      <c r="M644" s="12"/>
    </row>
    <row r="645">
      <c r="K645" s="12"/>
      <c r="L645" s="12"/>
      <c r="M645" s="12"/>
    </row>
    <row r="646">
      <c r="K646" s="12"/>
      <c r="L646" s="12"/>
      <c r="M646" s="12"/>
    </row>
    <row r="647">
      <c r="K647" s="12"/>
      <c r="L647" s="12"/>
      <c r="M647" s="12"/>
    </row>
    <row r="648">
      <c r="K648" s="12"/>
      <c r="L648" s="12"/>
      <c r="M648" s="12"/>
    </row>
    <row r="649">
      <c r="K649" s="12"/>
      <c r="L649" s="12"/>
      <c r="M649" s="12"/>
    </row>
    <row r="650">
      <c r="K650" s="12"/>
      <c r="L650" s="12"/>
      <c r="M650" s="12"/>
    </row>
    <row r="651">
      <c r="K651" s="12"/>
      <c r="L651" s="12"/>
      <c r="M651" s="12"/>
    </row>
    <row r="652">
      <c r="K652" s="12"/>
      <c r="L652" s="2"/>
      <c r="M652" s="2"/>
    </row>
    <row r="653">
      <c r="K653" s="12"/>
      <c r="L653" s="12"/>
      <c r="M653" s="12"/>
    </row>
    <row r="654">
      <c r="K654" s="12"/>
      <c r="L654" s="12"/>
      <c r="M654" s="12"/>
    </row>
    <row r="655">
      <c r="K655" s="12"/>
      <c r="L655" s="12"/>
      <c r="M655" s="12"/>
    </row>
    <row r="656">
      <c r="K656" s="12"/>
      <c r="L656" s="12"/>
      <c r="M656" s="12"/>
    </row>
    <row r="657">
      <c r="K657" s="12"/>
      <c r="L657" s="12"/>
      <c r="M657" s="12"/>
    </row>
    <row r="658">
      <c r="K658" s="12"/>
      <c r="L658" s="12"/>
      <c r="M658" s="12"/>
    </row>
    <row r="659">
      <c r="K659" s="12"/>
      <c r="L659" s="12"/>
      <c r="M659" s="12"/>
    </row>
    <row r="660">
      <c r="K660" s="12"/>
      <c r="L660" s="12"/>
      <c r="M660" s="12"/>
    </row>
    <row r="661">
      <c r="K661" s="12"/>
      <c r="L661" s="12"/>
      <c r="M661" s="12"/>
    </row>
    <row r="662">
      <c r="K662" s="12"/>
      <c r="L662" s="12"/>
      <c r="M662" s="12"/>
    </row>
    <row r="663">
      <c r="K663" s="12"/>
      <c r="L663" s="12"/>
      <c r="M663" s="12"/>
    </row>
    <row r="664">
      <c r="K664" s="12"/>
      <c r="L664" s="12"/>
      <c r="M664" s="12"/>
    </row>
    <row r="665">
      <c r="K665" s="12"/>
      <c r="L665" s="12"/>
      <c r="M665" s="12"/>
    </row>
    <row r="666">
      <c r="K666" s="12"/>
      <c r="L666" s="12"/>
      <c r="M666" s="12"/>
    </row>
    <row r="667">
      <c r="K667" s="12"/>
      <c r="L667" s="12"/>
      <c r="M667" s="12"/>
    </row>
    <row r="668">
      <c r="K668" s="12"/>
      <c r="L668" s="12"/>
      <c r="M668" s="12"/>
    </row>
    <row r="669">
      <c r="K669" s="12"/>
      <c r="L669" s="12"/>
      <c r="M669" s="12"/>
    </row>
    <row r="670">
      <c r="K670" s="12"/>
      <c r="L670" s="12"/>
      <c r="M670" s="12"/>
    </row>
    <row r="671">
      <c r="K671" s="12"/>
      <c r="L671" s="12"/>
      <c r="M671" s="12"/>
    </row>
    <row r="672">
      <c r="L672" s="12"/>
      <c r="M672" s="12"/>
    </row>
    <row r="673">
      <c r="K673" s="2"/>
      <c r="L673" s="12"/>
      <c r="M673" s="12"/>
    </row>
    <row r="674">
      <c r="K674" s="12"/>
      <c r="L674" s="12"/>
      <c r="M674" s="12"/>
    </row>
    <row r="675">
      <c r="K675" s="12"/>
      <c r="L675" s="12"/>
      <c r="M675" s="12"/>
    </row>
    <row r="676">
      <c r="K676" s="12"/>
      <c r="L676" s="12"/>
      <c r="M676" s="12"/>
    </row>
    <row r="677">
      <c r="K677" s="12"/>
      <c r="L677" s="12"/>
      <c r="M677" s="12"/>
    </row>
    <row r="678">
      <c r="K678" s="12"/>
      <c r="L678" s="12"/>
      <c r="M678" s="12"/>
    </row>
    <row r="679">
      <c r="K679" s="12"/>
      <c r="L679" s="12"/>
      <c r="M679" s="12"/>
    </row>
    <row r="680">
      <c r="K680" s="12"/>
      <c r="L680" s="12"/>
      <c r="M680" s="12"/>
    </row>
    <row r="681">
      <c r="K681" s="12"/>
      <c r="L681" s="12"/>
      <c r="M681" s="12"/>
    </row>
    <row r="682">
      <c r="K682" s="12"/>
      <c r="L682" s="12"/>
      <c r="M682" s="12"/>
    </row>
    <row r="683">
      <c r="K683" s="12"/>
      <c r="L683" s="2"/>
      <c r="M683" s="2"/>
    </row>
    <row r="684">
      <c r="K684" s="12"/>
      <c r="L684" s="12"/>
      <c r="M684" s="12"/>
    </row>
    <row r="685">
      <c r="K685" s="12"/>
      <c r="L685" s="12"/>
      <c r="M685" s="12"/>
    </row>
    <row r="686">
      <c r="K686" s="12"/>
      <c r="L686" s="12"/>
      <c r="M686" s="12"/>
    </row>
    <row r="687">
      <c r="K687" s="12"/>
      <c r="L687" s="12"/>
      <c r="M687" s="12"/>
    </row>
    <row r="688">
      <c r="K688" s="12"/>
      <c r="L688" s="12"/>
      <c r="M688" s="12"/>
    </row>
    <row r="689">
      <c r="K689" s="12"/>
      <c r="L689" s="12"/>
      <c r="M689" s="12"/>
    </row>
    <row r="690">
      <c r="K690" s="12"/>
      <c r="L690" s="12"/>
      <c r="M690" s="12"/>
    </row>
    <row r="691">
      <c r="K691" s="12"/>
      <c r="L691" s="12"/>
      <c r="M691" s="12"/>
    </row>
    <row r="692">
      <c r="K692" s="12"/>
      <c r="L692" s="12"/>
      <c r="M692" s="12"/>
    </row>
    <row r="693">
      <c r="K693" s="12"/>
      <c r="L693" s="12"/>
      <c r="M693" s="12"/>
    </row>
    <row r="694">
      <c r="K694" s="12"/>
      <c r="L694" s="12"/>
      <c r="M694" s="12"/>
    </row>
    <row r="695">
      <c r="K695" s="12"/>
      <c r="L695" s="12"/>
      <c r="M695" s="12"/>
    </row>
    <row r="696">
      <c r="K696" s="12"/>
      <c r="L696" s="12"/>
      <c r="M696" s="12"/>
    </row>
    <row r="697">
      <c r="K697" s="12"/>
      <c r="L697" s="12"/>
      <c r="M697" s="12"/>
    </row>
    <row r="698">
      <c r="K698" s="12"/>
      <c r="L698" s="12"/>
      <c r="M698" s="12"/>
    </row>
    <row r="699">
      <c r="K699" s="12"/>
      <c r="L699" s="12"/>
      <c r="M699" s="12"/>
    </row>
    <row r="700">
      <c r="K700" s="12"/>
      <c r="L700" s="12"/>
      <c r="M700" s="12"/>
    </row>
    <row r="701">
      <c r="K701" s="12"/>
      <c r="L701" s="12"/>
      <c r="M701" s="12"/>
    </row>
    <row r="702">
      <c r="K702" s="12"/>
      <c r="L702" s="12"/>
      <c r="M702" s="12"/>
    </row>
    <row r="703">
      <c r="K703" s="12"/>
      <c r="L703" s="12"/>
      <c r="M703" s="12"/>
    </row>
    <row r="704">
      <c r="L704" s="12"/>
      <c r="M704" s="12"/>
    </row>
    <row r="705">
      <c r="K705" s="2"/>
      <c r="L705" s="12"/>
      <c r="M705" s="12"/>
    </row>
    <row r="706">
      <c r="K706" s="12"/>
      <c r="L706" s="12"/>
      <c r="M706" s="12"/>
    </row>
    <row r="707">
      <c r="K707" s="12"/>
      <c r="L707" s="12"/>
      <c r="M707" s="12"/>
    </row>
    <row r="708">
      <c r="K708" s="12"/>
      <c r="L708" s="12"/>
      <c r="M708" s="12"/>
    </row>
    <row r="709">
      <c r="K709" s="12"/>
      <c r="L709" s="12"/>
      <c r="M709" s="12"/>
    </row>
    <row r="710">
      <c r="K710" s="12"/>
      <c r="L710" s="12"/>
      <c r="M710" s="12"/>
    </row>
    <row r="711">
      <c r="K711" s="12"/>
      <c r="L711" s="12"/>
      <c r="M711" s="12"/>
    </row>
    <row r="712">
      <c r="K712" s="12"/>
      <c r="L712" s="12"/>
      <c r="M712" s="12"/>
    </row>
    <row r="713">
      <c r="K713" s="12"/>
      <c r="L713" s="12"/>
      <c r="M713" s="12"/>
    </row>
    <row r="714">
      <c r="K714" s="12"/>
      <c r="L714" s="2"/>
      <c r="M714" s="2"/>
    </row>
    <row r="715">
      <c r="K715" s="12"/>
      <c r="L715" s="12"/>
      <c r="M715" s="12"/>
    </row>
    <row r="716">
      <c r="K716" s="12"/>
      <c r="L716" s="12"/>
      <c r="M716" s="12"/>
    </row>
    <row r="717">
      <c r="K717" s="12"/>
      <c r="L717" s="12"/>
      <c r="M717" s="12"/>
    </row>
    <row r="718">
      <c r="K718" s="12"/>
      <c r="L718" s="12"/>
      <c r="M718" s="12"/>
    </row>
    <row r="719">
      <c r="K719" s="12"/>
      <c r="L719" s="12"/>
      <c r="M719" s="12"/>
    </row>
    <row r="720">
      <c r="K720" s="12"/>
      <c r="L720" s="12"/>
      <c r="M720" s="12"/>
    </row>
    <row r="721">
      <c r="K721" s="12"/>
      <c r="L721" s="12"/>
      <c r="M721" s="12"/>
    </row>
    <row r="722">
      <c r="K722" s="12"/>
      <c r="L722" s="12"/>
      <c r="M722" s="12"/>
    </row>
    <row r="723">
      <c r="K723" s="12"/>
      <c r="L723" s="12"/>
      <c r="M723" s="12"/>
    </row>
    <row r="724">
      <c r="K724" s="12"/>
      <c r="L724" s="12"/>
      <c r="M724" s="12"/>
    </row>
    <row r="725">
      <c r="K725" s="12"/>
      <c r="L725" s="12"/>
      <c r="M725" s="12"/>
    </row>
    <row r="726">
      <c r="K726" s="12"/>
      <c r="L726" s="12"/>
      <c r="M726" s="12"/>
    </row>
    <row r="727">
      <c r="K727" s="12"/>
      <c r="L727" s="12"/>
      <c r="M727" s="12"/>
    </row>
    <row r="728">
      <c r="K728" s="12"/>
      <c r="L728" s="12"/>
      <c r="M728" s="12"/>
    </row>
    <row r="729">
      <c r="K729" s="12"/>
      <c r="L729" s="12"/>
      <c r="M729" s="12"/>
    </row>
    <row r="730">
      <c r="K730" s="12"/>
      <c r="L730" s="12"/>
      <c r="M730" s="12"/>
    </row>
    <row r="731">
      <c r="K731" s="12"/>
      <c r="L731" s="12"/>
      <c r="M731" s="12"/>
    </row>
    <row r="732">
      <c r="K732" s="12"/>
      <c r="L732" s="12"/>
      <c r="M732" s="12"/>
    </row>
    <row r="733">
      <c r="K733" s="12"/>
      <c r="L733" s="12"/>
      <c r="M733" s="12"/>
    </row>
    <row r="734">
      <c r="K734" s="12"/>
      <c r="L734" s="12"/>
      <c r="M734" s="12"/>
    </row>
    <row r="735">
      <c r="K735" s="12"/>
      <c r="L735" s="12"/>
      <c r="M735" s="12"/>
    </row>
    <row r="736">
      <c r="L736" s="12"/>
      <c r="M736" s="12"/>
    </row>
    <row r="737">
      <c r="K737" s="2"/>
      <c r="L737" s="12"/>
      <c r="M737" s="12"/>
    </row>
    <row r="738">
      <c r="K738" s="12"/>
      <c r="L738" s="12"/>
      <c r="M738" s="12"/>
    </row>
    <row r="739">
      <c r="K739" s="12"/>
      <c r="L739" s="12"/>
      <c r="M739" s="12"/>
    </row>
    <row r="740">
      <c r="K740" s="12"/>
      <c r="L740" s="12"/>
      <c r="M740" s="12"/>
    </row>
    <row r="741">
      <c r="K741" s="12"/>
      <c r="L741" s="12"/>
      <c r="M741" s="12"/>
    </row>
    <row r="742">
      <c r="K742" s="12"/>
      <c r="L742" s="12"/>
      <c r="M742" s="12"/>
    </row>
    <row r="743">
      <c r="K743" s="12"/>
      <c r="L743" s="12"/>
      <c r="M743" s="12"/>
    </row>
    <row r="744">
      <c r="K744" s="12"/>
      <c r="L744" s="12"/>
      <c r="M744" s="12"/>
    </row>
    <row r="745">
      <c r="K745" s="12"/>
      <c r="L745" s="2"/>
      <c r="M745" s="2"/>
    </row>
    <row r="746">
      <c r="K746" s="12"/>
      <c r="L746" s="12"/>
      <c r="M746" s="12"/>
    </row>
    <row r="747">
      <c r="K747" s="12"/>
      <c r="L747" s="12"/>
      <c r="M747" s="12"/>
    </row>
    <row r="748">
      <c r="K748" s="12"/>
      <c r="L748" s="12"/>
      <c r="M748" s="12"/>
    </row>
    <row r="749">
      <c r="K749" s="12"/>
      <c r="L749" s="12"/>
      <c r="M749" s="12"/>
    </row>
    <row r="750">
      <c r="K750" s="12"/>
      <c r="L750" s="12"/>
      <c r="M750" s="12"/>
    </row>
    <row r="751">
      <c r="K751" s="12"/>
      <c r="L751" s="12"/>
      <c r="M751" s="12"/>
    </row>
    <row r="752">
      <c r="K752" s="12"/>
      <c r="L752" s="12"/>
      <c r="M752" s="12"/>
    </row>
    <row r="753">
      <c r="K753" s="12"/>
      <c r="L753" s="12"/>
      <c r="M753" s="12"/>
    </row>
    <row r="754">
      <c r="K754" s="12"/>
      <c r="L754" s="12"/>
      <c r="M754" s="12"/>
    </row>
    <row r="755">
      <c r="K755" s="12"/>
      <c r="L755" s="12"/>
      <c r="M755" s="12"/>
    </row>
    <row r="756">
      <c r="K756" s="12"/>
      <c r="L756" s="12"/>
      <c r="M756" s="12"/>
    </row>
    <row r="757">
      <c r="K757" s="12"/>
      <c r="L757" s="12"/>
      <c r="M757" s="12"/>
    </row>
    <row r="758">
      <c r="K758" s="12"/>
      <c r="L758" s="12"/>
      <c r="M758" s="12"/>
    </row>
    <row r="759">
      <c r="K759" s="12"/>
      <c r="L759" s="12"/>
      <c r="M759" s="12"/>
    </row>
    <row r="760">
      <c r="K760" s="12"/>
      <c r="L760" s="12"/>
      <c r="M760" s="12"/>
    </row>
    <row r="761">
      <c r="K761" s="12"/>
      <c r="L761" s="12"/>
      <c r="M761" s="12"/>
    </row>
    <row r="762">
      <c r="K762" s="12"/>
      <c r="L762" s="12"/>
      <c r="M762" s="12"/>
    </row>
    <row r="763">
      <c r="K763" s="12"/>
      <c r="L763" s="12"/>
      <c r="M763" s="12"/>
    </row>
    <row r="764">
      <c r="K764" s="12"/>
      <c r="L764" s="12"/>
      <c r="M764" s="12"/>
    </row>
    <row r="765">
      <c r="K765" s="12"/>
      <c r="L765" s="12"/>
      <c r="M765" s="12"/>
    </row>
    <row r="766">
      <c r="K766" s="12"/>
      <c r="L766" s="12"/>
      <c r="M766" s="12"/>
    </row>
    <row r="767">
      <c r="K767" s="12"/>
      <c r="L767" s="12"/>
      <c r="M767" s="12"/>
    </row>
    <row r="768">
      <c r="L768" s="12"/>
      <c r="M768" s="12"/>
    </row>
    <row r="769">
      <c r="K769" s="2"/>
      <c r="L769" s="12"/>
      <c r="M769" s="12"/>
    </row>
    <row r="770">
      <c r="K770" s="12"/>
      <c r="L770" s="12"/>
      <c r="M770" s="12"/>
    </row>
    <row r="771">
      <c r="K771" s="12"/>
      <c r="L771" s="12"/>
      <c r="M771" s="12"/>
    </row>
    <row r="772">
      <c r="K772" s="12"/>
      <c r="L772" s="12"/>
      <c r="M772" s="12"/>
    </row>
    <row r="773">
      <c r="K773" s="12"/>
      <c r="L773" s="12"/>
      <c r="M773" s="12"/>
    </row>
    <row r="774">
      <c r="K774" s="12"/>
      <c r="L774" s="12"/>
      <c r="M774" s="12"/>
    </row>
    <row r="775">
      <c r="K775" s="12"/>
      <c r="L775" s="12"/>
      <c r="M775" s="12"/>
    </row>
    <row r="776">
      <c r="K776" s="12"/>
      <c r="L776" s="2"/>
      <c r="M776" s="2"/>
    </row>
    <row r="777">
      <c r="K777" s="12"/>
      <c r="L777" s="12"/>
      <c r="M777" s="12"/>
    </row>
    <row r="778">
      <c r="K778" s="12"/>
      <c r="L778" s="12"/>
      <c r="M778" s="12"/>
    </row>
    <row r="779">
      <c r="K779" s="12"/>
      <c r="L779" s="12"/>
      <c r="M779" s="12"/>
    </row>
    <row r="780">
      <c r="K780" s="12"/>
      <c r="L780" s="12"/>
      <c r="M780" s="12"/>
    </row>
    <row r="781">
      <c r="K781" s="12"/>
      <c r="L781" s="12"/>
      <c r="M781" s="12"/>
    </row>
    <row r="782">
      <c r="K782" s="12"/>
      <c r="L782" s="12"/>
      <c r="M782" s="12"/>
    </row>
    <row r="783">
      <c r="K783" s="12"/>
      <c r="L783" s="12"/>
      <c r="M783" s="12"/>
    </row>
    <row r="784">
      <c r="K784" s="12"/>
      <c r="L784" s="12"/>
      <c r="M784" s="12"/>
    </row>
    <row r="785">
      <c r="K785" s="12"/>
      <c r="L785" s="12"/>
      <c r="M785" s="12"/>
    </row>
    <row r="786">
      <c r="K786" s="12"/>
      <c r="L786" s="12"/>
      <c r="M786" s="12"/>
    </row>
    <row r="787">
      <c r="K787" s="12"/>
      <c r="L787" s="12"/>
      <c r="M787" s="12"/>
    </row>
    <row r="788">
      <c r="K788" s="12"/>
      <c r="L788" s="12"/>
      <c r="M788" s="12"/>
    </row>
    <row r="789">
      <c r="K789" s="12"/>
      <c r="L789" s="12"/>
      <c r="M789" s="12"/>
    </row>
    <row r="790">
      <c r="K790" s="12"/>
      <c r="L790" s="12"/>
      <c r="M790" s="12"/>
    </row>
    <row r="791">
      <c r="K791" s="12"/>
      <c r="L791" s="12"/>
      <c r="M791" s="12"/>
    </row>
    <row r="792">
      <c r="K792" s="12"/>
      <c r="L792" s="12"/>
      <c r="M792" s="12"/>
    </row>
    <row r="793">
      <c r="K793" s="12"/>
      <c r="L793" s="12"/>
      <c r="M793" s="12"/>
    </row>
    <row r="794">
      <c r="K794" s="12"/>
      <c r="L794" s="12"/>
      <c r="M794" s="12"/>
    </row>
    <row r="795">
      <c r="K795" s="12"/>
      <c r="L795" s="12"/>
      <c r="M795" s="12"/>
    </row>
    <row r="796">
      <c r="K796" s="12"/>
      <c r="L796" s="12"/>
      <c r="M796" s="12"/>
    </row>
    <row r="797">
      <c r="K797" s="12"/>
      <c r="L797" s="12"/>
      <c r="M797" s="12"/>
    </row>
    <row r="798">
      <c r="K798" s="12"/>
      <c r="L798" s="12"/>
      <c r="M798" s="12"/>
    </row>
    <row r="799">
      <c r="K799" s="12"/>
      <c r="L799" s="12"/>
      <c r="M799" s="12"/>
    </row>
    <row r="800">
      <c r="L800" s="12"/>
      <c r="M800" s="12"/>
    </row>
    <row r="801">
      <c r="K801" s="2"/>
      <c r="L801" s="12"/>
      <c r="M801" s="12"/>
    </row>
    <row r="802">
      <c r="K802" s="12"/>
      <c r="L802" s="12"/>
      <c r="M802" s="12"/>
    </row>
    <row r="803">
      <c r="K803" s="12"/>
      <c r="L803" s="12"/>
      <c r="M803" s="12"/>
    </row>
    <row r="804">
      <c r="K804" s="12"/>
      <c r="L804" s="12"/>
      <c r="M804" s="12"/>
    </row>
    <row r="805">
      <c r="K805" s="12"/>
      <c r="L805" s="12"/>
      <c r="M805" s="12"/>
    </row>
    <row r="806">
      <c r="K806" s="12"/>
      <c r="L806" s="12"/>
      <c r="M806" s="12"/>
    </row>
    <row r="807">
      <c r="K807" s="12"/>
      <c r="L807" s="2"/>
      <c r="M807" s="2"/>
    </row>
    <row r="808">
      <c r="K808" s="12"/>
      <c r="L808" s="12"/>
      <c r="M808" s="12"/>
    </row>
    <row r="809">
      <c r="K809" s="12"/>
      <c r="L809" s="12"/>
      <c r="M809" s="12"/>
    </row>
    <row r="810">
      <c r="K810" s="12"/>
      <c r="L810" s="12"/>
      <c r="M810" s="12"/>
    </row>
    <row r="811">
      <c r="K811" s="12"/>
      <c r="L811" s="12"/>
      <c r="M811" s="12"/>
    </row>
    <row r="812">
      <c r="K812" s="12"/>
      <c r="L812" s="12"/>
      <c r="M812" s="12"/>
    </row>
    <row r="813">
      <c r="K813" s="12"/>
      <c r="L813" s="12"/>
      <c r="M813" s="12"/>
    </row>
    <row r="814">
      <c r="K814" s="12"/>
      <c r="L814" s="12"/>
      <c r="M814" s="12"/>
    </row>
    <row r="815">
      <c r="K815" s="12"/>
      <c r="L815" s="12"/>
      <c r="M815" s="12"/>
    </row>
    <row r="816">
      <c r="K816" s="12"/>
      <c r="L816" s="12"/>
      <c r="M816" s="12"/>
    </row>
    <row r="817">
      <c r="K817" s="12"/>
      <c r="L817" s="12"/>
      <c r="M817" s="12"/>
    </row>
    <row r="818">
      <c r="K818" s="12"/>
      <c r="L818" s="12"/>
      <c r="M818" s="12"/>
    </row>
    <row r="819">
      <c r="K819" s="12"/>
      <c r="L819" s="12"/>
      <c r="M819" s="12"/>
    </row>
    <row r="820">
      <c r="K820" s="12"/>
      <c r="L820" s="12"/>
      <c r="M820" s="12"/>
    </row>
    <row r="821">
      <c r="K821" s="12"/>
      <c r="L821" s="12"/>
      <c r="M821" s="12"/>
    </row>
    <row r="822">
      <c r="K822" s="12"/>
      <c r="L822" s="12"/>
      <c r="M822" s="12"/>
    </row>
    <row r="823">
      <c r="K823" s="12"/>
      <c r="L823" s="12"/>
      <c r="M823" s="12"/>
    </row>
    <row r="824">
      <c r="K824" s="12"/>
      <c r="L824" s="12"/>
      <c r="M824" s="12"/>
    </row>
    <row r="825">
      <c r="K825" s="12"/>
      <c r="L825" s="12"/>
      <c r="M825" s="12"/>
    </row>
    <row r="826">
      <c r="K826" s="12"/>
      <c r="L826" s="12"/>
      <c r="M826" s="12"/>
    </row>
    <row r="827">
      <c r="K827" s="12"/>
      <c r="L827" s="12"/>
      <c r="M827" s="12"/>
    </row>
    <row r="828">
      <c r="K828" s="12"/>
      <c r="L828" s="12"/>
      <c r="M828" s="12"/>
    </row>
    <row r="829">
      <c r="K829" s="12"/>
      <c r="L829" s="12"/>
      <c r="M829" s="12"/>
    </row>
    <row r="830">
      <c r="K830" s="12"/>
      <c r="L830" s="12"/>
      <c r="M830" s="12"/>
    </row>
    <row r="831">
      <c r="K831" s="12"/>
      <c r="L831" s="12"/>
      <c r="M831" s="12"/>
    </row>
    <row r="832">
      <c r="L832" s="12"/>
      <c r="M832" s="12"/>
    </row>
    <row r="833">
      <c r="K833" s="2"/>
      <c r="L833" s="12"/>
      <c r="M833" s="12"/>
    </row>
    <row r="834">
      <c r="K834" s="12"/>
      <c r="L834" s="12"/>
      <c r="M834" s="12"/>
    </row>
    <row r="835">
      <c r="K835" s="12"/>
      <c r="L835" s="12"/>
      <c r="M835" s="12"/>
    </row>
    <row r="836">
      <c r="K836" s="12"/>
      <c r="L836" s="12"/>
      <c r="M836" s="12"/>
    </row>
    <row r="837">
      <c r="K837" s="12"/>
      <c r="L837" s="12"/>
      <c r="M837" s="12"/>
    </row>
    <row r="838">
      <c r="K838" s="12"/>
      <c r="L838" s="2"/>
      <c r="M838" s="2"/>
    </row>
    <row r="839">
      <c r="K839" s="12"/>
      <c r="L839" s="12"/>
      <c r="M839" s="12"/>
    </row>
    <row r="840">
      <c r="K840" s="12"/>
      <c r="L840" s="12"/>
      <c r="M840" s="12"/>
    </row>
    <row r="841">
      <c r="K841" s="12"/>
      <c r="L841" s="12"/>
      <c r="M841" s="12"/>
    </row>
    <row r="842">
      <c r="K842" s="12"/>
      <c r="L842" s="12"/>
      <c r="M842" s="12"/>
    </row>
    <row r="843">
      <c r="K843" s="12"/>
      <c r="L843" s="12"/>
      <c r="M843" s="12"/>
    </row>
    <row r="844">
      <c r="K844" s="12"/>
      <c r="L844" s="12"/>
      <c r="M844" s="12"/>
    </row>
    <row r="845">
      <c r="K845" s="12"/>
      <c r="L845" s="12"/>
      <c r="M845" s="12"/>
    </row>
    <row r="846">
      <c r="K846" s="12"/>
      <c r="L846" s="12"/>
      <c r="M846" s="12"/>
    </row>
    <row r="847">
      <c r="K847" s="12"/>
      <c r="L847" s="12"/>
      <c r="M847" s="12"/>
    </row>
    <row r="848">
      <c r="K848" s="12"/>
      <c r="L848" s="12"/>
      <c r="M848" s="12"/>
    </row>
    <row r="849">
      <c r="K849" s="12"/>
      <c r="L849" s="12"/>
      <c r="M849" s="12"/>
    </row>
    <row r="850">
      <c r="K850" s="12"/>
      <c r="L850" s="12"/>
      <c r="M850" s="12"/>
    </row>
    <row r="851">
      <c r="K851" s="12"/>
      <c r="L851" s="12"/>
      <c r="M851" s="12"/>
    </row>
    <row r="852">
      <c r="K852" s="12"/>
      <c r="L852" s="12"/>
      <c r="M852" s="12"/>
    </row>
    <row r="853">
      <c r="K853" s="12"/>
      <c r="L853" s="12"/>
      <c r="M853" s="12"/>
    </row>
    <row r="854">
      <c r="K854" s="12"/>
      <c r="L854" s="12"/>
      <c r="M854" s="12"/>
    </row>
    <row r="855">
      <c r="K855" s="12"/>
      <c r="L855" s="12"/>
      <c r="M855" s="12"/>
    </row>
    <row r="856">
      <c r="K856" s="12"/>
      <c r="L856" s="12"/>
      <c r="M856" s="12"/>
    </row>
    <row r="857">
      <c r="K857" s="12"/>
      <c r="L857" s="12"/>
      <c r="M857" s="12"/>
    </row>
    <row r="858">
      <c r="K858" s="12"/>
      <c r="L858" s="12"/>
      <c r="M858" s="12"/>
    </row>
    <row r="859">
      <c r="K859" s="12"/>
      <c r="L859" s="12"/>
      <c r="M859" s="12"/>
    </row>
    <row r="860">
      <c r="K860" s="12"/>
      <c r="L860" s="12"/>
      <c r="M860" s="12"/>
    </row>
    <row r="861">
      <c r="K861" s="12"/>
      <c r="L861" s="12"/>
      <c r="M861" s="12"/>
    </row>
    <row r="862">
      <c r="K862" s="12"/>
      <c r="L862" s="12"/>
      <c r="M862" s="12"/>
    </row>
    <row r="863">
      <c r="K863" s="12"/>
      <c r="L863" s="12"/>
      <c r="M863" s="12"/>
    </row>
    <row r="864">
      <c r="L864" s="12"/>
      <c r="M864" s="12"/>
    </row>
    <row r="865">
      <c r="K865" s="2"/>
      <c r="L865" s="12"/>
      <c r="M865" s="12"/>
    </row>
    <row r="866">
      <c r="K866" s="12"/>
      <c r="L866" s="12"/>
      <c r="M866" s="12"/>
    </row>
    <row r="867">
      <c r="K867" s="12"/>
      <c r="L867" s="12"/>
      <c r="M867" s="12"/>
    </row>
    <row r="868">
      <c r="K868" s="12"/>
      <c r="L868" s="12"/>
      <c r="M868" s="12"/>
    </row>
    <row r="869">
      <c r="K869" s="12"/>
      <c r="L869" s="2"/>
      <c r="M869" s="2"/>
    </row>
    <row r="870">
      <c r="K870" s="12"/>
      <c r="L870" s="12"/>
      <c r="M870" s="12"/>
    </row>
    <row r="871">
      <c r="K871" s="12"/>
      <c r="L871" s="12"/>
      <c r="M871" s="12"/>
    </row>
    <row r="872">
      <c r="K872" s="12"/>
      <c r="L872" s="12"/>
      <c r="M872" s="12"/>
    </row>
    <row r="873">
      <c r="K873" s="12"/>
      <c r="L873" s="12"/>
      <c r="M873" s="12"/>
    </row>
    <row r="874">
      <c r="K874" s="12"/>
      <c r="L874" s="12"/>
      <c r="M874" s="12"/>
    </row>
    <row r="875">
      <c r="K875" s="12"/>
      <c r="L875" s="12"/>
      <c r="M875" s="12"/>
    </row>
    <row r="876">
      <c r="K876" s="12"/>
      <c r="L876" s="12"/>
      <c r="M876" s="12"/>
    </row>
    <row r="877">
      <c r="K877" s="12"/>
      <c r="L877" s="12"/>
      <c r="M877" s="12"/>
    </row>
    <row r="878">
      <c r="K878" s="12"/>
      <c r="L878" s="12"/>
      <c r="M878" s="12"/>
    </row>
    <row r="879">
      <c r="K879" s="12"/>
      <c r="L879" s="12"/>
      <c r="M879" s="12"/>
    </row>
    <row r="880">
      <c r="K880" s="12"/>
      <c r="L880" s="12"/>
      <c r="M880" s="12"/>
    </row>
    <row r="881">
      <c r="K881" s="12"/>
      <c r="L881" s="12"/>
      <c r="M881" s="12"/>
    </row>
    <row r="882">
      <c r="K882" s="12"/>
      <c r="L882" s="12"/>
      <c r="M882" s="12"/>
    </row>
    <row r="883">
      <c r="K883" s="12"/>
      <c r="L883" s="12"/>
      <c r="M883" s="12"/>
    </row>
    <row r="884">
      <c r="K884" s="12"/>
      <c r="L884" s="12"/>
      <c r="M884" s="12"/>
    </row>
    <row r="885">
      <c r="K885" s="12"/>
      <c r="L885" s="12"/>
      <c r="M885" s="12"/>
    </row>
    <row r="886">
      <c r="K886" s="12"/>
      <c r="L886" s="12"/>
      <c r="M886" s="12"/>
    </row>
    <row r="887">
      <c r="K887" s="12"/>
      <c r="L887" s="12"/>
      <c r="M887" s="12"/>
    </row>
    <row r="888">
      <c r="K888" s="12"/>
      <c r="L888" s="12"/>
      <c r="M888" s="12"/>
    </row>
    <row r="889">
      <c r="K889" s="12"/>
      <c r="L889" s="12"/>
      <c r="M889" s="12"/>
    </row>
    <row r="890">
      <c r="K890" s="12"/>
      <c r="L890" s="12"/>
      <c r="M890" s="12"/>
    </row>
    <row r="891">
      <c r="K891" s="12"/>
      <c r="L891" s="12"/>
      <c r="M891" s="12"/>
    </row>
    <row r="892">
      <c r="K892" s="12"/>
      <c r="L892" s="12"/>
      <c r="M892" s="12"/>
    </row>
    <row r="893">
      <c r="K893" s="12"/>
      <c r="L893" s="12"/>
      <c r="M893" s="12"/>
    </row>
    <row r="894">
      <c r="K894" s="12"/>
      <c r="L894" s="12"/>
      <c r="M894" s="12"/>
    </row>
    <row r="895">
      <c r="K895" s="12"/>
      <c r="L895" s="12"/>
      <c r="M895" s="12"/>
    </row>
    <row r="896">
      <c r="L896" s="12"/>
      <c r="M896" s="12"/>
    </row>
    <row r="897">
      <c r="K897" s="2"/>
      <c r="L897" s="12"/>
      <c r="M897" s="12"/>
    </row>
    <row r="898">
      <c r="K898" s="12"/>
      <c r="L898" s="12"/>
      <c r="M898" s="12"/>
    </row>
    <row r="899">
      <c r="K899" s="12"/>
      <c r="L899" s="12"/>
      <c r="M899" s="12"/>
    </row>
    <row r="900">
      <c r="K900" s="12"/>
      <c r="L900" s="2"/>
      <c r="M900" s="2"/>
    </row>
    <row r="901">
      <c r="K901" s="12"/>
      <c r="L901" s="12"/>
      <c r="M901" s="12"/>
    </row>
    <row r="902">
      <c r="K902" s="12"/>
      <c r="L902" s="12"/>
      <c r="M902" s="12"/>
    </row>
    <row r="903">
      <c r="K903" s="12"/>
      <c r="L903" s="12"/>
      <c r="M903" s="12"/>
    </row>
    <row r="904">
      <c r="K904" s="12"/>
      <c r="L904" s="12"/>
      <c r="M904" s="12"/>
    </row>
    <row r="905">
      <c r="K905" s="12"/>
      <c r="L905" s="12"/>
      <c r="M905" s="12"/>
    </row>
    <row r="906">
      <c r="K906" s="12"/>
      <c r="L906" s="12"/>
      <c r="M906" s="12"/>
    </row>
    <row r="907">
      <c r="K907" s="12"/>
      <c r="L907" s="12"/>
      <c r="M907" s="12"/>
    </row>
    <row r="908">
      <c r="K908" s="12"/>
      <c r="L908" s="12"/>
      <c r="M908" s="12"/>
    </row>
    <row r="909">
      <c r="K909" s="12"/>
      <c r="L909" s="12"/>
      <c r="M909" s="12"/>
    </row>
    <row r="910">
      <c r="K910" s="12"/>
      <c r="L910" s="12"/>
      <c r="M910" s="12"/>
    </row>
    <row r="911">
      <c r="K911" s="12"/>
      <c r="L911" s="12"/>
      <c r="M911" s="12"/>
    </row>
    <row r="912">
      <c r="K912" s="12"/>
      <c r="L912" s="12"/>
      <c r="M912" s="12"/>
    </row>
    <row r="913">
      <c r="K913" s="12"/>
      <c r="L913" s="12"/>
      <c r="M913" s="12"/>
    </row>
    <row r="914">
      <c r="K914" s="12"/>
      <c r="L914" s="12"/>
      <c r="M914" s="12"/>
    </row>
    <row r="915">
      <c r="K915" s="12"/>
      <c r="L915" s="12"/>
      <c r="M915" s="12"/>
    </row>
    <row r="916">
      <c r="K916" s="12"/>
      <c r="L916" s="12"/>
      <c r="M916" s="12"/>
    </row>
    <row r="917">
      <c r="K917" s="12"/>
      <c r="L917" s="12"/>
      <c r="M917" s="12"/>
    </row>
    <row r="918">
      <c r="K918" s="12"/>
      <c r="L918" s="12"/>
      <c r="M918" s="12"/>
    </row>
    <row r="919">
      <c r="K919" s="12"/>
      <c r="L919" s="12"/>
      <c r="M919" s="12"/>
    </row>
    <row r="920">
      <c r="K920" s="12"/>
      <c r="L920" s="12"/>
      <c r="M920" s="12"/>
    </row>
    <row r="921">
      <c r="K921" s="12"/>
      <c r="L921" s="12"/>
      <c r="M921" s="12"/>
    </row>
    <row r="922">
      <c r="K922" s="12"/>
      <c r="L922" s="12"/>
      <c r="M922" s="12"/>
    </row>
    <row r="923">
      <c r="K923" s="12"/>
      <c r="L923" s="12"/>
      <c r="M923" s="12"/>
    </row>
    <row r="924">
      <c r="K924" s="12"/>
      <c r="L924" s="12"/>
      <c r="M924" s="12"/>
    </row>
    <row r="925">
      <c r="K925" s="12"/>
      <c r="L925" s="12"/>
      <c r="M925" s="12"/>
    </row>
    <row r="926">
      <c r="K926" s="12"/>
      <c r="L926" s="12"/>
      <c r="M926" s="12"/>
    </row>
    <row r="927">
      <c r="K927" s="12"/>
      <c r="L927" s="12"/>
      <c r="M927" s="12"/>
    </row>
    <row r="928">
      <c r="L928" s="12"/>
      <c r="M928" s="12"/>
    </row>
    <row r="929">
      <c r="K929" s="2"/>
      <c r="L929" s="12"/>
      <c r="M929" s="12"/>
    </row>
    <row r="930">
      <c r="K930" s="12"/>
      <c r="L930" s="12"/>
      <c r="M930" s="12"/>
    </row>
    <row r="931">
      <c r="K931" s="12"/>
      <c r="L931" s="2"/>
      <c r="M931" s="2"/>
    </row>
    <row r="932">
      <c r="K932" s="12"/>
      <c r="L932" s="12"/>
      <c r="M932" s="12"/>
    </row>
    <row r="933">
      <c r="K933" s="12"/>
      <c r="L933" s="12"/>
      <c r="M933" s="12"/>
    </row>
    <row r="934">
      <c r="K934" s="12"/>
      <c r="L934" s="12"/>
      <c r="M934" s="12"/>
    </row>
    <row r="935">
      <c r="K935" s="12"/>
      <c r="L935" s="12"/>
      <c r="M935" s="12"/>
    </row>
    <row r="936">
      <c r="K936" s="12"/>
      <c r="L936" s="12"/>
      <c r="M936" s="12"/>
    </row>
    <row r="937">
      <c r="K937" s="12"/>
      <c r="L937" s="12"/>
      <c r="M937" s="12"/>
    </row>
    <row r="938">
      <c r="K938" s="12"/>
      <c r="L938" s="12"/>
      <c r="M938" s="12"/>
    </row>
    <row r="939">
      <c r="K939" s="12"/>
      <c r="L939" s="12"/>
      <c r="M939" s="12"/>
    </row>
    <row r="940">
      <c r="K940" s="12"/>
      <c r="L940" s="12"/>
      <c r="M940" s="12"/>
    </row>
    <row r="941">
      <c r="K941" s="12"/>
      <c r="L941" s="12"/>
      <c r="M941" s="12"/>
    </row>
    <row r="942">
      <c r="K942" s="12"/>
      <c r="L942" s="12"/>
      <c r="M942" s="12"/>
    </row>
    <row r="943">
      <c r="K943" s="12"/>
      <c r="L943" s="12"/>
      <c r="M943" s="12"/>
    </row>
    <row r="944">
      <c r="K944" s="12"/>
      <c r="L944" s="12"/>
      <c r="M944" s="12"/>
    </row>
    <row r="945">
      <c r="K945" s="12"/>
      <c r="L945" s="12"/>
      <c r="M945" s="12"/>
    </row>
    <row r="946">
      <c r="K946" s="12"/>
      <c r="L946" s="12"/>
      <c r="M946" s="12"/>
    </row>
    <row r="947">
      <c r="K947" s="12"/>
      <c r="L947" s="12"/>
      <c r="M947" s="12"/>
    </row>
    <row r="948">
      <c r="K948" s="12"/>
      <c r="L948" s="12"/>
      <c r="M948" s="12"/>
    </row>
    <row r="949">
      <c r="K949" s="12"/>
      <c r="L949" s="12"/>
      <c r="M949" s="12"/>
    </row>
    <row r="950">
      <c r="K950" s="12"/>
      <c r="L950" s="12"/>
      <c r="M950" s="12"/>
    </row>
    <row r="951">
      <c r="K951" s="12"/>
      <c r="L951" s="12"/>
      <c r="M951" s="12"/>
    </row>
    <row r="952">
      <c r="K952" s="12"/>
      <c r="L952" s="12"/>
      <c r="M952" s="12"/>
    </row>
    <row r="953">
      <c r="K953" s="12"/>
      <c r="L953" s="12"/>
      <c r="M953" s="12"/>
    </row>
    <row r="954">
      <c r="K954" s="12"/>
      <c r="L954" s="12"/>
      <c r="M954" s="12"/>
    </row>
    <row r="955">
      <c r="K955" s="12"/>
      <c r="L955" s="12"/>
      <c r="M955" s="12"/>
    </row>
    <row r="956">
      <c r="K956" s="12"/>
      <c r="L956" s="12"/>
      <c r="M956" s="12"/>
    </row>
    <row r="957">
      <c r="K957" s="12"/>
      <c r="L957" s="12"/>
      <c r="M957" s="12"/>
    </row>
    <row r="958">
      <c r="K958" s="12"/>
      <c r="L958" s="12"/>
      <c r="M958" s="12"/>
    </row>
    <row r="959">
      <c r="K959" s="12"/>
      <c r="L959" s="12"/>
      <c r="M959" s="12"/>
    </row>
    <row r="960">
      <c r="L960" s="12"/>
      <c r="M960" s="12"/>
    </row>
    <row r="961">
      <c r="K961" s="2"/>
      <c r="L961" s="12"/>
      <c r="M961" s="12"/>
    </row>
    <row r="962">
      <c r="K962" s="12"/>
      <c r="L962" s="2"/>
      <c r="M962" s="2"/>
    </row>
    <row r="963">
      <c r="K963" s="12"/>
      <c r="L963" s="12"/>
      <c r="M963" s="12"/>
    </row>
    <row r="964">
      <c r="K964" s="12"/>
      <c r="L964" s="12"/>
      <c r="M964" s="12"/>
    </row>
    <row r="965">
      <c r="K965" s="12"/>
      <c r="L965" s="12"/>
      <c r="M965" s="12"/>
    </row>
    <row r="966">
      <c r="K966" s="12"/>
      <c r="L966" s="12"/>
      <c r="M966" s="12"/>
    </row>
    <row r="967">
      <c r="K967" s="12"/>
      <c r="L967" s="12"/>
      <c r="M967" s="12"/>
    </row>
    <row r="968">
      <c r="K968" s="12"/>
      <c r="L968" s="12"/>
      <c r="M968" s="12"/>
    </row>
    <row r="969">
      <c r="K969" s="12"/>
      <c r="L969" s="12"/>
      <c r="M969" s="12"/>
    </row>
    <row r="970">
      <c r="K970" s="12"/>
      <c r="L970" s="12"/>
      <c r="M970" s="12"/>
    </row>
    <row r="971">
      <c r="K971" s="12"/>
      <c r="L971" s="12"/>
      <c r="M971" s="12"/>
    </row>
    <row r="972">
      <c r="K972" s="12"/>
      <c r="L972" s="12"/>
      <c r="M972" s="12"/>
    </row>
    <row r="973">
      <c r="K973" s="12"/>
      <c r="L973" s="12"/>
      <c r="M973" s="12"/>
    </row>
    <row r="974">
      <c r="K974" s="12"/>
      <c r="L974" s="12"/>
      <c r="M974" s="12"/>
    </row>
    <row r="975">
      <c r="K975" s="12"/>
      <c r="L975" s="12"/>
      <c r="M975" s="12"/>
    </row>
    <row r="976">
      <c r="K976" s="12"/>
      <c r="L976" s="12"/>
      <c r="M976" s="12"/>
    </row>
    <row r="977">
      <c r="K977" s="12"/>
      <c r="L977" s="12"/>
      <c r="M977" s="12"/>
    </row>
    <row r="978">
      <c r="K978" s="12"/>
      <c r="L978" s="12"/>
      <c r="M978" s="12"/>
    </row>
    <row r="979">
      <c r="K979" s="12"/>
      <c r="L979" s="12"/>
      <c r="M979" s="12"/>
    </row>
    <row r="980">
      <c r="K980" s="12"/>
      <c r="L980" s="12"/>
      <c r="M980" s="12"/>
    </row>
    <row r="981">
      <c r="K981" s="12"/>
      <c r="L981" s="12"/>
      <c r="M981" s="12"/>
    </row>
    <row r="982">
      <c r="K982" s="12"/>
      <c r="L982" s="12"/>
      <c r="M982" s="12"/>
    </row>
    <row r="983">
      <c r="K983" s="12"/>
      <c r="L983" s="12"/>
      <c r="M983" s="12"/>
    </row>
    <row r="984">
      <c r="K984" s="12"/>
      <c r="L984" s="12"/>
      <c r="M984" s="12"/>
    </row>
    <row r="985">
      <c r="K985" s="12"/>
      <c r="L985" s="12"/>
      <c r="M985" s="12"/>
    </row>
    <row r="986">
      <c r="K986" s="12"/>
      <c r="L986" s="12"/>
      <c r="M986" s="12"/>
    </row>
    <row r="987">
      <c r="K987" s="12"/>
      <c r="L987" s="12"/>
      <c r="M987" s="12"/>
    </row>
    <row r="988">
      <c r="K988" s="12"/>
      <c r="L988" s="12"/>
      <c r="M988" s="12"/>
    </row>
    <row r="989">
      <c r="K989" s="12"/>
      <c r="L989" s="12"/>
      <c r="M989" s="12"/>
    </row>
    <row r="990">
      <c r="K990" s="12"/>
      <c r="L990" s="12"/>
      <c r="M990" s="12"/>
    </row>
    <row r="991">
      <c r="K991" s="12"/>
      <c r="L991" s="12"/>
      <c r="M991" s="12"/>
    </row>
    <row r="992">
      <c r="L992" s="12"/>
      <c r="M992" s="12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9"/>
      <c r="B1" s="10" t="s">
        <v>102</v>
      </c>
      <c r="C1" s="2" t="s">
        <v>121</v>
      </c>
      <c r="D1" s="2" t="s">
        <v>122</v>
      </c>
      <c r="E1" s="2" t="s">
        <v>123</v>
      </c>
      <c r="F1" s="2" t="s">
        <v>124</v>
      </c>
      <c r="H1" s="2" t="s">
        <v>76</v>
      </c>
      <c r="I1" s="2" t="s">
        <v>56</v>
      </c>
      <c r="J1" s="2" t="s">
        <v>125</v>
      </c>
      <c r="K1" s="2" t="s">
        <v>126</v>
      </c>
      <c r="L1" s="2" t="s">
        <v>127</v>
      </c>
      <c r="M1" s="2" t="s">
        <v>128</v>
      </c>
      <c r="O1" s="2" t="s">
        <v>129</v>
      </c>
      <c r="P1" s="2" t="s">
        <v>130</v>
      </c>
      <c r="Q1" s="2" t="s">
        <v>131</v>
      </c>
      <c r="R1" s="2" t="s">
        <v>132</v>
      </c>
      <c r="AA1" s="2" t="s">
        <v>87</v>
      </c>
      <c r="AB1" s="2" t="s">
        <v>133</v>
      </c>
      <c r="AC1" s="2" t="s">
        <v>134</v>
      </c>
    </row>
    <row r="2">
      <c r="A2" s="11">
        <v>201603.0</v>
      </c>
      <c r="B2" s="10">
        <v>0.3</v>
      </c>
      <c r="C2" s="13"/>
      <c r="D2" s="13"/>
      <c r="E2" s="13"/>
      <c r="F2" s="13"/>
      <c r="G2" s="13"/>
      <c r="H2" s="13"/>
      <c r="I2" s="13"/>
      <c r="K2" s="13"/>
      <c r="L2" s="13"/>
      <c r="O2" s="13"/>
      <c r="P2" s="13"/>
      <c r="Q2" s="13"/>
      <c r="R2" s="13"/>
      <c r="AB2" s="15" t="str">
        <f t="shared" ref="AB2:AB29" si="1">index($C$1:$AA$1, match(min(C2:AA2),C2:AA2,0))</f>
        <v>#N/A</v>
      </c>
      <c r="AC2" s="13">
        <f t="shared" ref="AC2:AC29" si="2">min(C2:AA2)</f>
        <v>0</v>
      </c>
    </row>
    <row r="3">
      <c r="A3" s="11">
        <v>201606.0</v>
      </c>
      <c r="B3" s="10">
        <v>1.2</v>
      </c>
      <c r="C3" s="13">
        <f>abs(pred_GDP_1qa!C3-pred_GDP_1qa!$B3)</f>
        <v>0.67812845</v>
      </c>
      <c r="D3" s="13">
        <f>abs(pred_GDP_1qa!D3-pred_GDP_1qa!$B3)</f>
        <v>0.518264</v>
      </c>
      <c r="E3" s="13">
        <f>abs(pred_GDP_1qa!E3-pred_GDP_1qa!$B3)</f>
        <v>0.590924</v>
      </c>
      <c r="F3" s="13">
        <f>abs(pred_GDP_1qa!F3-pred_GDP_1qa!$B3)</f>
        <v>0.7906931325</v>
      </c>
      <c r="G3" s="13"/>
      <c r="H3" s="13"/>
      <c r="I3" s="13">
        <f>abs(pred_GDP_1qa!I3-pred_GDP_1qa!$B3)</f>
        <v>0.121643501</v>
      </c>
      <c r="J3" s="13">
        <f>abs(pred_GDP_1qa!J3-pred_GDP_1qa!$B3)</f>
        <v>0.2129635689</v>
      </c>
      <c r="K3" s="13">
        <f>abs(pred_GDP_1qa!K3-pred_GDP_1qa!$B3)</f>
        <v>1.23484</v>
      </c>
      <c r="L3" s="13">
        <f>abs(pred_GDP_1qa!L3-pred_GDP_1qa!$B3)</f>
        <v>0.344081701</v>
      </c>
      <c r="M3" s="13">
        <f>abs(pred_GDP_1qa!M3-pred_GDP_1qa!$B3)</f>
        <v>0.4</v>
      </c>
      <c r="O3" s="13">
        <f>abs(pred_GDP_1qa!O3-pred_GDP_1qa!$B3)</f>
        <v>0.4092652158</v>
      </c>
      <c r="P3" s="13">
        <f>abs(pred_GDP_1qa!P3-pred_GDP_1qa!$B3)</f>
        <v>0.0953063488</v>
      </c>
      <c r="Q3" s="13">
        <f>abs(pred_GDP_1qa!Q3-pred_GDP_1qa!$B3)</f>
        <v>0.550093</v>
      </c>
      <c r="R3" s="13">
        <f>abs(pred_GDP_1qa!R3-pred_GDP_1qa!$B3)</f>
        <v>0.213662</v>
      </c>
      <c r="AA3" s="13">
        <f>abs(pred_GDP_1qa!AA3-pred_GDP_1qa!$B3)</f>
        <v>0.05683888882</v>
      </c>
      <c r="AB3" s="15" t="str">
        <f t="shared" si="1"/>
        <v>TEXT</v>
      </c>
      <c r="AC3" s="13">
        <f t="shared" si="2"/>
        <v>0.05683888882</v>
      </c>
    </row>
    <row r="4">
      <c r="A4" s="11">
        <v>201609.0</v>
      </c>
      <c r="B4" s="10">
        <v>0.4</v>
      </c>
      <c r="C4" s="13">
        <f>abs(pred_GDP_1qa!C4-pred_GDP_1qa!$B4)</f>
        <v>0.38732432</v>
      </c>
      <c r="D4" s="13">
        <f>abs(pred_GDP_1qa!D4-pred_GDP_1qa!$B4)</f>
        <v>0.052506</v>
      </c>
      <c r="E4" s="13">
        <f>abs(pred_GDP_1qa!E4-pred_GDP_1qa!$B4)</f>
        <v>0.040791</v>
      </c>
      <c r="F4" s="13">
        <f>abs(pred_GDP_1qa!F4-pred_GDP_1qa!$B4)</f>
        <v>0.2471232328</v>
      </c>
      <c r="G4" s="13"/>
      <c r="H4" s="13"/>
      <c r="I4" s="13">
        <f>abs(pred_GDP_1qa!I4-pred_GDP_1qa!$B4)</f>
        <v>0.6460136875</v>
      </c>
      <c r="J4" s="13">
        <f>abs(pred_GDP_1qa!J4-pred_GDP_1qa!$B4)</f>
        <v>0.487490509</v>
      </c>
      <c r="K4" s="13">
        <f>abs(pred_GDP_1qa!K4-pred_GDP_1qa!$B4)</f>
        <v>0.014438</v>
      </c>
      <c r="L4" s="13">
        <f>abs(pred_GDP_1qa!L4-pred_GDP_1qa!$B4)</f>
        <v>0.1036375503</v>
      </c>
      <c r="M4" s="13">
        <f>abs(pred_GDP_1qa!M4-pred_GDP_1qa!$B4)</f>
        <v>0.4</v>
      </c>
      <c r="O4" s="13">
        <f>abs(pred_GDP_1qa!O4-pred_GDP_1qa!$B4)</f>
        <v>0.005793092989</v>
      </c>
      <c r="P4" s="13">
        <f>abs(pred_GDP_1qa!P4-pred_GDP_1qa!$B4)</f>
        <v>0.7350500584</v>
      </c>
      <c r="Q4" s="13">
        <f>abs(pred_GDP_1qa!Q4-pred_GDP_1qa!$B4)</f>
        <v>0.288193</v>
      </c>
      <c r="R4" s="13">
        <f>abs(pred_GDP_1qa!R4-pred_GDP_1qa!$B4)</f>
        <v>0.619892</v>
      </c>
      <c r="AA4" s="13">
        <f>abs(pred_GDP_1qa!AA4-pred_GDP_1qa!$B4)</f>
        <v>0.5443537823</v>
      </c>
      <c r="AB4" s="15" t="str">
        <f t="shared" si="1"/>
        <v>RF-DVS</v>
      </c>
      <c r="AC4" s="13">
        <f t="shared" si="2"/>
        <v>0.005793092989</v>
      </c>
    </row>
    <row r="5">
      <c r="A5" s="11">
        <v>201612.0</v>
      </c>
      <c r="B5" s="10">
        <v>0.6</v>
      </c>
      <c r="C5" s="13">
        <f>abs(pred_GDP_1qa!C5-pred_GDP_1qa!$B5)</f>
        <v>0.01675774</v>
      </c>
      <c r="D5" s="13">
        <f>abs(pred_GDP_1qa!D5-pred_GDP_1qa!$B5)</f>
        <v>0.136929</v>
      </c>
      <c r="E5" s="13">
        <f>abs(pred_GDP_1qa!E5-pred_GDP_1qa!$B5)</f>
        <v>0.200937</v>
      </c>
      <c r="F5" s="13">
        <f>abs(pred_GDP_1qa!F5-pred_GDP_1qa!$B5)</f>
        <v>0.08147542657</v>
      </c>
      <c r="G5" s="13"/>
      <c r="H5" s="13"/>
      <c r="I5" s="13">
        <f>abs(pred_GDP_1qa!I5-pred_GDP_1qa!$B5)</f>
        <v>0.04538422704</v>
      </c>
      <c r="J5" s="13">
        <f>abs(pred_GDP_1qa!J5-pred_GDP_1qa!$B5)</f>
        <v>0.06954523051</v>
      </c>
      <c r="K5" s="13">
        <f>abs(pred_GDP_1qa!K5-pred_GDP_1qa!$B5)</f>
        <v>0.359798</v>
      </c>
      <c r="L5" s="13">
        <f>abs(pred_GDP_1qa!L5-pred_GDP_1qa!$B5)</f>
        <v>0.09038471023</v>
      </c>
      <c r="M5" s="13">
        <f>abs(pred_GDP_1qa!M5-pred_GDP_1qa!$B5)</f>
        <v>0.1</v>
      </c>
      <c r="O5" s="13">
        <f>abs(pred_GDP_1qa!O5-pred_GDP_1qa!$B5)</f>
        <v>0.07061074093</v>
      </c>
      <c r="P5" s="13">
        <f>abs(pred_GDP_1qa!P5-pred_GDP_1qa!$B5)</f>
        <v>0.6468637228</v>
      </c>
      <c r="Q5" s="13">
        <f>abs(pred_GDP_1qa!Q5-pred_GDP_1qa!$B5)</f>
        <v>0.0308</v>
      </c>
      <c r="R5" s="13">
        <f>abs(pred_GDP_1qa!R5-pred_GDP_1qa!$B5)</f>
        <v>0.254478</v>
      </c>
      <c r="AA5" s="13">
        <f>abs(pred_GDP_1qa!AA5-pred_GDP_1qa!$B5)</f>
        <v>0.6199875659</v>
      </c>
      <c r="AB5" s="15" t="str">
        <f t="shared" si="1"/>
        <v>DFM</v>
      </c>
      <c r="AC5" s="13">
        <f t="shared" si="2"/>
        <v>0.01675774</v>
      </c>
    </row>
    <row r="6">
      <c r="A6" s="11">
        <v>201703.0</v>
      </c>
      <c r="B6" s="10">
        <v>1.0</v>
      </c>
      <c r="C6" s="13">
        <f>abs(pred_GDP_1qa!C6-pred_GDP_1qa!$B6)</f>
        <v>0.08965429</v>
      </c>
      <c r="D6" s="13">
        <f>abs(pred_GDP_1qa!D6-pred_GDP_1qa!$B6)</f>
        <v>0.083911</v>
      </c>
      <c r="E6" s="13">
        <f>abs(pred_GDP_1qa!E6-pred_GDP_1qa!$B6)</f>
        <v>0.122514</v>
      </c>
      <c r="F6" s="13">
        <f>abs(pred_GDP_1qa!F6-pred_GDP_1qa!$B6)</f>
        <v>0.2141968719</v>
      </c>
      <c r="G6" s="13"/>
      <c r="H6" s="13"/>
      <c r="I6" s="13">
        <f>abs(pred_GDP_1qa!I6-pred_GDP_1qa!$B6)</f>
        <v>0.3430739952</v>
      </c>
      <c r="J6" s="13">
        <f>abs(pred_GDP_1qa!J6-pred_GDP_1qa!$B6)</f>
        <v>0.09835215517</v>
      </c>
      <c r="K6" s="13">
        <f>abs(pred_GDP_1qa!K6-pred_GDP_1qa!$B6)</f>
        <v>0.893081</v>
      </c>
      <c r="L6" s="13">
        <f>abs(pred_GDP_1qa!L6-pred_GDP_1qa!$B6)</f>
        <v>0.8161630097</v>
      </c>
      <c r="M6" s="13">
        <f>abs(pred_GDP_1qa!M6-pred_GDP_1qa!$B6)</f>
        <v>0.2</v>
      </c>
      <c r="O6" s="13">
        <f>abs(pred_GDP_1qa!O6-pred_GDP_1qa!$B6)</f>
        <v>0.322374526</v>
      </c>
      <c r="P6" s="13">
        <f>abs(pred_GDP_1qa!P6-pred_GDP_1qa!$B6)</f>
        <v>0.2422221899</v>
      </c>
      <c r="Q6" s="13">
        <f>abs(pred_GDP_1qa!Q6-pred_GDP_1qa!$B6)</f>
        <v>0.014579</v>
      </c>
      <c r="R6" s="13">
        <f>abs(pred_GDP_1qa!R6-pred_GDP_1qa!$B6)</f>
        <v>0.159281</v>
      </c>
      <c r="AA6" s="13">
        <f>abs(pred_GDP_1qa!AA6-pred_GDP_1qa!$B6)</f>
        <v>0.4359839191</v>
      </c>
      <c r="AB6" s="15" t="str">
        <f t="shared" si="1"/>
        <v>LQR</v>
      </c>
      <c r="AC6" s="13">
        <f t="shared" si="2"/>
        <v>0.014579</v>
      </c>
    </row>
    <row r="7">
      <c r="A7" s="11">
        <v>201706.0</v>
      </c>
      <c r="B7" s="10">
        <v>0.8</v>
      </c>
      <c r="C7" s="13">
        <f>abs(pred_GDP_1qa!C7-pred_GDP_1qa!$B7)</f>
        <v>0.09238201</v>
      </c>
      <c r="D7" s="13">
        <f>abs(pred_GDP_1qa!D7-pred_GDP_1qa!$B7)</f>
        <v>0.330269</v>
      </c>
      <c r="E7" s="13">
        <f>abs(pred_GDP_1qa!E7-pred_GDP_1qa!$B7)</f>
        <v>0.349797</v>
      </c>
      <c r="F7" s="13">
        <f>abs(pred_GDP_1qa!F7-pred_GDP_1qa!$B7)</f>
        <v>0.05792085267</v>
      </c>
      <c r="G7" s="13"/>
      <c r="H7" s="13"/>
      <c r="I7" s="13">
        <f>abs(pred_GDP_1qa!I7-pred_GDP_1qa!$B7)</f>
        <v>0.2483540137</v>
      </c>
      <c r="J7" s="13">
        <f>abs(pred_GDP_1qa!J7-pred_GDP_1qa!$B7)</f>
        <v>0.2806698076</v>
      </c>
      <c r="K7" s="13">
        <f>abs(pred_GDP_1qa!K7-pred_GDP_1qa!$B7)</f>
        <v>0.393352</v>
      </c>
      <c r="L7" s="13">
        <f>abs(pred_GDP_1qa!L7-pred_GDP_1qa!$B7)</f>
        <v>1.158109222</v>
      </c>
      <c r="M7" s="13">
        <f>abs(pred_GDP_1qa!M7-pred_GDP_1qa!$B7)</f>
        <v>0.2</v>
      </c>
      <c r="O7" s="13">
        <f>abs(pred_GDP_1qa!O7-pred_GDP_1qa!$B7)</f>
        <v>0.390114656</v>
      </c>
      <c r="P7" s="13">
        <f>abs(pred_GDP_1qa!P7-pred_GDP_1qa!$B7)</f>
        <v>0.201210928</v>
      </c>
      <c r="Q7" s="13">
        <f>abs(pred_GDP_1qa!Q7-pred_GDP_1qa!$B7)</f>
        <v>0.021447</v>
      </c>
      <c r="R7" s="13">
        <f>abs(pred_GDP_1qa!R7-pred_GDP_1qa!$B7)</f>
        <v>0.43765</v>
      </c>
      <c r="AA7" s="13">
        <f>abs(pred_GDP_1qa!AA7-pred_GDP_1qa!$B7)</f>
        <v>0.04596021779</v>
      </c>
      <c r="AB7" s="15" t="str">
        <f t="shared" si="1"/>
        <v>LQR</v>
      </c>
      <c r="AC7" s="13">
        <f t="shared" si="2"/>
        <v>0.021447</v>
      </c>
    </row>
    <row r="8">
      <c r="A8" s="11">
        <v>201709.0</v>
      </c>
      <c r="B8" s="10">
        <v>1.4</v>
      </c>
      <c r="C8" s="13">
        <f>abs(pred_GDP_1qa!C8-pred_GDP_1qa!$B8)</f>
        <v>0.47786744</v>
      </c>
      <c r="D8" s="13">
        <f>abs(pred_GDP_1qa!D8-pred_GDP_1qa!$B8)</f>
        <v>0.899292</v>
      </c>
      <c r="E8" s="13">
        <f>abs(pred_GDP_1qa!E8-pred_GDP_1qa!$B8)</f>
        <v>0.950925</v>
      </c>
      <c r="F8" s="13">
        <f>abs(pred_GDP_1qa!F8-pred_GDP_1qa!$B8)</f>
        <v>0.4866445235</v>
      </c>
      <c r="G8" s="13"/>
      <c r="H8" s="13"/>
      <c r="I8" s="13">
        <f>abs(pred_GDP_1qa!I8-pred_GDP_1qa!$B8)</f>
        <v>0.8139384345</v>
      </c>
      <c r="J8" s="13">
        <f>abs(pred_GDP_1qa!J8-pred_GDP_1qa!$B8)</f>
        <v>0.6836020964</v>
      </c>
      <c r="K8" s="13">
        <f>abs(pred_GDP_1qa!K8-pred_GDP_1qa!$B8)</f>
        <v>1.275315</v>
      </c>
      <c r="L8" s="13">
        <f>abs(pred_GDP_1qa!L8-pred_GDP_1qa!$B8)</f>
        <v>1.153275259</v>
      </c>
      <c r="M8" s="13">
        <f>abs(pred_GDP_1qa!M8-pred_GDP_1qa!$B8)</f>
        <v>0.3</v>
      </c>
      <c r="O8" s="13">
        <f>abs(pred_GDP_1qa!O8-pred_GDP_1qa!$B8)</f>
        <v>0.9476589755</v>
      </c>
      <c r="P8" s="13">
        <f>abs(pred_GDP_1qa!P8-pred_GDP_1qa!$B8)</f>
        <v>0.48920753</v>
      </c>
      <c r="Q8" s="13">
        <f>abs(pred_GDP_1qa!Q8-pred_GDP_1qa!$B8)</f>
        <v>0.55461</v>
      </c>
      <c r="R8" s="13">
        <f>abs(pred_GDP_1qa!R8-pred_GDP_1qa!$B8)</f>
        <v>0.181433</v>
      </c>
      <c r="AA8" s="13">
        <f>abs(pred_GDP_1qa!AA8-pred_GDP_1qa!$B8)</f>
        <v>0.1067727429</v>
      </c>
      <c r="AB8" s="15" t="str">
        <f t="shared" si="1"/>
        <v>TEXT</v>
      </c>
      <c r="AC8" s="13">
        <f t="shared" si="2"/>
        <v>0.1067727429</v>
      </c>
    </row>
    <row r="9">
      <c r="A9" s="11">
        <v>201712.0</v>
      </c>
      <c r="B9" s="10">
        <v>-0.3</v>
      </c>
      <c r="C9" s="13">
        <f>abs(pred_GDP_1qa!C9-pred_GDP_1qa!$B9)</f>
        <v>1.27254494</v>
      </c>
      <c r="D9" s="13">
        <f>abs(pred_GDP_1qa!D9-pred_GDP_1qa!$B9)</f>
        <v>0.847752</v>
      </c>
      <c r="E9" s="13">
        <f>abs(pred_GDP_1qa!E9-pred_GDP_1qa!$B9)</f>
        <v>0.762819</v>
      </c>
      <c r="F9" s="13">
        <f>abs(pred_GDP_1qa!F9-pred_GDP_1qa!$B9)</f>
        <v>0.7392551563</v>
      </c>
      <c r="G9" s="13"/>
      <c r="H9" s="13"/>
      <c r="I9" s="13">
        <f>abs(pred_GDP_1qa!I9-pred_GDP_1qa!$B9)</f>
        <v>1.286169614</v>
      </c>
      <c r="J9" s="13">
        <f>abs(pred_GDP_1qa!J9-pred_GDP_1qa!$B9)</f>
        <v>1.357514025</v>
      </c>
      <c r="K9" s="13">
        <f>abs(pred_GDP_1qa!K9-pred_GDP_1qa!$B9)</f>
        <v>0.384091</v>
      </c>
      <c r="L9" s="13">
        <f>abs(pred_GDP_1qa!L9-pred_GDP_1qa!$B9)</f>
        <v>0.7229377375</v>
      </c>
      <c r="M9" s="13">
        <f>abs(pred_GDP_1qa!M9-pred_GDP_1qa!$B9)</f>
        <v>1.2</v>
      </c>
      <c r="O9" s="13">
        <f>abs(pred_GDP_1qa!O9-pred_GDP_1qa!$B9)</f>
        <v>0.8096688741</v>
      </c>
      <c r="P9" s="13">
        <f>abs(pred_GDP_1qa!P9-pred_GDP_1qa!$B9)</f>
        <v>1.547796416</v>
      </c>
      <c r="Q9" s="13">
        <f>abs(pred_GDP_1qa!Q9-pred_GDP_1qa!$B9)</f>
        <v>1.149378</v>
      </c>
      <c r="R9" s="13">
        <f>abs(pred_GDP_1qa!R9-pred_GDP_1qa!$B9)</f>
        <v>1.420793</v>
      </c>
      <c r="AA9" s="13">
        <f>abs(pred_GDP_1qa!AA9-pred_GDP_1qa!$B9)</f>
        <v>1.145768855</v>
      </c>
      <c r="AB9" s="15" t="str">
        <f t="shared" si="1"/>
        <v>VAR</v>
      </c>
      <c r="AC9" s="13">
        <f t="shared" si="2"/>
        <v>0.384091</v>
      </c>
    </row>
    <row r="10">
      <c r="A10" s="11">
        <v>201803.0</v>
      </c>
      <c r="B10" s="10">
        <v>1.3</v>
      </c>
      <c r="C10" s="13">
        <f>abs(pred_GDP_1qa!C10-pred_GDP_1qa!$B10)</f>
        <v>0.37509123</v>
      </c>
      <c r="D10" s="13">
        <f>abs(pred_GDP_1qa!D10-pred_GDP_1qa!$B10)</f>
        <v>0.630583</v>
      </c>
      <c r="E10" s="13">
        <f>abs(pred_GDP_1qa!E10-pred_GDP_1qa!$B10)</f>
        <v>0.68606</v>
      </c>
      <c r="F10" s="13">
        <f>abs(pred_GDP_1qa!F10-pred_GDP_1qa!$B10)</f>
        <v>0.3286688483</v>
      </c>
      <c r="G10" s="13"/>
      <c r="H10" s="13"/>
      <c r="I10" s="13">
        <f>abs(pred_GDP_1qa!I10-pred_GDP_1qa!$B10)</f>
        <v>0.4623348029</v>
      </c>
      <c r="J10" s="13">
        <f>abs(pred_GDP_1qa!J10-pred_GDP_1qa!$B10)</f>
        <v>0.5029181432</v>
      </c>
      <c r="K10" s="13">
        <f>abs(pred_GDP_1qa!K10-pred_GDP_1qa!$B10)</f>
        <v>1.093543</v>
      </c>
      <c r="L10" s="13">
        <f>abs(pred_GDP_1qa!L10-pred_GDP_1qa!$B10)</f>
        <v>0.668477243</v>
      </c>
      <c r="M10" s="13">
        <f>abs(pred_GDP_1qa!M10-pred_GDP_1qa!$B10)</f>
        <v>0.2</v>
      </c>
      <c r="O10" s="13">
        <f>abs(pred_GDP_1qa!O10-pred_GDP_1qa!$B10)</f>
        <v>0.633686413</v>
      </c>
      <c r="P10" s="13">
        <f>abs(pred_GDP_1qa!P10-pred_GDP_1qa!$B10)</f>
        <v>0.4269899607</v>
      </c>
      <c r="Q10" s="13">
        <f>abs(pred_GDP_1qa!Q10-pred_GDP_1qa!$B10)</f>
        <v>0.751219</v>
      </c>
      <c r="R10" s="13">
        <f>abs(pred_GDP_1qa!R10-pred_GDP_1qa!$B10)</f>
        <v>0.527525</v>
      </c>
      <c r="AA10" s="13">
        <f>abs(pred_GDP_1qa!AA10-pred_GDP_1qa!$B10)</f>
        <v>0.7850833398</v>
      </c>
      <c r="AB10" s="15" t="str">
        <f t="shared" si="1"/>
        <v>CRNN</v>
      </c>
      <c r="AC10" s="13">
        <f t="shared" si="2"/>
        <v>0.2</v>
      </c>
    </row>
    <row r="11">
      <c r="A11" s="11">
        <v>201806.0</v>
      </c>
      <c r="B11" s="10">
        <v>0.7</v>
      </c>
      <c r="C11" s="13">
        <f>abs(pred_GDP_1qa!C11-pred_GDP_1qa!$B11)</f>
        <v>0.08902718</v>
      </c>
      <c r="D11" s="13">
        <f>abs(pred_GDP_1qa!D11-pred_GDP_1qa!$B11)</f>
        <v>0.0106</v>
      </c>
      <c r="E11" s="13">
        <f>abs(pred_GDP_1qa!E11-pred_GDP_1qa!$B11)</f>
        <v>0.048888</v>
      </c>
      <c r="F11" s="13">
        <f>abs(pred_GDP_1qa!F11-pred_GDP_1qa!$B11)</f>
        <v>0.1849597989</v>
      </c>
      <c r="G11" s="13"/>
      <c r="H11" s="13"/>
      <c r="I11" s="13">
        <f>abs(pred_GDP_1qa!I11-pred_GDP_1qa!$B11)</f>
        <v>0.3659758391</v>
      </c>
      <c r="J11" s="13">
        <f>abs(pred_GDP_1qa!J11-pred_GDP_1qa!$B11)</f>
        <v>0.2062471393</v>
      </c>
      <c r="K11" s="13">
        <f>abs(pred_GDP_1qa!K11-pred_GDP_1qa!$B11)</f>
        <v>0.428534</v>
      </c>
      <c r="L11" s="13">
        <f>abs(pred_GDP_1qa!L11-pred_GDP_1qa!$B11)</f>
        <v>0.2197559671</v>
      </c>
      <c r="M11" s="13">
        <f>abs(pred_GDP_1qa!M11-pred_GDP_1qa!$B11)</f>
        <v>0.1</v>
      </c>
      <c r="O11" s="13">
        <f>abs(pred_GDP_1qa!O11-pred_GDP_1qa!$B11)</f>
        <v>0.1257469143</v>
      </c>
      <c r="P11" s="13">
        <f>abs(pred_GDP_1qa!P11-pred_GDP_1qa!$B11)</f>
        <v>0.08232187033</v>
      </c>
      <c r="Q11" s="13">
        <f>abs(pred_GDP_1qa!Q11-pred_GDP_1qa!$B11)</f>
        <v>0.036549</v>
      </c>
      <c r="R11" s="13">
        <f>abs(pred_GDP_1qa!R11-pred_GDP_1qa!$B11)</f>
        <v>0.302659</v>
      </c>
      <c r="AA11" s="13">
        <f>abs(pred_GDP_1qa!AA11-pred_GDP_1qa!$B11)</f>
        <v>0.4220814726</v>
      </c>
      <c r="AB11" s="15" t="str">
        <f t="shared" si="1"/>
        <v>BEM1</v>
      </c>
      <c r="AC11" s="13">
        <f t="shared" si="2"/>
        <v>0.0106</v>
      </c>
    </row>
    <row r="12">
      <c r="A12" s="11">
        <v>201809.0</v>
      </c>
      <c r="B12" s="10">
        <v>0.6</v>
      </c>
      <c r="C12" s="13">
        <f>abs(pred_GDP_1qa!C12-pred_GDP_1qa!$B12)</f>
        <v>0.44818163</v>
      </c>
      <c r="D12" s="13">
        <f>abs(pred_GDP_1qa!D12-pred_GDP_1qa!$B12)</f>
        <v>0.007729</v>
      </c>
      <c r="E12" s="13">
        <f>abs(pred_GDP_1qa!E12-pred_GDP_1qa!$B12)</f>
        <v>0.03457</v>
      </c>
      <c r="F12" s="13">
        <f>abs(pred_GDP_1qa!F12-pred_GDP_1qa!$B12)</f>
        <v>0.1957078641</v>
      </c>
      <c r="G12" s="13"/>
      <c r="H12" s="13"/>
      <c r="I12" s="13">
        <f>abs(pred_GDP_1qa!I12-pred_GDP_1qa!$B12)</f>
        <v>0.6752359682</v>
      </c>
      <c r="J12" s="13">
        <f>abs(pred_GDP_1qa!J12-pred_GDP_1qa!$B12)</f>
        <v>0.3231883673</v>
      </c>
      <c r="K12" s="13">
        <f>abs(pred_GDP_1qa!K12-pred_GDP_1qa!$B12)</f>
        <v>0.402032</v>
      </c>
      <c r="L12" s="13">
        <f>abs(pred_GDP_1qa!L12-pred_GDP_1qa!$B12)</f>
        <v>0.04221200167</v>
      </c>
      <c r="M12" s="13">
        <f>abs(pred_GDP_1qa!M12-pred_GDP_1qa!$B12)</f>
        <v>0.2</v>
      </c>
      <c r="O12" s="13">
        <f>abs(pred_GDP_1qa!O12-pred_GDP_1qa!$B12)</f>
        <v>0.02087222987</v>
      </c>
      <c r="P12" s="13">
        <f>abs(pred_GDP_1qa!P12-pred_GDP_1qa!$B12)</f>
        <v>0.8617551565</v>
      </c>
      <c r="Q12" s="13">
        <f>abs(pred_GDP_1qa!Q12-pred_GDP_1qa!$B12)</f>
        <v>0.006897</v>
      </c>
      <c r="R12" s="13">
        <f>abs(pred_GDP_1qa!R12-pred_GDP_1qa!$B12)</f>
        <v>0.240567</v>
      </c>
      <c r="AA12" s="13">
        <f>abs(pred_GDP_1qa!AA12-pred_GDP_1qa!$B12)</f>
        <v>0.3069773038</v>
      </c>
      <c r="AB12" s="15" t="str">
        <f t="shared" si="1"/>
        <v>LQR</v>
      </c>
      <c r="AC12" s="13">
        <f t="shared" si="2"/>
        <v>0.006897</v>
      </c>
    </row>
    <row r="13">
      <c r="A13" s="11">
        <v>201812.0</v>
      </c>
      <c r="B13" s="10">
        <v>0.6</v>
      </c>
      <c r="C13" s="13">
        <f>abs(pred_GDP_1qa!C13-pred_GDP_1qa!$B13)</f>
        <v>0.05809605</v>
      </c>
      <c r="D13" s="13">
        <f>abs(pred_GDP_1qa!D13-pred_GDP_1qa!$B13)</f>
        <v>0.094663</v>
      </c>
      <c r="E13" s="13">
        <f>abs(pred_GDP_1qa!E13-pred_GDP_1qa!$B13)</f>
        <v>0.153196</v>
      </c>
      <c r="F13" s="13">
        <f>abs(pred_GDP_1qa!F13-pred_GDP_1qa!$B13)</f>
        <v>0.06785624981</v>
      </c>
      <c r="G13" s="13"/>
      <c r="H13" s="13"/>
      <c r="I13" s="13">
        <f>abs(pred_GDP_1qa!I13-pred_GDP_1qa!$B13)</f>
        <v>0.2671777741</v>
      </c>
      <c r="J13" s="13">
        <f>abs(pred_GDP_1qa!J13-pred_GDP_1qa!$B13)</f>
        <v>0.08237499551</v>
      </c>
      <c r="K13" s="13">
        <f>abs(pred_GDP_1qa!K13-pred_GDP_1qa!$B13)</f>
        <v>0.5048</v>
      </c>
      <c r="L13" s="13">
        <f>abs(pred_GDP_1qa!L13-pred_GDP_1qa!$B13)</f>
        <v>0.1361880965</v>
      </c>
      <c r="M13" s="13">
        <f>abs(pred_GDP_1qa!M13-pred_GDP_1qa!$B13)</f>
        <v>0.1</v>
      </c>
      <c r="O13" s="13">
        <f>abs(pred_GDP_1qa!O13-pred_GDP_1qa!$B13)</f>
        <v>0.08639261065</v>
      </c>
      <c r="P13" s="13">
        <f>abs(pred_GDP_1qa!P13-pred_GDP_1qa!$B13)</f>
        <v>0.3507715106</v>
      </c>
      <c r="Q13" s="13">
        <f>abs(pred_GDP_1qa!Q13-pred_GDP_1qa!$B13)</f>
        <v>0.370054</v>
      </c>
      <c r="R13" s="13">
        <f>abs(pred_GDP_1qa!R13-pred_GDP_1qa!$B13)</f>
        <v>0.114293</v>
      </c>
      <c r="AA13" s="13">
        <f>abs(pred_GDP_1qa!AA13-pred_GDP_1qa!$B13)</f>
        <v>0.7453632778</v>
      </c>
      <c r="AB13" s="15" t="str">
        <f t="shared" si="1"/>
        <v>DFM</v>
      </c>
      <c r="AC13" s="13">
        <f t="shared" si="2"/>
        <v>0.05809605</v>
      </c>
    </row>
    <row r="14">
      <c r="A14" s="11">
        <v>201903.0</v>
      </c>
      <c r="B14" s="10">
        <v>-0.1</v>
      </c>
      <c r="C14" s="13">
        <f>abs(pred_GDP_1qa!C14-pred_GDP_1qa!$B14)</f>
        <v>0.67776114</v>
      </c>
      <c r="D14" s="13">
        <f>abs(pred_GDP_1qa!D14-pred_GDP_1qa!$B14)</f>
        <v>0.495094</v>
      </c>
      <c r="E14" s="13">
        <f>abs(pred_GDP_1qa!E14-pred_GDP_1qa!$B14)</f>
        <v>0.433607</v>
      </c>
      <c r="F14" s="13">
        <f>abs(pred_GDP_1qa!F14-pred_GDP_1qa!$B14)</f>
        <v>0.349530522</v>
      </c>
      <c r="G14" s="13"/>
      <c r="H14" s="13"/>
      <c r="I14" s="13">
        <f>abs(pred_GDP_1qa!I14-pred_GDP_1qa!$B14)</f>
        <v>0.6622048445</v>
      </c>
      <c r="J14" s="13">
        <f>abs(pred_GDP_1qa!J14-pred_GDP_1qa!$B14)</f>
        <v>0.7118815226</v>
      </c>
      <c r="K14" s="13">
        <f>abs(pred_GDP_1qa!K14-pred_GDP_1qa!$B14)</f>
        <v>0.0897</v>
      </c>
      <c r="L14" s="13">
        <f>abs(pred_GDP_1qa!L14-pred_GDP_1qa!$B14)</f>
        <v>0.4249372297</v>
      </c>
      <c r="M14" s="13">
        <f>abs(pred_GDP_1qa!M14-pred_GDP_1qa!$B14)</f>
        <v>0.8</v>
      </c>
      <c r="O14" s="13">
        <f>abs(pred_GDP_1qa!O14-pred_GDP_1qa!$B14)</f>
        <v>0.7892892872</v>
      </c>
      <c r="P14" s="13">
        <f>abs(pred_GDP_1qa!P14-pred_GDP_1qa!$B14)</f>
        <v>0.7186259389</v>
      </c>
      <c r="Q14" s="13">
        <f>abs(pred_GDP_1qa!Q14-pred_GDP_1qa!$B14)</f>
        <v>0.762429</v>
      </c>
      <c r="R14" s="13">
        <f>abs(pred_GDP_1qa!R14-pred_GDP_1qa!$B14)</f>
        <v>0.634452</v>
      </c>
      <c r="AA14" s="13">
        <f>abs(pred_GDP_1qa!AA14-pred_GDP_1qa!$B14)</f>
        <v>0.2843946455</v>
      </c>
      <c r="AB14" s="15" t="str">
        <f t="shared" si="1"/>
        <v>VAR</v>
      </c>
      <c r="AC14" s="13">
        <f t="shared" si="2"/>
        <v>0.0897</v>
      </c>
    </row>
    <row r="15">
      <c r="A15" s="11">
        <v>201906.0</v>
      </c>
      <c r="B15" s="10">
        <v>1.1</v>
      </c>
      <c r="C15" s="13">
        <f>abs(pred_GDP_1qa!C15-pred_GDP_1qa!$B15)</f>
        <v>0.54733363</v>
      </c>
      <c r="D15" s="13">
        <f>abs(pred_GDP_1qa!D15-pred_GDP_1qa!$B15)</f>
        <v>0.427509</v>
      </c>
      <c r="E15" s="13">
        <f>abs(pred_GDP_1qa!E15-pred_GDP_1qa!$B15)</f>
        <v>0.465795</v>
      </c>
      <c r="F15" s="13">
        <f>abs(pred_GDP_1qa!F15-pred_GDP_1qa!$B15)</f>
        <v>0.6911619614</v>
      </c>
      <c r="G15" s="13"/>
      <c r="H15" s="13"/>
      <c r="I15" s="13">
        <f>abs(pred_GDP_1qa!I15-pred_GDP_1qa!$B15)</f>
        <v>0.1293334016</v>
      </c>
      <c r="J15" s="13">
        <f>abs(pred_GDP_1qa!J15-pred_GDP_1qa!$B15)</f>
        <v>0.1099923794</v>
      </c>
      <c r="K15" s="13">
        <f>abs(pred_GDP_1qa!K15-pred_GDP_1qa!$B15)</f>
        <v>1.39079</v>
      </c>
      <c r="L15" s="13">
        <f>abs(pred_GDP_1qa!L15-pred_GDP_1qa!$B15)</f>
        <v>0.4817856376</v>
      </c>
      <c r="M15" s="13">
        <f>abs(pred_GDP_1qa!M15-pred_GDP_1qa!$B15)</f>
        <v>0.4</v>
      </c>
      <c r="O15" s="13">
        <f>abs(pred_GDP_1qa!O15-pred_GDP_1qa!$B15)</f>
        <v>0.3756216218</v>
      </c>
      <c r="P15" s="13">
        <f>abs(pred_GDP_1qa!P15-pred_GDP_1qa!$B15)</f>
        <v>0.197576797</v>
      </c>
      <c r="Q15" s="13">
        <f>abs(pred_GDP_1qa!Q15-pred_GDP_1qa!$B15)</f>
        <v>0.974278</v>
      </c>
      <c r="R15" s="13">
        <f>abs(pred_GDP_1qa!R15-pred_GDP_1qa!$B15)</f>
        <v>0.676783</v>
      </c>
      <c r="AA15" s="13">
        <f>abs(pred_GDP_1qa!AA15-pred_GDP_1qa!$B15)</f>
        <v>0.7689700582</v>
      </c>
      <c r="AB15" s="15" t="str">
        <f t="shared" si="1"/>
        <v>T-M</v>
      </c>
      <c r="AC15" s="13">
        <f t="shared" si="2"/>
        <v>0.1099923794</v>
      </c>
    </row>
    <row r="16">
      <c r="A16" s="11">
        <v>201909.0</v>
      </c>
      <c r="B16" s="10">
        <v>0.4</v>
      </c>
      <c r="C16" s="13">
        <f>abs(pred_GDP_1qa!C16-pred_GDP_1qa!$B16)</f>
        <v>0.07246244</v>
      </c>
      <c r="D16" s="13">
        <f>abs(pred_GDP_1qa!D16-pred_GDP_1qa!$B16)</f>
        <v>0.203259</v>
      </c>
      <c r="E16" s="13">
        <f>abs(pred_GDP_1qa!E16-pred_GDP_1qa!$B16)</f>
        <v>0.198342</v>
      </c>
      <c r="F16" s="13">
        <f>abs(pred_GDP_1qa!F16-pred_GDP_1qa!$B16)</f>
        <v>0.1794728983</v>
      </c>
      <c r="G16" s="13"/>
      <c r="H16" s="13"/>
      <c r="I16" s="13">
        <f>abs(pred_GDP_1qa!I16-pred_GDP_1qa!$B16)</f>
        <v>0.06752435431</v>
      </c>
      <c r="J16" s="13">
        <f>abs(pred_GDP_1qa!J16-pred_GDP_1qa!$B16)</f>
        <v>0.1905915314</v>
      </c>
      <c r="K16" s="13">
        <f>abs(pred_GDP_1qa!K16-pred_GDP_1qa!$B16)</f>
        <v>0.038102</v>
      </c>
      <c r="L16" s="13">
        <f>abs(pred_GDP_1qa!L16-pred_GDP_1qa!$B16)</f>
        <v>0.1842240764</v>
      </c>
      <c r="M16" s="13">
        <f>abs(pred_GDP_1qa!M16-pred_GDP_1qa!$B16)</f>
        <v>0.2</v>
      </c>
      <c r="O16" s="13">
        <f>abs(pred_GDP_1qa!O16-pred_GDP_1qa!$B16)</f>
        <v>0.2382004787</v>
      </c>
      <c r="P16" s="13">
        <f>abs(pred_GDP_1qa!P16-pred_GDP_1qa!$B16)</f>
        <v>0.6588374138</v>
      </c>
      <c r="Q16" s="13">
        <f>abs(pred_GDP_1qa!Q16-pred_GDP_1qa!$B16)</f>
        <v>0.266027</v>
      </c>
      <c r="R16" s="13">
        <f>abs(pred_GDP_1qa!R16-pred_GDP_1qa!$B16)</f>
        <v>0.382248</v>
      </c>
      <c r="AA16" s="13">
        <f>abs(pred_GDP_1qa!AA16-pred_GDP_1qa!$B16)</f>
        <v>0.01122052961</v>
      </c>
      <c r="AB16" s="15" t="str">
        <f t="shared" si="1"/>
        <v>TEXT</v>
      </c>
      <c r="AC16" s="13">
        <f t="shared" si="2"/>
        <v>0.01122052961</v>
      </c>
    </row>
    <row r="17">
      <c r="A17" s="11">
        <v>201912.0</v>
      </c>
      <c r="B17" s="10">
        <v>1.2</v>
      </c>
      <c r="C17" s="13">
        <f>abs(pred_GDP_1qa!C17-pred_GDP_1qa!$B17)</f>
        <v>0.6274574</v>
      </c>
      <c r="D17" s="13">
        <f>abs(pred_GDP_1qa!D17-pred_GDP_1qa!$B17)</f>
        <v>0.522489</v>
      </c>
      <c r="E17" s="13">
        <f>abs(pred_GDP_1qa!E17-pred_GDP_1qa!$B17)</f>
        <v>0.563951</v>
      </c>
      <c r="F17" s="13">
        <f>abs(pred_GDP_1qa!F17-pred_GDP_1qa!$B17)</f>
        <v>0.5241341019</v>
      </c>
      <c r="G17" s="13"/>
      <c r="H17" s="13"/>
      <c r="I17" s="13">
        <f>abs(pred_GDP_1qa!I17-pred_GDP_1qa!$B17)</f>
        <v>0.5895944693</v>
      </c>
      <c r="J17" s="13">
        <f>abs(pred_GDP_1qa!J17-pred_GDP_1qa!$B17)</f>
        <v>0.08793190563</v>
      </c>
      <c r="K17" s="13">
        <f>abs(pred_GDP_1qa!K17-pred_GDP_1qa!$B17)</f>
        <v>1.025501</v>
      </c>
      <c r="L17" s="13">
        <f>abs(pred_GDP_1qa!L17-pred_GDP_1qa!$B17)</f>
        <v>0.4581808488</v>
      </c>
      <c r="M17" s="13">
        <f>abs(pred_GDP_1qa!M17-pred_GDP_1qa!$B17)</f>
        <v>0.5</v>
      </c>
      <c r="O17" s="13">
        <f>abs(pred_GDP_1qa!O17-pred_GDP_1qa!$B17)</f>
        <v>0.5394644399</v>
      </c>
      <c r="P17" s="13">
        <f>abs(pred_GDP_1qa!P17-pred_GDP_1qa!$B17)</f>
        <v>0.4937242389</v>
      </c>
      <c r="Q17" s="13">
        <f>abs(pred_GDP_1qa!Q17-pred_GDP_1qa!$B17)</f>
        <v>0.507693</v>
      </c>
      <c r="R17" s="13">
        <f>abs(pred_GDP_1qa!R17-pred_GDP_1qa!$B17)</f>
        <v>0.254112</v>
      </c>
      <c r="AA17" s="13">
        <f>abs(pred_GDP_1qa!AA17-pred_GDP_1qa!$B17)</f>
        <v>0.9153911695</v>
      </c>
      <c r="AB17" s="15" t="str">
        <f t="shared" si="1"/>
        <v>T-M</v>
      </c>
      <c r="AC17" s="13">
        <f t="shared" si="2"/>
        <v>0.08793190563</v>
      </c>
    </row>
    <row r="18">
      <c r="A18" s="11">
        <v>202003.0</v>
      </c>
      <c r="B18" s="10">
        <v>-1.3</v>
      </c>
      <c r="C18" s="13">
        <f>abs(pred_GDP_1qa!C18-pred_GDP_1qa!$B18)</f>
        <v>1.76986457</v>
      </c>
      <c r="D18" s="13">
        <f>abs(pred_GDP_1qa!D18-pred_GDP_1qa!$B18)</f>
        <v>1.849058</v>
      </c>
      <c r="E18" s="13">
        <f>abs(pred_GDP_1qa!E18-pred_GDP_1qa!$B18)</f>
        <v>1.820496</v>
      </c>
      <c r="F18" s="13">
        <f>abs(pred_GDP_1qa!F18-pred_GDP_1qa!$B18)</f>
        <v>1.886659333</v>
      </c>
      <c r="G18" s="13"/>
      <c r="H18" s="13"/>
      <c r="I18" s="13">
        <f>abs(pred_GDP_1qa!I18-pred_GDP_1qa!$B18)</f>
        <v>2.036966171</v>
      </c>
      <c r="J18" s="13">
        <f>abs(pred_GDP_1qa!J18-pred_GDP_1qa!$B18)</f>
        <v>2.263146695</v>
      </c>
      <c r="K18" s="13">
        <f>abs(pred_GDP_1qa!K18-pred_GDP_1qa!$B18)</f>
        <v>1.329684</v>
      </c>
      <c r="L18" s="13">
        <f>abs(pred_GDP_1qa!L18-pred_GDP_1qa!$B18)</f>
        <v>1.576588077</v>
      </c>
      <c r="M18" s="13">
        <f>abs(pred_GDP_1qa!M18-pred_GDP_1qa!$B18)</f>
        <v>1.8</v>
      </c>
      <c r="O18" s="13">
        <f>abs(pred_GDP_1qa!O18-pred_GDP_1qa!$B18)</f>
        <v>1.926077259</v>
      </c>
      <c r="P18" s="13">
        <f>abs(pred_GDP_1qa!P18-pred_GDP_1qa!$B18)</f>
        <v>2.222684371</v>
      </c>
      <c r="Q18" s="13">
        <f>abs(pred_GDP_1qa!Q18-pred_GDP_1qa!$B18)</f>
        <v>1.709247</v>
      </c>
      <c r="R18" s="13">
        <f>abs(pred_GDP_1qa!R18-pred_GDP_1qa!$B18)</f>
        <v>2.036839</v>
      </c>
      <c r="AA18" s="13">
        <f>abs(pred_GDP_1qa!AA18-pred_GDP_1qa!$B18)</f>
        <v>2.444922551</v>
      </c>
      <c r="AB18" s="15" t="str">
        <f t="shared" si="1"/>
        <v>VAR</v>
      </c>
      <c r="AC18" s="13">
        <f t="shared" si="2"/>
        <v>1.329684</v>
      </c>
    </row>
    <row r="19">
      <c r="A19" s="11">
        <v>202006.0</v>
      </c>
      <c r="B19" s="10">
        <v>-3.0</v>
      </c>
      <c r="C19" s="13">
        <f>abs(pred_GDP_1qa!C19-pred_GDP_1qa!$B19)</f>
        <v>3.07401588</v>
      </c>
      <c r="D19" s="13">
        <f>abs(pred_GDP_1qa!D19-pred_GDP_1qa!$B19)</f>
        <v>2.76146</v>
      </c>
      <c r="E19" s="13">
        <f>abs(pred_GDP_1qa!E19-pred_GDP_1qa!$B19)</f>
        <v>2.71301</v>
      </c>
      <c r="F19" s="13">
        <f>abs(pred_GDP_1qa!F19-pred_GDP_1qa!$B19)</f>
        <v>3.05609211</v>
      </c>
      <c r="G19" s="13"/>
      <c r="H19" s="13"/>
      <c r="I19" s="13">
        <f>abs(pred_GDP_1qa!I19-pred_GDP_1qa!$B19)</f>
        <v>1.687484087</v>
      </c>
      <c r="J19" s="13">
        <f>abs(pred_GDP_1qa!J19-pred_GDP_1qa!$B19)</f>
        <v>2.684548121</v>
      </c>
      <c r="K19" s="13">
        <f>abs(pred_GDP_1qa!K19-pred_GDP_1qa!$B19)</f>
        <v>3.025082</v>
      </c>
      <c r="L19" s="13">
        <f>abs(pred_GDP_1qa!L19-pred_GDP_1qa!$B19)</f>
        <v>1.846790718</v>
      </c>
      <c r="M19" s="13">
        <f>abs(pred_GDP_1qa!M19-pred_GDP_1qa!$B19)</f>
        <v>3.7</v>
      </c>
      <c r="O19" s="13">
        <f>abs(pred_GDP_1qa!O19-pred_GDP_1qa!$B19)</f>
        <v>3.844390981</v>
      </c>
      <c r="P19" s="13">
        <f>abs(pred_GDP_1qa!P19-pred_GDP_1qa!$B19)</f>
        <v>0.1941332817</v>
      </c>
      <c r="Q19" s="13">
        <f>abs(pred_GDP_1qa!Q19-pred_GDP_1qa!$B19)</f>
        <v>3.841118</v>
      </c>
      <c r="R19" s="13">
        <f>abs(pred_GDP_1qa!R19-pred_GDP_1qa!$B19)</f>
        <v>3.669851</v>
      </c>
      <c r="AA19" s="13">
        <f>abs(pred_GDP_1qa!AA19-pred_GDP_1qa!$B19)</f>
        <v>2.029097351</v>
      </c>
      <c r="AB19" s="15" t="str">
        <f t="shared" si="1"/>
        <v>S-XGB</v>
      </c>
      <c r="AC19" s="13">
        <f t="shared" si="2"/>
        <v>0.1941332817</v>
      </c>
    </row>
    <row r="20">
      <c r="A20" s="11">
        <v>202009.0</v>
      </c>
      <c r="B20" s="10">
        <v>2.3</v>
      </c>
      <c r="C20" s="13">
        <f>abs(pred_GDP_1qa!C20-pred_GDP_1qa!$B20)</f>
        <v>2.8154841</v>
      </c>
      <c r="D20" s="13">
        <f>abs(pred_GDP_1qa!D20-pred_GDP_1qa!$B20)</f>
        <v>1.150324</v>
      </c>
      <c r="E20" s="13">
        <f>abs(pred_GDP_1qa!E20-pred_GDP_1qa!$B20)</f>
        <v>1.247367</v>
      </c>
      <c r="F20" s="13">
        <f>abs(pred_GDP_1qa!F20-pred_GDP_1qa!$B20)</f>
        <v>2.860716217</v>
      </c>
      <c r="G20" s="13"/>
      <c r="H20" s="13"/>
      <c r="I20" s="13">
        <f>abs(pred_GDP_1qa!I20-pred_GDP_1qa!$B20)</f>
        <v>1.031844118</v>
      </c>
      <c r="J20" s="13">
        <f>abs(pred_GDP_1qa!J20-pred_GDP_1qa!$B20)</f>
        <v>0.320179003</v>
      </c>
      <c r="K20" s="13">
        <f>abs(pred_GDP_1qa!K20-pred_GDP_1qa!$B20)</f>
        <v>3.73354</v>
      </c>
      <c r="L20" s="13">
        <f>abs(pred_GDP_1qa!L20-pred_GDP_1qa!$B20)</f>
        <v>0.8440509955</v>
      </c>
      <c r="M20" s="13">
        <f>abs(pred_GDP_1qa!M20-pred_GDP_1qa!$B20)</f>
        <v>2.1</v>
      </c>
      <c r="O20" s="13">
        <f>abs(pred_GDP_1qa!O20-pred_GDP_1qa!$B20)</f>
        <v>0.6853271543</v>
      </c>
      <c r="P20" s="13">
        <f>abs(pred_GDP_1qa!P20-pred_GDP_1qa!$B20)</f>
        <v>0.9960197687</v>
      </c>
      <c r="Q20" s="13">
        <f>abs(pred_GDP_1qa!Q20-pred_GDP_1qa!$B20)</f>
        <v>2.131796</v>
      </c>
      <c r="R20" s="13">
        <f>abs(pred_GDP_1qa!R20-pred_GDP_1qa!$B20)</f>
        <v>1.431324</v>
      </c>
      <c r="AA20" s="13">
        <f>abs(pred_GDP_1qa!AA20-pred_GDP_1qa!$B20)</f>
        <v>35.06420481</v>
      </c>
      <c r="AB20" s="15" t="str">
        <f t="shared" si="1"/>
        <v>T-M</v>
      </c>
      <c r="AC20" s="13">
        <f t="shared" si="2"/>
        <v>0.320179003</v>
      </c>
    </row>
    <row r="21">
      <c r="A21" s="11">
        <v>202012.0</v>
      </c>
      <c r="B21" s="10">
        <v>1.3</v>
      </c>
      <c r="C21" s="13">
        <f>abs(pred_GDP_1qa!C21-pred_GDP_1qa!$B21)</f>
        <v>1.5428119</v>
      </c>
      <c r="D21" s="13">
        <f>abs(pred_GDP_1qa!D21-pred_GDP_1qa!$B21)</f>
        <v>0.519897</v>
      </c>
      <c r="E21" s="13">
        <f>abs(pred_GDP_1qa!E21-pred_GDP_1qa!$B21)</f>
        <v>0.299352</v>
      </c>
      <c r="F21" s="13">
        <f>abs(pred_GDP_1qa!F21-pred_GDP_1qa!$B21)</f>
        <v>1.109523431</v>
      </c>
      <c r="G21" s="13"/>
      <c r="H21" s="13"/>
      <c r="I21" s="13">
        <f>abs(pred_GDP_1qa!I21-pred_GDP_1qa!$B21)</f>
        <v>0.1635677342</v>
      </c>
      <c r="J21" s="13">
        <f>abs(pred_GDP_1qa!J21-pred_GDP_1qa!$B21)</f>
        <v>0.6701052374</v>
      </c>
      <c r="K21" s="13">
        <f>abs(pred_GDP_1qa!K21-pred_GDP_1qa!$B21)</f>
        <v>0.324197</v>
      </c>
      <c r="L21" s="13">
        <f>abs(pred_GDP_1qa!L21-pred_GDP_1qa!$B21)</f>
        <v>0.1684191172</v>
      </c>
      <c r="M21" s="13">
        <f>abs(pred_GDP_1qa!M21-pred_GDP_1qa!$B21)</f>
        <v>1.6</v>
      </c>
      <c r="O21" s="13">
        <f>abs(pred_GDP_1qa!O21-pred_GDP_1qa!$B21)</f>
        <v>1.032839819</v>
      </c>
      <c r="P21" s="13">
        <f>abs(pred_GDP_1qa!P21-pred_GDP_1qa!$B21)</f>
        <v>0.223748374</v>
      </c>
      <c r="Q21" s="13">
        <f>abs(pred_GDP_1qa!Q21-pred_GDP_1qa!$B21)</f>
        <v>0.621781</v>
      </c>
      <c r="R21" s="13">
        <f>abs(pred_GDP_1qa!R21-pred_GDP_1qa!$B21)</f>
        <v>0.081186</v>
      </c>
      <c r="AA21" s="13">
        <f>abs(pred_GDP_1qa!AA21-pred_GDP_1qa!$B21)</f>
        <v>0.05684413426</v>
      </c>
      <c r="AB21" s="15" t="str">
        <f t="shared" si="1"/>
        <v>TEXT</v>
      </c>
      <c r="AC21" s="13">
        <f t="shared" si="2"/>
        <v>0.05684413426</v>
      </c>
    </row>
    <row r="22">
      <c r="A22" s="11">
        <v>202103.0</v>
      </c>
      <c r="B22" s="10">
        <v>1.8</v>
      </c>
      <c r="C22" s="13">
        <f>abs(pred_GDP_1qa!C22-pred_GDP_1qa!$B22)</f>
        <v>1.07784045</v>
      </c>
      <c r="D22" s="13">
        <f>abs(pred_GDP_1qa!D22-pred_GDP_1qa!$B22)</f>
        <v>1.573472</v>
      </c>
      <c r="E22" s="13">
        <f>abs(pred_GDP_1qa!E22-pred_GDP_1qa!$B22)</f>
        <v>1.638223</v>
      </c>
      <c r="F22" s="13">
        <f>abs(pred_GDP_1qa!F22-pred_GDP_1qa!$B22)</f>
        <v>0.5968318405</v>
      </c>
      <c r="G22" s="13"/>
      <c r="H22" s="13"/>
      <c r="I22" s="13">
        <f>abs(pred_GDP_1qa!I22-pred_GDP_1qa!$B22)</f>
        <v>0.3190980019</v>
      </c>
      <c r="J22" s="13">
        <f>abs(pred_GDP_1qa!J22-pred_GDP_1qa!$B22)</f>
        <v>0.9519772652</v>
      </c>
      <c r="K22" s="13">
        <f>abs(pred_GDP_1qa!K22-pred_GDP_1qa!$B22)</f>
        <v>0.807187</v>
      </c>
      <c r="L22" s="13">
        <f>abs(pred_GDP_1qa!L22-pred_GDP_1qa!$B22)</f>
        <v>1.190464345</v>
      </c>
      <c r="M22" s="13">
        <f>abs(pred_GDP_1qa!M22-pred_GDP_1qa!$B22)</f>
        <v>0.6</v>
      </c>
      <c r="O22" s="13">
        <f>abs(pred_GDP_1qa!O22-pred_GDP_1qa!$B22)</f>
        <v>0.7692769189</v>
      </c>
      <c r="P22" s="13">
        <f>abs(pred_GDP_1qa!P22-pred_GDP_1qa!$B22)</f>
        <v>0.9157304645</v>
      </c>
      <c r="Q22" s="13">
        <f>abs(pred_GDP_1qa!Q22-pred_GDP_1qa!$B22)</f>
        <v>1.058925</v>
      </c>
      <c r="R22" s="13">
        <f>abs(pred_GDP_1qa!R22-pred_GDP_1qa!$B22)</f>
        <v>0.66593</v>
      </c>
      <c r="AA22" s="13">
        <f>abs(pred_GDP_1qa!AA22-pred_GDP_1qa!$B22)</f>
        <v>0.7904652318</v>
      </c>
      <c r="AB22" s="15" t="str">
        <f t="shared" si="1"/>
        <v>TFM</v>
      </c>
      <c r="AC22" s="13">
        <f t="shared" si="2"/>
        <v>0.3190980019</v>
      </c>
    </row>
    <row r="23">
      <c r="A23" s="11">
        <v>202106.0</v>
      </c>
      <c r="B23" s="10">
        <v>0.9</v>
      </c>
      <c r="C23" s="13">
        <f>abs(pred_GDP_1qa!C23-pred_GDP_1qa!$B23)</f>
        <v>0.00425609</v>
      </c>
      <c r="D23" s="13">
        <f>abs(pred_GDP_1qa!D23-pred_GDP_1qa!$B23)</f>
        <v>0.463896</v>
      </c>
      <c r="E23" s="13">
        <f>abs(pred_GDP_1qa!E23-pred_GDP_1qa!$B23)</f>
        <v>0.501066</v>
      </c>
      <c r="F23" s="13">
        <f>abs(pred_GDP_1qa!F23-pred_GDP_1qa!$B23)</f>
        <v>0.005239254407</v>
      </c>
      <c r="G23" s="13"/>
      <c r="H23" s="13"/>
      <c r="I23" s="13">
        <f>abs(pred_GDP_1qa!I23-pred_GDP_1qa!$B23)</f>
        <v>0.6394984938</v>
      </c>
      <c r="J23" s="13">
        <f>abs(pred_GDP_1qa!J23-pred_GDP_1qa!$B23)</f>
        <v>0.1838739333</v>
      </c>
      <c r="K23" s="13">
        <f>abs(pred_GDP_1qa!K23-pred_GDP_1qa!$B23)</f>
        <v>0.511895</v>
      </c>
      <c r="L23" s="13">
        <f>abs(pred_GDP_1qa!L23-pred_GDP_1qa!$B23)</f>
        <v>1.205899213</v>
      </c>
      <c r="M23" s="13">
        <f>abs(pred_GDP_1qa!M23-pred_GDP_1qa!$B23)</f>
        <v>0</v>
      </c>
      <c r="O23" s="13">
        <f>abs(pred_GDP_1qa!O23-pred_GDP_1qa!$B23)</f>
        <v>0.6750018178</v>
      </c>
      <c r="P23" s="13">
        <f>abs(pred_GDP_1qa!P23-pred_GDP_1qa!$B23)</f>
        <v>0.3791813612</v>
      </c>
      <c r="Q23" s="13">
        <f>abs(pred_GDP_1qa!Q23-pred_GDP_1qa!$B23)</f>
        <v>0.088939</v>
      </c>
      <c r="R23" s="13">
        <f>abs(pred_GDP_1qa!R23-pred_GDP_1qa!$B23)</f>
        <v>0.144378</v>
      </c>
      <c r="AA23" s="13">
        <f>abs(pred_GDP_1qa!AA23-pred_GDP_1qa!$B23)</f>
        <v>1.207096127</v>
      </c>
      <c r="AB23" s="15" t="str">
        <f t="shared" si="1"/>
        <v>CRNN</v>
      </c>
      <c r="AC23" s="13">
        <f t="shared" si="2"/>
        <v>0</v>
      </c>
    </row>
    <row r="24">
      <c r="A24" s="11">
        <v>202109.0</v>
      </c>
      <c r="B24" s="10">
        <v>0.1</v>
      </c>
      <c r="C24" s="13">
        <f>abs(pred_GDP_1qa!C24-pred_GDP_1qa!$B24)</f>
        <v>1.41028272</v>
      </c>
      <c r="D24" s="13">
        <f>abs(pred_GDP_1qa!D24-pred_GDP_1qa!$B24)</f>
        <v>0.3277</v>
      </c>
      <c r="E24" s="13">
        <f>abs(pred_GDP_1qa!E24-pred_GDP_1qa!$B24)</f>
        <v>0.273122</v>
      </c>
      <c r="F24" s="13">
        <f>abs(pred_GDP_1qa!F24-pred_GDP_1qa!$B24)</f>
        <v>0.8466536708</v>
      </c>
      <c r="G24" s="13"/>
      <c r="H24" s="13"/>
      <c r="I24" s="13">
        <f>abs(pred_GDP_1qa!I24-pred_GDP_1qa!$B24)</f>
        <v>1.231516466</v>
      </c>
      <c r="J24" s="13">
        <f>abs(pred_GDP_1qa!J24-pred_GDP_1qa!$B24)</f>
        <v>0.6022875415</v>
      </c>
      <c r="K24" s="13">
        <f>abs(pred_GDP_1qa!K24-pred_GDP_1qa!$B24)</f>
        <v>0.249149</v>
      </c>
      <c r="L24" s="13">
        <f>abs(pred_GDP_1qa!L24-pred_GDP_1qa!$B24)</f>
        <v>0.04953401785</v>
      </c>
      <c r="M24" s="13">
        <f>abs(pred_GDP_1qa!M24-pred_GDP_1qa!$B24)</f>
        <v>0.8</v>
      </c>
      <c r="O24" s="13">
        <f>abs(pred_GDP_1qa!O24-pred_GDP_1qa!$B24)</f>
        <v>0.4031223002</v>
      </c>
      <c r="P24" s="13">
        <f>abs(pred_GDP_1qa!P24-pred_GDP_1qa!$B24)</f>
        <v>0.7240099549</v>
      </c>
      <c r="Q24" s="13">
        <f>abs(pred_GDP_1qa!Q24-pred_GDP_1qa!$B24)</f>
        <v>0.5025</v>
      </c>
      <c r="R24" s="13">
        <f>abs(pred_GDP_1qa!R24-pred_GDP_1qa!$B24)</f>
        <v>0.714563</v>
      </c>
      <c r="AA24" s="13">
        <f>abs(pred_GDP_1qa!AA24-pred_GDP_1qa!$B24)</f>
        <v>0.654072567</v>
      </c>
      <c r="AB24" s="15" t="str">
        <f t="shared" si="1"/>
        <v>SVR-KNN</v>
      </c>
      <c r="AC24" s="13">
        <f t="shared" si="2"/>
        <v>0.04953401785</v>
      </c>
    </row>
    <row r="25">
      <c r="A25" s="11">
        <v>202112.0</v>
      </c>
      <c r="B25" s="10">
        <v>1.4</v>
      </c>
      <c r="C25" s="13">
        <f>abs(pred_GDP_1qa!C25-pred_GDP_1qa!$B25)</f>
        <v>0.13076842</v>
      </c>
      <c r="D25" s="13">
        <f>abs(pred_GDP_1qa!D25-pred_GDP_1qa!$B25)</f>
        <v>1.120353</v>
      </c>
      <c r="E25" s="13">
        <f>abs(pred_GDP_1qa!E25-pred_GDP_1qa!$B25)</f>
        <v>1.172698</v>
      </c>
      <c r="F25" s="13">
        <f>abs(pred_GDP_1qa!F25-pred_GDP_1qa!$B25)</f>
        <v>0.9288003141</v>
      </c>
      <c r="G25" s="13"/>
      <c r="H25" s="13"/>
      <c r="I25" s="13">
        <f>abs(pred_GDP_1qa!I25-pred_GDP_1qa!$B25)</f>
        <v>1.081067729</v>
      </c>
      <c r="J25" s="13">
        <f>abs(pred_GDP_1qa!J25-pred_GDP_1qa!$B25)</f>
        <v>0.8016750529</v>
      </c>
      <c r="K25" s="13">
        <f>abs(pred_GDP_1qa!K25-pred_GDP_1qa!$B25)</f>
        <v>1.293602</v>
      </c>
      <c r="L25" s="13">
        <f>abs(pred_GDP_1qa!L25-pred_GDP_1qa!$B25)</f>
        <v>1.090063211</v>
      </c>
      <c r="M25" s="13">
        <f>abs(pred_GDP_1qa!M25-pred_GDP_1qa!$B25)</f>
        <v>0.9</v>
      </c>
      <c r="O25" s="13">
        <f>abs(pred_GDP_1qa!O25-pred_GDP_1qa!$B25)</f>
        <v>0.7026156798</v>
      </c>
      <c r="P25" s="13">
        <f>abs(pred_GDP_1qa!P25-pred_GDP_1qa!$B25)</f>
        <v>0.704095149</v>
      </c>
      <c r="Q25" s="13">
        <f>abs(pred_GDP_1qa!Q25-pred_GDP_1qa!$B25)</f>
        <v>0.654238</v>
      </c>
      <c r="R25" s="13">
        <f>abs(pred_GDP_1qa!R25-pred_GDP_1qa!$B25)</f>
        <v>0.414458</v>
      </c>
      <c r="AA25" s="13">
        <f>abs(pred_GDP_1qa!AA25-pred_GDP_1qa!$B25)</f>
        <v>0.3492033295</v>
      </c>
      <c r="AB25" s="15" t="str">
        <f t="shared" si="1"/>
        <v>DFM</v>
      </c>
      <c r="AC25" s="13">
        <f t="shared" si="2"/>
        <v>0.13076842</v>
      </c>
    </row>
    <row r="26">
      <c r="A26" s="11">
        <v>202203.0</v>
      </c>
      <c r="B26" s="10">
        <v>0.7</v>
      </c>
      <c r="C26" s="13">
        <f>abs(pred_GDP_1qa!C26-pred_GDP_1qa!$B26)</f>
        <v>0.86852992</v>
      </c>
      <c r="D26" s="13">
        <f>abs(pred_GDP_1qa!D26-pred_GDP_1qa!$B26)</f>
        <v>0.041727</v>
      </c>
      <c r="E26" s="13">
        <f>abs(pred_GDP_1qa!E26-pred_GDP_1qa!$B26)</f>
        <v>0.068603</v>
      </c>
      <c r="F26" s="13">
        <f>abs(pred_GDP_1qa!F26-pred_GDP_1qa!$B26)</f>
        <v>0.2327761111</v>
      </c>
      <c r="G26" s="13"/>
      <c r="H26" s="13"/>
      <c r="I26" s="13">
        <f>abs(pred_GDP_1qa!I26-pred_GDP_1qa!$B26)</f>
        <v>0.2011787549</v>
      </c>
      <c r="J26" s="13">
        <f>abs(pred_GDP_1qa!J26-pred_GDP_1qa!$B26)</f>
        <v>0.0181622577</v>
      </c>
      <c r="K26" s="13">
        <f>abs(pred_GDP_1qa!K26-pred_GDP_1qa!$B26)</f>
        <v>0.127067</v>
      </c>
      <c r="L26" s="13">
        <f>abs(pred_GDP_1qa!L26-pred_GDP_1qa!$B26)</f>
        <v>0.4710896353</v>
      </c>
      <c r="M26" s="13">
        <f>abs(pred_GDP_1qa!M26-pred_GDP_1qa!$B26)</f>
        <v>0.2</v>
      </c>
      <c r="O26" s="13">
        <f>abs(pred_GDP_1qa!O26-pred_GDP_1qa!$B26)</f>
        <v>0.4265614348</v>
      </c>
      <c r="P26" s="13">
        <f>abs(pred_GDP_1qa!P26-pred_GDP_1qa!$B26)</f>
        <v>0.2396571517</v>
      </c>
      <c r="Q26" s="13">
        <f>abs(pred_GDP_1qa!Q26-pred_GDP_1qa!$B26)</f>
        <v>0.135546</v>
      </c>
      <c r="R26" s="13">
        <f>abs(pred_GDP_1qa!R26-pred_GDP_1qa!$B26)</f>
        <v>0.180653</v>
      </c>
      <c r="AA26" s="13">
        <f>abs(pred_GDP_1qa!AA26-pred_GDP_1qa!$B26)</f>
        <v>0.6856083811</v>
      </c>
      <c r="AB26" s="15" t="str">
        <f t="shared" si="1"/>
        <v>T-M</v>
      </c>
      <c r="AC26" s="13">
        <f t="shared" si="2"/>
        <v>0.0181622577</v>
      </c>
    </row>
    <row r="27">
      <c r="A27" s="11">
        <v>202206.0</v>
      </c>
      <c r="B27" s="10">
        <v>0.8</v>
      </c>
      <c r="C27" s="13">
        <f>abs(pred_GDP_1qa!C27-pred_GDP_1qa!$B27)</f>
        <v>0.13684512</v>
      </c>
      <c r="D27" s="13">
        <f>abs(pred_GDP_1qa!D27-pred_GDP_1qa!$B27)</f>
        <v>0.703026</v>
      </c>
      <c r="E27" s="13">
        <f>abs(pred_GDP_1qa!E27-pred_GDP_1qa!$B27)</f>
        <v>0.768651</v>
      </c>
      <c r="F27" s="13">
        <f>abs(pred_GDP_1qa!F27-pred_GDP_1qa!$B27)</f>
        <v>0.1833618986</v>
      </c>
      <c r="G27" s="13"/>
      <c r="H27" s="13"/>
      <c r="I27" s="13">
        <f>abs(pred_GDP_1qa!I27-pred_GDP_1qa!$B27)</f>
        <v>0.06334155163</v>
      </c>
      <c r="J27" s="13">
        <f>abs(pred_GDP_1qa!J27-pred_GDP_1qa!$B27)</f>
        <v>0.02345225413</v>
      </c>
      <c r="K27" s="13">
        <f>abs(pred_GDP_1qa!K27-pred_GDP_1qa!$B27)</f>
        <v>0.305537</v>
      </c>
      <c r="L27" s="13">
        <f>abs(pred_GDP_1qa!L27-pred_GDP_1qa!$B27)</f>
        <v>0.1715470197</v>
      </c>
      <c r="M27" s="13">
        <f>abs(pred_GDP_1qa!M27-pred_GDP_1qa!$B27)</f>
        <v>0.1</v>
      </c>
      <c r="O27" s="13">
        <f>abs(pred_GDP_1qa!O27-pred_GDP_1qa!$B27)</f>
        <v>0.1443435043</v>
      </c>
      <c r="P27" s="13">
        <f>abs(pred_GDP_1qa!P27-pred_GDP_1qa!$B27)</f>
        <v>0.02300893068</v>
      </c>
      <c r="Q27" s="13">
        <f>abs(pred_GDP_1qa!Q27-pred_GDP_1qa!$B27)</f>
        <v>0.621674</v>
      </c>
      <c r="R27" s="13">
        <f>abs(pred_GDP_1qa!R27-pred_GDP_1qa!$B27)</f>
        <v>0.115907</v>
      </c>
      <c r="AA27" s="13">
        <f>abs(pred_GDP_1qa!AA27-pred_GDP_1qa!$B27)</f>
        <v>0.6651134765</v>
      </c>
      <c r="AB27" s="15" t="str">
        <f t="shared" si="1"/>
        <v>S-XGB</v>
      </c>
      <c r="AC27" s="13">
        <f t="shared" si="2"/>
        <v>0.02300893068</v>
      </c>
    </row>
    <row r="28">
      <c r="A28" s="11">
        <v>202209.0</v>
      </c>
      <c r="B28" s="10">
        <v>0.2</v>
      </c>
      <c r="C28" s="13">
        <f>abs(pred_GDP_1qa!C28-pred_GDP_1qa!$B28)</f>
        <v>0.90883911</v>
      </c>
      <c r="D28" s="13">
        <f>abs(pred_GDP_1qa!D28-pred_GDP_1qa!$B28)</f>
        <v>0.157524</v>
      </c>
      <c r="E28" s="13">
        <f>abs(pred_GDP_1qa!E28-pred_GDP_1qa!$B28)</f>
        <v>0.22288</v>
      </c>
      <c r="F28" s="13">
        <f>abs(pred_GDP_1qa!F28-pred_GDP_1qa!$B28)</f>
        <v>0.01540047076</v>
      </c>
      <c r="G28" s="13"/>
      <c r="H28" s="13"/>
      <c r="I28" s="13">
        <f>abs(pred_GDP_1qa!I28-pred_GDP_1qa!$B28)</f>
        <v>0.1209338488</v>
      </c>
      <c r="J28" s="13">
        <f>abs(pred_GDP_1qa!J28-pred_GDP_1qa!$B28)</f>
        <v>0.2023422134</v>
      </c>
      <c r="K28" s="13">
        <f>abs(pred_GDP_1qa!K28-pred_GDP_1qa!$B28)</f>
        <v>0.073641</v>
      </c>
      <c r="L28" s="13">
        <f>abs(pred_GDP_1qa!L28-pred_GDP_1qa!$B28)</f>
        <v>0.5941381312</v>
      </c>
      <c r="M28" s="13">
        <f>abs(pred_GDP_1qa!M28-pred_GDP_1qa!$B28)</f>
        <v>0.5</v>
      </c>
      <c r="O28" s="13">
        <f>abs(pred_GDP_1qa!O28-pred_GDP_1qa!$B28)</f>
        <v>0.7307344639</v>
      </c>
      <c r="P28" s="13">
        <f>abs(pred_GDP_1qa!P28-pred_GDP_1qa!$B28)</f>
        <v>0.2654483795</v>
      </c>
      <c r="Q28" s="13">
        <f>abs(pred_GDP_1qa!Q28-pred_GDP_1qa!$B28)</f>
        <v>0.175722</v>
      </c>
      <c r="R28" s="13">
        <f>abs(pred_GDP_1qa!R28-pred_GDP_1qa!$B28)</f>
        <v>0.142689</v>
      </c>
      <c r="AA28" s="13">
        <f>abs(pred_GDP_1qa!AA28-pred_GDP_1qa!$B28)</f>
        <v>0.2115048139</v>
      </c>
      <c r="AB28" s="15" t="str">
        <f t="shared" si="1"/>
        <v>BEM3</v>
      </c>
      <c r="AC28" s="13">
        <f t="shared" si="2"/>
        <v>0.01540047076</v>
      </c>
    </row>
    <row r="29">
      <c r="A29" s="11">
        <v>202212.0</v>
      </c>
      <c r="B29" s="10">
        <v>-0.3</v>
      </c>
      <c r="C29" s="13">
        <f>(pred_GDP_1qa!C29-pred_GDP_1qa!$B29)</f>
        <v>1.04323709</v>
      </c>
      <c r="D29" s="13">
        <f>abs(pred_GDP_1qa!D29-pred_GDP_1qa!$B29)</f>
        <v>0.621686</v>
      </c>
      <c r="E29" s="13">
        <f>abs(pred_GDP_1qa!E29-pred_GDP_1qa!$B29)</f>
        <v>0.560699</v>
      </c>
      <c r="F29" s="13">
        <f>abs(pred_GDP_1qa!F29-pred_GDP_1qa!$B29)</f>
        <v>0.5997556789</v>
      </c>
      <c r="G29" s="13"/>
      <c r="H29" s="13"/>
      <c r="I29" s="13">
        <f>abs(pred_GDP_1qa!I29-pred_GDP_1qa!$B29)</f>
        <v>0.5432655936</v>
      </c>
      <c r="J29" s="13">
        <f>abs(pred_GDP_1qa!J29-pred_GDP_1qa!$B29)</f>
        <v>0.7557275231</v>
      </c>
      <c r="K29" s="13">
        <f>abs(pred_GDP_1qa!K29-pred_GDP_1qa!$B29)</f>
        <v>0.529872</v>
      </c>
      <c r="L29" s="13">
        <f>abs(pred_GDP_1qa!L29-pred_GDP_1qa!$B29)</f>
        <v>0.9763669264</v>
      </c>
      <c r="M29" s="13">
        <f>abs(pred_GDP_1qa!M29-pred_GDP_1qa!$B29)</f>
        <v>1</v>
      </c>
      <c r="O29" s="13">
        <f>abs(pred_GDP_1qa!O29-pred_GDP_1qa!$B29)</f>
        <v>0.9724416739</v>
      </c>
      <c r="P29" s="13">
        <f>abs(pred_GDP_1qa!P29-pred_GDP_1qa!$B29)</f>
        <v>0.8282914639</v>
      </c>
      <c r="Q29" s="13">
        <f>abs(pred_GDP_1qa!Q29-pred_GDP_1qa!$B29)</f>
        <v>0.791229</v>
      </c>
      <c r="R29" s="13">
        <f>abs(pred_GDP_1qa!R29-pred_GDP_1qa!$B29)</f>
        <v>0.965859</v>
      </c>
      <c r="AA29" s="13">
        <f>abs(pred_GDP_1qa!AA29-pred_GDP_1qa!$B29)</f>
        <v>0.05749542235</v>
      </c>
      <c r="AB29" s="15" t="str">
        <f t="shared" si="1"/>
        <v>TEXT</v>
      </c>
      <c r="AC29" s="13">
        <f t="shared" si="2"/>
        <v>0.05749542235</v>
      </c>
    </row>
    <row r="30">
      <c r="A30" s="11">
        <v>202303.0</v>
      </c>
      <c r="B30" s="10">
        <v>0.3</v>
      </c>
      <c r="C30" s="13">
        <f>abs(pred_GDP_1qa!C30-pred_GDP_1qa!$B30)</f>
        <v>0.32314627</v>
      </c>
      <c r="D30" s="13">
        <f>abs(pred_GDP_1qa!D30-pred_GDP_1qa!$B30)</f>
        <v>0.099041</v>
      </c>
      <c r="E30" s="13">
        <f>abs(pred_GDP_1qa!E30-pred_GDP_1qa!$B30)</f>
        <v>0.024923</v>
      </c>
      <c r="F30" s="13">
        <f>abs(pred_GDP_1qa!F30-pred_GDP_1qa!$B30)</f>
        <v>0.584810353</v>
      </c>
      <c r="G30" s="13"/>
      <c r="H30" s="13"/>
      <c r="I30" s="13">
        <f>abs(pred_GDP_1qa!I30-pred_GDP_1qa!$B30)</f>
        <v>0.2239231167</v>
      </c>
      <c r="J30" s="13">
        <f>abs(pred_GDP_1qa!J30-pred_GDP_1qa!$B30)</f>
        <v>0.3326951781</v>
      </c>
      <c r="K30" s="13">
        <f>abs(pred_GDP_1qa!K30-pred_GDP_1qa!$B30)</f>
        <v>0.47197</v>
      </c>
      <c r="L30" s="13">
        <f>abs(pred_GDP_1qa!L30-pred_GDP_1qa!$B30)</f>
        <v>0.5937415531</v>
      </c>
      <c r="M30" s="13">
        <f>abs(pred_GDP_1qa!M30-pred_GDP_1qa!$B30)</f>
        <v>0.2</v>
      </c>
      <c r="O30" s="13">
        <f>abs(pred_GDP_1qa!O30-pred_GDP_1qa!$B30)</f>
        <v>0.4602714528</v>
      </c>
      <c r="P30" s="13">
        <f>abs(pred_GDP_1qa!P30-pred_GDP_1qa!$B30)</f>
        <v>0.09814344049</v>
      </c>
      <c r="Q30" s="13">
        <f>abs(pred_GDP_1qa!Q30-pred_GDP_1qa!$B30)</f>
        <v>0.087704</v>
      </c>
      <c r="R30" s="13">
        <f>abs(pred_GDP_1qa!R30-pred_GDP_1qa!$B30)</f>
        <v>0.220642</v>
      </c>
      <c r="AA30" s="13">
        <f>abs(pred_GDP_1qa!AA30-pred_GDP_1qa!$B30)</f>
        <v>0.2317176023</v>
      </c>
    </row>
    <row r="32">
      <c r="B32" s="2" t="s">
        <v>118</v>
      </c>
      <c r="C32" s="13">
        <f t="shared" ref="C32:F32" si="3">AVERAGE(C2:C30)</f>
        <v>0.7505711261</v>
      </c>
      <c r="D32" s="13">
        <f t="shared" si="3"/>
        <v>0.5946433214</v>
      </c>
      <c r="E32" s="13">
        <f t="shared" si="3"/>
        <v>0.6040787857</v>
      </c>
      <c r="F32" s="13">
        <f t="shared" si="3"/>
        <v>0.6444793616</v>
      </c>
      <c r="I32" s="13">
        <f t="shared" ref="I32:M32" si="4">AVERAGE(I2:I30)</f>
        <v>0.5738444498</v>
      </c>
      <c r="J32" s="13">
        <f t="shared" si="4"/>
        <v>0.5434084161</v>
      </c>
      <c r="K32" s="13">
        <f t="shared" si="4"/>
        <v>0.7967978571</v>
      </c>
      <c r="L32" s="13">
        <f t="shared" si="4"/>
        <v>0.6351086875</v>
      </c>
      <c r="M32" s="15">
        <f t="shared" si="4"/>
        <v>0.6714285714</v>
      </c>
      <c r="O32" s="13">
        <f t="shared" ref="O32:R32" si="5">AVERAGE(O2:O30)</f>
        <v>0.6620630191</v>
      </c>
      <c r="P32" s="13">
        <f t="shared" si="5"/>
        <v>0.5558004347</v>
      </c>
      <c r="Q32" s="13">
        <f t="shared" si="5"/>
        <v>0.66802375</v>
      </c>
      <c r="R32" s="13">
        <f t="shared" si="5"/>
        <v>0.6144323929</v>
      </c>
      <c r="AA32" s="13">
        <f>AVERAGE(AA2:AA30)</f>
        <v>1.84437477</v>
      </c>
      <c r="AC32" s="13">
        <f>AVERAGE(AC2:AC30)</f>
        <v>0.1319651882</v>
      </c>
    </row>
    <row r="33">
      <c r="B33" s="2" t="s">
        <v>119</v>
      </c>
      <c r="C33" s="13">
        <f t="shared" ref="C33:F33" si="6">(sumsq(C2:C30)/count(C2:C30))^(0.5)</f>
        <v>1.082886426</v>
      </c>
      <c r="D33" s="13">
        <f t="shared" si="6"/>
        <v>0.8596407309</v>
      </c>
      <c r="E33" s="13">
        <f t="shared" si="6"/>
        <v>0.8647847796</v>
      </c>
      <c r="F33" s="13">
        <f t="shared" si="6"/>
        <v>0.9938526491</v>
      </c>
      <c r="G33" s="13"/>
      <c r="H33" s="13"/>
      <c r="I33" s="13">
        <f t="shared" ref="I33:M33" si="7">(sumsq(I2:I30)/count(I2:I30))^(0.5)</f>
        <v>0.7630189716</v>
      </c>
      <c r="J33" s="13">
        <f t="shared" si="7"/>
        <v>0.8281950396</v>
      </c>
      <c r="K33" s="13">
        <f t="shared" si="7"/>
        <v>1.155781429</v>
      </c>
      <c r="L33" s="13">
        <f t="shared" si="7"/>
        <v>0.7968393599</v>
      </c>
      <c r="M33" s="13">
        <f t="shared" si="7"/>
        <v>1.03819899</v>
      </c>
      <c r="O33" s="13">
        <f t="shared" ref="O33:R33" si="8">(sumsq(O2:O30)/count(O2:O30))^(0.5)</f>
        <v>0.9845729148</v>
      </c>
      <c r="P33" s="13">
        <f t="shared" si="8"/>
        <v>0.7279266051</v>
      </c>
      <c r="Q33" s="13">
        <f t="shared" si="8"/>
        <v>1.036197402</v>
      </c>
      <c r="R33" s="13">
        <f t="shared" si="8"/>
        <v>0.966246527</v>
      </c>
      <c r="AA33" s="13">
        <f>(sumsq(AA2:AA30)/count(AA2:AA30))^(0.5)</f>
        <v>6.677246278</v>
      </c>
      <c r="AC33" s="13">
        <f>(sumsq(AC2:AC30)/count(AC2:AC30))^(0.5)</f>
        <v>0.2848529772</v>
      </c>
    </row>
    <row r="34">
      <c r="B34" s="2" t="s">
        <v>120</v>
      </c>
      <c r="C34" s="13">
        <f t="shared" ref="C34:F34" si="9">MAX(C2:C30)</f>
        <v>3.07401588</v>
      </c>
      <c r="D34" s="13">
        <f t="shared" si="9"/>
        <v>2.76146</v>
      </c>
      <c r="E34" s="13">
        <f t="shared" si="9"/>
        <v>2.71301</v>
      </c>
      <c r="F34" s="13">
        <f t="shared" si="9"/>
        <v>3.05609211</v>
      </c>
      <c r="I34" s="13">
        <f t="shared" ref="I34:M34" si="10">MAX(I2:I30)</f>
        <v>2.036966171</v>
      </c>
      <c r="J34" s="13">
        <f t="shared" si="10"/>
        <v>2.684548121</v>
      </c>
      <c r="K34" s="13">
        <f t="shared" si="10"/>
        <v>3.73354</v>
      </c>
      <c r="L34" s="13">
        <f t="shared" si="10"/>
        <v>1.846790718</v>
      </c>
      <c r="M34" s="15">
        <f t="shared" si="10"/>
        <v>3.7</v>
      </c>
      <c r="O34" s="13">
        <f t="shared" ref="O34:R34" si="11">MAX(O2:O30)</f>
        <v>3.844390981</v>
      </c>
      <c r="P34" s="13">
        <f t="shared" si="11"/>
        <v>2.222684371</v>
      </c>
      <c r="Q34" s="13">
        <f t="shared" si="11"/>
        <v>3.841118</v>
      </c>
      <c r="R34" s="13">
        <f t="shared" si="11"/>
        <v>3.669851</v>
      </c>
      <c r="AA34" s="13">
        <f>MAX(AA2:AA30)</f>
        <v>35.06420481</v>
      </c>
      <c r="AC34" s="13">
        <f>MAX(AC2:AC30)</f>
        <v>1.329684</v>
      </c>
    </row>
    <row r="36">
      <c r="B36" s="2" t="s">
        <v>118</v>
      </c>
      <c r="C36" s="13">
        <f t="shared" ref="C36:F36" si="12">AVERAGE(C7:C30)</f>
        <v>0.8268386138</v>
      </c>
      <c r="D36" s="13">
        <f t="shared" si="12"/>
        <v>0.6607667917</v>
      </c>
      <c r="E36" s="13">
        <f t="shared" si="12"/>
        <v>0.66496</v>
      </c>
      <c r="F36" s="13">
        <f t="shared" si="12"/>
        <v>0.6963305608</v>
      </c>
      <c r="I36" s="13">
        <f t="shared" ref="I36:M36" si="13">AVERAGE(I7:I30)</f>
        <v>0.621313716</v>
      </c>
      <c r="J36" s="13">
        <f t="shared" si="13"/>
        <v>0.5977951745</v>
      </c>
      <c r="K36" s="13">
        <f t="shared" si="13"/>
        <v>0.8253409583</v>
      </c>
      <c r="L36" s="13">
        <f t="shared" si="13"/>
        <v>0.684532345</v>
      </c>
      <c r="M36" s="13">
        <f t="shared" si="13"/>
        <v>0.7375</v>
      </c>
      <c r="O36" s="13">
        <f t="shared" ref="O36:R36" si="14">AVERAGE(O7:O30)</f>
        <v>0.7387383733</v>
      </c>
      <c r="P36" s="13">
        <f t="shared" si="14"/>
        <v>0.5767904105</v>
      </c>
      <c r="Q36" s="13">
        <f t="shared" si="14"/>
        <v>0.7425416667</v>
      </c>
      <c r="R36" s="13">
        <f t="shared" si="14"/>
        <v>0.6648664167</v>
      </c>
    </row>
    <row r="37">
      <c r="B37" s="2" t="s">
        <v>119</v>
      </c>
      <c r="C37" s="13">
        <f t="shared" ref="C37:F37" si="15">(sumsq(C7:C30)/count(C7:C30))^(0.5)</f>
        <v>1.158587633</v>
      </c>
      <c r="D37" s="13">
        <f t="shared" si="15"/>
        <v>0.9218269033</v>
      </c>
      <c r="E37" s="13">
        <f t="shared" si="15"/>
        <v>0.9249692694</v>
      </c>
      <c r="F37" s="13">
        <f t="shared" si="15"/>
        <v>1.059048756</v>
      </c>
      <c r="G37" s="13"/>
      <c r="H37" s="13"/>
      <c r="I37" s="13">
        <f t="shared" ref="I37:M37" si="16">(sumsq(I7:I30)/count(I7:I30))^(0.5)</f>
        <v>0.8100836456</v>
      </c>
      <c r="J37" s="13">
        <f t="shared" si="16"/>
        <v>0.8875970956</v>
      </c>
      <c r="K37" s="13">
        <f t="shared" si="16"/>
        <v>1.206772095</v>
      </c>
      <c r="L37" s="13">
        <f t="shared" si="16"/>
        <v>0.8410127481</v>
      </c>
      <c r="M37" s="13">
        <f t="shared" si="16"/>
        <v>1.114487924</v>
      </c>
      <c r="N37" s="13"/>
      <c r="O37" s="13">
        <f t="shared" ref="O37:R37" si="17">(sumsq(O7:O30)/count(O7:O30))^(0.5)</f>
        <v>1.058030881</v>
      </c>
      <c r="P37" s="13">
        <f t="shared" si="17"/>
        <v>0.7585642643</v>
      </c>
      <c r="Q37" s="13">
        <f t="shared" si="17"/>
        <v>1.111997505</v>
      </c>
      <c r="R37" s="13">
        <f t="shared" si="17"/>
        <v>1.033232363</v>
      </c>
    </row>
    <row r="38">
      <c r="B38" s="2" t="s">
        <v>120</v>
      </c>
      <c r="C38" s="13">
        <f t="shared" ref="C38:F38" si="18">MAX(C7:C30)</f>
        <v>3.07401588</v>
      </c>
      <c r="D38" s="13">
        <f t="shared" si="18"/>
        <v>2.76146</v>
      </c>
      <c r="E38" s="13">
        <f t="shared" si="18"/>
        <v>2.71301</v>
      </c>
      <c r="F38" s="13">
        <f t="shared" si="18"/>
        <v>3.05609211</v>
      </c>
      <c r="I38" s="13">
        <f t="shared" ref="I38:M38" si="19">MAX(I7:I30)</f>
        <v>2.036966171</v>
      </c>
      <c r="J38" s="13">
        <f t="shared" si="19"/>
        <v>2.684548121</v>
      </c>
      <c r="K38" s="13">
        <f t="shared" si="19"/>
        <v>3.73354</v>
      </c>
      <c r="L38" s="13">
        <f t="shared" si="19"/>
        <v>1.846790718</v>
      </c>
      <c r="M38" s="13">
        <f t="shared" si="19"/>
        <v>3.7</v>
      </c>
      <c r="O38" s="13">
        <f t="shared" ref="O38:R38" si="20">MAX(O7:O30)</f>
        <v>3.844390981</v>
      </c>
      <c r="P38" s="13">
        <f t="shared" si="20"/>
        <v>2.222684371</v>
      </c>
      <c r="Q38" s="13">
        <f t="shared" si="20"/>
        <v>3.841118</v>
      </c>
      <c r="R38" s="13">
        <f t="shared" si="20"/>
        <v>3.669851</v>
      </c>
    </row>
    <row r="40">
      <c r="B40" s="2" t="s">
        <v>118</v>
      </c>
      <c r="C40" s="13">
        <f t="shared" ref="C40:F40" si="21">AVERAGE(C7:C17)</f>
        <v>0.4307459173</v>
      </c>
      <c r="D40" s="13">
        <f t="shared" si="21"/>
        <v>0.4062944545</v>
      </c>
      <c r="E40" s="13">
        <f t="shared" si="21"/>
        <v>0.4225409091</v>
      </c>
      <c r="F40" s="13">
        <f t="shared" si="21"/>
        <v>0.3459375252</v>
      </c>
      <c r="I40" s="13">
        <f t="shared" ref="I40:M40" si="22">AVERAGE(I7:I17)</f>
        <v>0.5061675924</v>
      </c>
      <c r="J40" s="13">
        <f t="shared" si="22"/>
        <v>0.4124465376</v>
      </c>
      <c r="K40" s="13">
        <f t="shared" si="22"/>
        <v>0.6387054545</v>
      </c>
      <c r="L40" s="13">
        <f t="shared" si="22"/>
        <v>0.5136439381</v>
      </c>
      <c r="M40" s="13">
        <f t="shared" si="22"/>
        <v>0.3818181818</v>
      </c>
      <c r="O40" s="13">
        <f t="shared" ref="O40:R40" si="23">AVERAGE(O7:O17)</f>
        <v>0.450610591</v>
      </c>
      <c r="P40" s="13">
        <f t="shared" si="23"/>
        <v>0.5480743419</v>
      </c>
      <c r="Q40" s="13">
        <f t="shared" si="23"/>
        <v>0.4909619091</v>
      </c>
      <c r="R40" s="13">
        <f t="shared" si="23"/>
        <v>0.4702286364</v>
      </c>
    </row>
    <row r="41">
      <c r="B41" s="2" t="s">
        <v>119</v>
      </c>
      <c r="C41" s="13">
        <f t="shared" ref="C41:F41" si="24">(sumsq(C7:C17)/count(C7:C17))^(0.5)</f>
        <v>0.5532557689</v>
      </c>
      <c r="D41" s="13">
        <f t="shared" si="24"/>
        <v>0.5032120697</v>
      </c>
      <c r="E41" s="13">
        <f t="shared" si="24"/>
        <v>0.5106681786</v>
      </c>
      <c r="F41" s="13">
        <f t="shared" si="24"/>
        <v>0.4132596369</v>
      </c>
      <c r="G41" s="13"/>
      <c r="H41" s="13"/>
      <c r="I41" s="13">
        <f t="shared" ref="I41:M41" si="25">(sumsq(I7:I17)/count(I7:I17))^(0.5)</f>
        <v>0.6075921696</v>
      </c>
      <c r="J41" s="13">
        <f t="shared" si="25"/>
        <v>0.5525612573</v>
      </c>
      <c r="K41" s="13">
        <f t="shared" si="25"/>
        <v>0.7816100789</v>
      </c>
      <c r="L41" s="13">
        <f t="shared" si="25"/>
        <v>0.6300029276</v>
      </c>
      <c r="M41" s="13">
        <f t="shared" si="25"/>
        <v>0.500908266</v>
      </c>
      <c r="N41" s="13"/>
      <c r="O41" s="13">
        <f t="shared" ref="O41:R41" si="26">(sumsq(O7:O17)/count(O7:O17))^(0.5)</f>
        <v>0.5429641948</v>
      </c>
      <c r="P41" s="13">
        <f t="shared" si="26"/>
        <v>0.6717368061</v>
      </c>
      <c r="Q41" s="13">
        <f t="shared" si="26"/>
        <v>0.617238241</v>
      </c>
      <c r="R41" s="13">
        <f t="shared" si="26"/>
        <v>0.5842773068</v>
      </c>
    </row>
    <row r="42">
      <c r="B42" s="2" t="s">
        <v>120</v>
      </c>
      <c r="C42" s="13">
        <f t="shared" ref="C42:F42" si="27">MAX(C7:C17)</f>
        <v>1.27254494</v>
      </c>
      <c r="D42" s="13">
        <f t="shared" si="27"/>
        <v>0.899292</v>
      </c>
      <c r="E42" s="13">
        <f t="shared" si="27"/>
        <v>0.950925</v>
      </c>
      <c r="F42" s="13">
        <f t="shared" si="27"/>
        <v>0.7392551563</v>
      </c>
      <c r="I42" s="13">
        <f t="shared" ref="I42:M42" si="28">MAX(I7:I17)</f>
        <v>1.286169614</v>
      </c>
      <c r="J42" s="13">
        <f t="shared" si="28"/>
        <v>1.357514025</v>
      </c>
      <c r="K42" s="13">
        <f t="shared" si="28"/>
        <v>1.39079</v>
      </c>
      <c r="L42" s="13">
        <f t="shared" si="28"/>
        <v>1.158109222</v>
      </c>
      <c r="M42" s="13">
        <f t="shared" si="28"/>
        <v>1.2</v>
      </c>
      <c r="O42" s="13">
        <f t="shared" ref="O42:R42" si="29">MAX(O7:O17)</f>
        <v>0.9476589755</v>
      </c>
      <c r="P42" s="13">
        <f t="shared" si="29"/>
        <v>1.547796416</v>
      </c>
      <c r="Q42" s="13">
        <f t="shared" si="29"/>
        <v>1.149378</v>
      </c>
      <c r="R42" s="13">
        <f t="shared" si="29"/>
        <v>1.420793</v>
      </c>
    </row>
    <row r="44">
      <c r="B44" s="2" t="s">
        <v>118</v>
      </c>
      <c r="C44" s="13">
        <f t="shared" ref="C44:F44" si="30">AVERAGE(C18:C25)</f>
        <v>1.478165516</v>
      </c>
      <c r="D44" s="13">
        <f t="shared" si="30"/>
        <v>1.22077</v>
      </c>
      <c r="E44" s="13">
        <f t="shared" si="30"/>
        <v>1.20816675</v>
      </c>
      <c r="F44" s="13">
        <f t="shared" si="30"/>
        <v>1.411314521</v>
      </c>
      <c r="I44" s="13">
        <f t="shared" ref="I44:M44" si="31">AVERAGE(I18:I25)</f>
        <v>1.02388035</v>
      </c>
      <c r="J44" s="13">
        <f t="shared" si="31"/>
        <v>1.059724106</v>
      </c>
      <c r="K44" s="13">
        <f t="shared" si="31"/>
        <v>1.409292</v>
      </c>
      <c r="L44" s="13">
        <f t="shared" si="31"/>
        <v>0.9964762118</v>
      </c>
      <c r="M44" s="13">
        <f t="shared" si="31"/>
        <v>1.4375</v>
      </c>
      <c r="O44" s="13">
        <f t="shared" ref="O44:R44" si="32">AVERAGE(O18:O25)</f>
        <v>1.254831491</v>
      </c>
      <c r="P44" s="13">
        <f t="shared" si="32"/>
        <v>0.7949503407</v>
      </c>
      <c r="Q44" s="13">
        <f t="shared" si="32"/>
        <v>1.326068</v>
      </c>
      <c r="R44" s="13">
        <f t="shared" si="32"/>
        <v>1.144816125</v>
      </c>
    </row>
    <row r="45">
      <c r="B45" s="2" t="s">
        <v>119</v>
      </c>
      <c r="C45" s="13">
        <f t="shared" ref="C45:F45" si="33">(sumsq(C18:C25)/count(C18:C25))^(0.5)</f>
        <v>1.804749615</v>
      </c>
      <c r="D45" s="13">
        <f t="shared" si="33"/>
        <v>1.444463862</v>
      </c>
      <c r="E45" s="13">
        <f t="shared" si="33"/>
        <v>1.445026944</v>
      </c>
      <c r="F45" s="13">
        <f t="shared" si="33"/>
        <v>1.741035974</v>
      </c>
      <c r="G45" s="13"/>
      <c r="H45" s="13"/>
      <c r="I45" s="13">
        <f t="shared" ref="I45:M45" si="34">(sumsq(I18:I25)/count(I18:I25))^(0.5)</f>
        <v>1.187666436</v>
      </c>
      <c r="J45" s="13">
        <f t="shared" si="34"/>
        <v>1.361327051</v>
      </c>
      <c r="K45" s="13">
        <f t="shared" si="34"/>
        <v>1.857843978</v>
      </c>
      <c r="L45" s="13">
        <f t="shared" si="34"/>
        <v>1.156457019</v>
      </c>
      <c r="M45" s="13">
        <f t="shared" si="34"/>
        <v>1.792693504</v>
      </c>
      <c r="N45" s="13"/>
      <c r="O45" s="13">
        <f t="shared" ref="O45:R45" si="35">(sumsq(O18:O25)/count(O18:O25))^(0.5)</f>
        <v>1.648072277</v>
      </c>
      <c r="P45" s="13">
        <f t="shared" si="35"/>
        <v>1.00139986</v>
      </c>
      <c r="Q45" s="13">
        <f t="shared" si="35"/>
        <v>1.747020482</v>
      </c>
      <c r="R45" s="13">
        <f t="shared" si="35"/>
        <v>1.613167789</v>
      </c>
    </row>
    <row r="46">
      <c r="B46" s="2" t="s">
        <v>120</v>
      </c>
      <c r="C46" s="13">
        <f t="shared" ref="C46:F46" si="36">MAX(C18:C25)</f>
        <v>3.07401588</v>
      </c>
      <c r="D46" s="13">
        <f t="shared" si="36"/>
        <v>2.76146</v>
      </c>
      <c r="E46" s="13">
        <f t="shared" si="36"/>
        <v>2.71301</v>
      </c>
      <c r="F46" s="13">
        <f t="shared" si="36"/>
        <v>3.05609211</v>
      </c>
      <c r="I46" s="13">
        <f t="shared" ref="I46:M46" si="37">MAX(I18:I25)</f>
        <v>2.036966171</v>
      </c>
      <c r="J46" s="13">
        <f t="shared" si="37"/>
        <v>2.684548121</v>
      </c>
      <c r="K46" s="13">
        <f t="shared" si="37"/>
        <v>3.73354</v>
      </c>
      <c r="L46" s="13">
        <f t="shared" si="37"/>
        <v>1.846790718</v>
      </c>
      <c r="M46" s="13">
        <f t="shared" si="37"/>
        <v>3.7</v>
      </c>
      <c r="O46" s="13">
        <f t="shared" ref="O46:R46" si="38">MAX(O18:O25)</f>
        <v>3.844390981</v>
      </c>
      <c r="P46" s="13">
        <f t="shared" si="38"/>
        <v>2.222684371</v>
      </c>
      <c r="Q46" s="13">
        <f t="shared" si="38"/>
        <v>3.841118</v>
      </c>
      <c r="R46" s="13">
        <f t="shared" si="38"/>
        <v>3.669851</v>
      </c>
    </row>
    <row r="48">
      <c r="B48" s="15" t="s">
        <v>118</v>
      </c>
      <c r="C48" s="13">
        <f t="shared" ref="C48:F48" si="39">AVERAGE(C20:C30)</f>
        <v>0.9329128355</v>
      </c>
      <c r="D48" s="13">
        <f t="shared" si="39"/>
        <v>0.6162405455</v>
      </c>
      <c r="E48" s="13">
        <f t="shared" si="39"/>
        <v>0.616144</v>
      </c>
      <c r="F48" s="13">
        <f t="shared" si="39"/>
        <v>0.7239881127</v>
      </c>
      <c r="I48" s="13">
        <f t="shared" ref="I48:M48" si="40">AVERAGE(I20:I30)</f>
        <v>0.5108395826</v>
      </c>
      <c r="J48" s="13">
        <f t="shared" si="40"/>
        <v>0.4420434054</v>
      </c>
      <c r="K48" s="13">
        <f t="shared" si="40"/>
        <v>0.7661506364</v>
      </c>
      <c r="L48" s="13">
        <f t="shared" si="40"/>
        <v>0.6686649241</v>
      </c>
      <c r="M48" s="13">
        <f t="shared" si="40"/>
        <v>0.7272727273</v>
      </c>
      <c r="O48" s="13">
        <f t="shared" ref="O48:R48" si="41">AVERAGE(O20:O30)</f>
        <v>0.6365942018</v>
      </c>
      <c r="P48" s="13">
        <f t="shared" si="41"/>
        <v>0.4906667671</v>
      </c>
      <c r="Q48" s="13">
        <f t="shared" si="41"/>
        <v>0.6245503636</v>
      </c>
      <c r="R48" s="13">
        <f t="shared" si="41"/>
        <v>0.461599</v>
      </c>
    </row>
    <row r="49">
      <c r="B49" s="15" t="s">
        <v>119</v>
      </c>
      <c r="C49" s="13">
        <f t="shared" ref="C49:F49" si="42">(sumsq(C20:C30)/count(C20:C30))^(0.5)</f>
        <v>1.21605927</v>
      </c>
      <c r="D49" s="13">
        <f t="shared" si="42"/>
        <v>0.7724949588</v>
      </c>
      <c r="E49" s="13">
        <f t="shared" si="42"/>
        <v>0.7971771084</v>
      </c>
      <c r="F49" s="13">
        <f t="shared" si="42"/>
        <v>1.050550556</v>
      </c>
      <c r="G49" s="13"/>
      <c r="H49" s="13"/>
      <c r="I49" s="13">
        <f t="shared" ref="I49:M49" si="43">(sumsq(I20:I30)/count(I20:I30))^(0.5)</f>
        <v>0.65310224</v>
      </c>
      <c r="J49" s="13">
        <f t="shared" si="43"/>
        <v>0.5411008603</v>
      </c>
      <c r="K49" s="13">
        <f t="shared" si="43"/>
        <v>1.254516757</v>
      </c>
      <c r="L49" s="13">
        <f t="shared" si="43"/>
        <v>0.7812025767</v>
      </c>
      <c r="M49" s="13">
        <f t="shared" si="43"/>
        <v>0.9591663047</v>
      </c>
      <c r="N49" s="13"/>
      <c r="O49" s="13">
        <f t="shared" ref="O49:R49" si="44">(sumsq(O20:O30)/count(O20:O30))^(0.5)</f>
        <v>0.6831928647</v>
      </c>
      <c r="P49" s="13">
        <f t="shared" si="44"/>
        <v>0.5930297083</v>
      </c>
      <c r="Q49" s="13">
        <f t="shared" si="44"/>
        <v>0.8426363679</v>
      </c>
      <c r="R49" s="13">
        <f t="shared" si="44"/>
        <v>0.6215786088</v>
      </c>
    </row>
    <row r="50">
      <c r="B50" s="15" t="s">
        <v>120</v>
      </c>
      <c r="C50" s="13">
        <f t="shared" ref="C50:F50" si="45">MAX(C20:C30)</f>
        <v>2.8154841</v>
      </c>
      <c r="D50" s="13">
        <f t="shared" si="45"/>
        <v>1.573472</v>
      </c>
      <c r="E50" s="13">
        <f t="shared" si="45"/>
        <v>1.638223</v>
      </c>
      <c r="F50" s="13">
        <f t="shared" si="45"/>
        <v>2.860716217</v>
      </c>
      <c r="I50" s="13">
        <f t="shared" ref="I50:M50" si="46">MAX(I20:I30)</f>
        <v>1.231516466</v>
      </c>
      <c r="J50" s="13">
        <f t="shared" si="46"/>
        <v>0.9519772652</v>
      </c>
      <c r="K50" s="13">
        <f t="shared" si="46"/>
        <v>3.73354</v>
      </c>
      <c r="L50" s="13">
        <f t="shared" si="46"/>
        <v>1.205899213</v>
      </c>
      <c r="M50" s="13">
        <f t="shared" si="46"/>
        <v>2.1</v>
      </c>
      <c r="O50" s="13">
        <f t="shared" ref="O50:R50" si="47">MAX(O20:O30)</f>
        <v>1.032839819</v>
      </c>
      <c r="P50" s="13">
        <f t="shared" si="47"/>
        <v>0.9960197687</v>
      </c>
      <c r="Q50" s="13">
        <f t="shared" si="47"/>
        <v>2.131796</v>
      </c>
      <c r="R50" s="13">
        <f t="shared" si="47"/>
        <v>1.431324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138</v>
      </c>
      <c r="B1" s="20">
        <v>0.345252</v>
      </c>
      <c r="C1" s="20">
        <v>0.560171</v>
      </c>
      <c r="D1" s="20">
        <v>0.285548</v>
      </c>
      <c r="E1" s="21"/>
      <c r="F1" s="22">
        <v>0.940904122739285</v>
      </c>
      <c r="H1" s="22">
        <v>1.64469492463261</v>
      </c>
      <c r="I1" s="23" t="s">
        <v>139</v>
      </c>
      <c r="J1" s="24" t="s">
        <v>140</v>
      </c>
      <c r="L1" s="2" t="s">
        <v>141</v>
      </c>
      <c r="M1" s="2" t="s">
        <v>142</v>
      </c>
    </row>
    <row r="2">
      <c r="A2" s="25" t="s">
        <v>143</v>
      </c>
      <c r="B2" s="26">
        <v>1.038957</v>
      </c>
      <c r="C2" s="26">
        <v>1.036731</v>
      </c>
      <c r="D2" s="26">
        <v>1.199246</v>
      </c>
      <c r="E2" s="21"/>
      <c r="F2" s="22">
        <v>0.92666172929536</v>
      </c>
      <c r="G2" s="27"/>
      <c r="H2" s="22">
        <v>0.787484509327797</v>
      </c>
      <c r="I2" s="19" t="s">
        <v>138</v>
      </c>
      <c r="J2" s="28">
        <v>0.577348</v>
      </c>
      <c r="K2" s="20">
        <v>0.285548</v>
      </c>
      <c r="L2" s="2" t="s">
        <v>144</v>
      </c>
      <c r="M2" s="2">
        <v>0.3</v>
      </c>
    </row>
    <row r="3">
      <c r="A3" s="19" t="s">
        <v>145</v>
      </c>
      <c r="B3" s="20">
        <v>0.474207</v>
      </c>
      <c r="C3" s="20">
        <v>0.848284</v>
      </c>
      <c r="D3" s="20">
        <v>0.415078</v>
      </c>
      <c r="E3" s="29"/>
      <c r="F3" s="22">
        <v>0.932603756142605</v>
      </c>
      <c r="G3" s="29"/>
      <c r="H3" s="22">
        <v>0.367076339758009</v>
      </c>
      <c r="I3" s="25" t="s">
        <v>143</v>
      </c>
      <c r="J3" s="30">
        <v>0.986338</v>
      </c>
      <c r="K3" s="26">
        <v>1.199246</v>
      </c>
      <c r="L3" s="2" t="s">
        <v>146</v>
      </c>
      <c r="M3" s="2">
        <v>1.2</v>
      </c>
    </row>
    <row r="4">
      <c r="A4" s="25" t="s">
        <v>147</v>
      </c>
      <c r="B4" s="26">
        <v>1.287254</v>
      </c>
      <c r="C4" s="26">
        <v>1.011457</v>
      </c>
      <c r="D4" s="26">
        <v>0.604365</v>
      </c>
      <c r="E4" s="29"/>
      <c r="F4" s="22">
        <v>0.921271704536447</v>
      </c>
      <c r="G4" s="29"/>
      <c r="H4" s="22">
        <v>1.8972464000575</v>
      </c>
      <c r="I4" s="19" t="s">
        <v>145</v>
      </c>
      <c r="J4" s="28">
        <v>1.019892</v>
      </c>
      <c r="K4" s="20">
        <v>0.415078</v>
      </c>
      <c r="L4" s="2" t="s">
        <v>148</v>
      </c>
      <c r="M4" s="2">
        <v>0.4</v>
      </c>
    </row>
    <row r="5">
      <c r="A5" s="19" t="s">
        <v>149</v>
      </c>
      <c r="B5" s="20">
        <v>1.027726</v>
      </c>
      <c r="C5" s="20">
        <v>0.900492</v>
      </c>
      <c r="D5" s="20">
        <v>0.979968</v>
      </c>
      <c r="E5" s="29"/>
      <c r="F5" s="22">
        <v>0.914578537449023</v>
      </c>
      <c r="G5" s="29"/>
      <c r="H5" s="22">
        <v>0.30936757979093</v>
      </c>
      <c r="I5" s="25" t="s">
        <v>147</v>
      </c>
      <c r="J5" s="30">
        <v>0.854478</v>
      </c>
      <c r="K5" s="26">
        <v>0.604365</v>
      </c>
      <c r="L5" s="2" t="s">
        <v>150</v>
      </c>
      <c r="M5" s="2">
        <v>0.6</v>
      </c>
    </row>
    <row r="6">
      <c r="A6" s="25" t="s">
        <v>151</v>
      </c>
      <c r="B6" s="26">
        <v>1.000736</v>
      </c>
      <c r="C6" s="26">
        <v>0.978405</v>
      </c>
      <c r="D6" s="26">
        <v>0.712106</v>
      </c>
      <c r="E6" s="29"/>
      <c r="F6" s="22">
        <v>0.916321616809762</v>
      </c>
      <c r="G6" s="29"/>
      <c r="H6" s="22">
        <v>0.141398708344614</v>
      </c>
      <c r="I6" s="19" t="s">
        <v>149</v>
      </c>
      <c r="J6" s="28">
        <v>1.159281</v>
      </c>
      <c r="K6" s="20">
        <v>0.979968</v>
      </c>
      <c r="L6" s="2" t="s">
        <v>152</v>
      </c>
      <c r="M6" s="2">
        <v>1.0</v>
      </c>
    </row>
    <row r="7">
      <c r="A7" s="19" t="s">
        <v>153</v>
      </c>
      <c r="B7" s="20">
        <v>0.894176</v>
      </c>
      <c r="C7" s="20">
        <v>0.869813</v>
      </c>
      <c r="D7" s="20">
        <v>1.431543</v>
      </c>
      <c r="E7" s="29"/>
      <c r="F7" s="22">
        <v>0.869375691635224</v>
      </c>
      <c r="G7" s="29"/>
      <c r="H7" s="22">
        <v>0.260795039268109</v>
      </c>
      <c r="I7" s="25" t="s">
        <v>151</v>
      </c>
      <c r="J7" s="30">
        <v>1.23765</v>
      </c>
      <c r="K7" s="26">
        <v>0.712106</v>
      </c>
      <c r="L7" s="2" t="s">
        <v>154</v>
      </c>
      <c r="M7" s="2">
        <v>0.8</v>
      </c>
    </row>
    <row r="8">
      <c r="A8" s="25" t="s">
        <v>155</v>
      </c>
      <c r="B8" s="26">
        <v>0.511239</v>
      </c>
      <c r="C8" s="26">
        <v>0.669676</v>
      </c>
      <c r="D8" s="26">
        <v>-0.320382</v>
      </c>
      <c r="E8" s="29"/>
      <c r="F8" s="22">
        <v>0.921563634469993</v>
      </c>
      <c r="G8" s="29"/>
      <c r="H8" s="22">
        <v>0.586244101640526</v>
      </c>
      <c r="I8" s="19" t="s">
        <v>153</v>
      </c>
      <c r="J8" s="28">
        <v>1.218567</v>
      </c>
      <c r="K8" s="20">
        <v>1.431543</v>
      </c>
      <c r="L8" s="2" t="s">
        <v>156</v>
      </c>
      <c r="M8" s="2">
        <v>1.4</v>
      </c>
    </row>
    <row r="9">
      <c r="A9" s="19" t="s">
        <v>157</v>
      </c>
      <c r="B9" s="20">
        <v>1.203564</v>
      </c>
      <c r="C9" s="20">
        <v>1.005665</v>
      </c>
      <c r="D9" s="20">
        <v>1.198639</v>
      </c>
      <c r="E9" s="29"/>
      <c r="F9" s="22">
        <v>0.898071965064849</v>
      </c>
      <c r="G9" s="29"/>
      <c r="H9" s="22">
        <v>1.31070769823503</v>
      </c>
      <c r="I9" s="25" t="s">
        <v>155</v>
      </c>
      <c r="J9" s="30">
        <v>1.120793</v>
      </c>
      <c r="K9" s="26">
        <v>-0.320382</v>
      </c>
      <c r="L9" s="2" t="s">
        <v>158</v>
      </c>
      <c r="M9" s="2">
        <v>-0.3</v>
      </c>
    </row>
    <row r="10">
      <c r="A10" s="25" t="s">
        <v>159</v>
      </c>
      <c r="B10" s="26">
        <v>0.56796</v>
      </c>
      <c r="C10" s="26">
        <v>0.683773</v>
      </c>
      <c r="D10" s="26">
        <v>0.634579</v>
      </c>
      <c r="E10" s="29"/>
      <c r="F10" s="22">
        <v>0.903768643141179</v>
      </c>
      <c r="G10" s="29"/>
      <c r="H10" s="22">
        <v>0.811786822796148</v>
      </c>
      <c r="I10" s="19" t="s">
        <v>157</v>
      </c>
      <c r="J10" s="28">
        <v>0.772475</v>
      </c>
      <c r="K10" s="20">
        <v>1.198639</v>
      </c>
      <c r="L10" s="2" t="s">
        <v>160</v>
      </c>
      <c r="M10" s="2">
        <v>1.3</v>
      </c>
    </row>
    <row r="11">
      <c r="A11" s="19" t="s">
        <v>161</v>
      </c>
      <c r="B11" s="20">
        <v>0.68421</v>
      </c>
      <c r="C11" s="20">
        <v>0.622774</v>
      </c>
      <c r="D11" s="20">
        <v>0.728191</v>
      </c>
      <c r="E11" s="29"/>
      <c r="F11" s="22">
        <v>0.898143206153904</v>
      </c>
      <c r="G11" s="29"/>
      <c r="H11" s="22">
        <v>0.475575285581759</v>
      </c>
      <c r="I11" s="25" t="s">
        <v>159</v>
      </c>
      <c r="J11" s="30">
        <v>1.002659</v>
      </c>
      <c r="K11" s="26">
        <v>0.634579</v>
      </c>
      <c r="L11" s="2" t="s">
        <v>162</v>
      </c>
      <c r="M11" s="2">
        <v>0.7</v>
      </c>
    </row>
    <row r="12">
      <c r="A12" s="25" t="s">
        <v>163</v>
      </c>
      <c r="B12" s="26">
        <v>0.527048</v>
      </c>
      <c r="C12" s="26">
        <v>0.680818</v>
      </c>
      <c r="D12" s="26">
        <v>0.697872</v>
      </c>
      <c r="E12" s="29"/>
      <c r="F12" s="22">
        <v>0.894540511660029</v>
      </c>
      <c r="G12" s="29"/>
      <c r="H12" s="22">
        <v>0.572633307024063</v>
      </c>
      <c r="I12" s="19" t="s">
        <v>161</v>
      </c>
      <c r="J12" s="28">
        <v>0.840567</v>
      </c>
      <c r="K12" s="20">
        <v>0.728191</v>
      </c>
      <c r="L12" s="2" t="s">
        <v>164</v>
      </c>
      <c r="M12" s="2">
        <v>0.6</v>
      </c>
    </row>
    <row r="13">
      <c r="A13" s="19" t="s">
        <v>165</v>
      </c>
      <c r="B13" s="20">
        <v>-0.034725</v>
      </c>
      <c r="C13" s="20">
        <v>0.271796</v>
      </c>
      <c r="D13" s="20">
        <v>-0.198777</v>
      </c>
      <c r="E13" s="29"/>
      <c r="F13" s="22">
        <v>0.891066484104937</v>
      </c>
      <c r="G13" s="29"/>
      <c r="H13" s="22">
        <v>1.06235311625926</v>
      </c>
      <c r="I13" s="25" t="s">
        <v>163</v>
      </c>
      <c r="J13" s="30">
        <v>0.714293</v>
      </c>
      <c r="K13" s="26">
        <v>0.697872</v>
      </c>
      <c r="L13" s="2" t="s">
        <v>166</v>
      </c>
      <c r="M13" s="2">
        <v>0.6</v>
      </c>
    </row>
    <row r="14">
      <c r="A14" s="25" t="s">
        <v>167</v>
      </c>
      <c r="B14" s="26">
        <v>0.862255</v>
      </c>
      <c r="C14" s="26">
        <v>1.436954</v>
      </c>
      <c r="D14" s="26">
        <v>1.054328</v>
      </c>
      <c r="E14" s="29"/>
      <c r="F14" s="22">
        <v>0.871924956002174</v>
      </c>
      <c r="G14" s="29"/>
      <c r="H14" s="22">
        <v>1.17842271466109</v>
      </c>
      <c r="I14" s="19" t="s">
        <v>165</v>
      </c>
      <c r="J14" s="28">
        <v>0.534452</v>
      </c>
      <c r="K14" s="20">
        <v>-0.198777</v>
      </c>
      <c r="L14" s="2" t="s">
        <v>168</v>
      </c>
      <c r="M14" s="2">
        <v>-0.1</v>
      </c>
    </row>
    <row r="15">
      <c r="A15" s="19" t="s">
        <v>169</v>
      </c>
      <c r="B15" s="20">
        <v>0.498657</v>
      </c>
      <c r="C15" s="20">
        <v>0.90481</v>
      </c>
      <c r="D15" s="20">
        <v>0.526052</v>
      </c>
      <c r="E15" s="29"/>
      <c r="F15" s="22">
        <v>0.875857123952559</v>
      </c>
      <c r="G15" s="29"/>
      <c r="H15" s="22">
        <v>1.20206309673674</v>
      </c>
      <c r="I15" s="25" t="s">
        <v>167</v>
      </c>
      <c r="J15" s="30">
        <v>0.423217</v>
      </c>
      <c r="K15" s="26">
        <v>1.054328</v>
      </c>
      <c r="L15" s="2" t="s">
        <v>170</v>
      </c>
      <c r="M15" s="2">
        <v>1.1</v>
      </c>
    </row>
    <row r="16">
      <c r="A16" s="25" t="s">
        <v>171</v>
      </c>
      <c r="B16" s="26">
        <v>0.890668</v>
      </c>
      <c r="C16" s="26">
        <v>0.814688</v>
      </c>
      <c r="D16" s="26">
        <v>1.263105</v>
      </c>
      <c r="E16" s="29"/>
      <c r="F16" s="22">
        <v>0.869486545777406</v>
      </c>
      <c r="G16" s="29"/>
      <c r="H16" s="22">
        <v>1.83179835652896</v>
      </c>
      <c r="I16" s="19" t="s">
        <v>169</v>
      </c>
      <c r="J16" s="28">
        <v>0.782248</v>
      </c>
      <c r="K16" s="20">
        <v>0.526052</v>
      </c>
      <c r="L16" s="2" t="s">
        <v>172</v>
      </c>
      <c r="M16" s="2">
        <v>0.4</v>
      </c>
    </row>
    <row r="17">
      <c r="A17" s="19" t="s">
        <v>173</v>
      </c>
      <c r="B17" s="20">
        <v>0.266271</v>
      </c>
      <c r="C17" s="20">
        <v>-0.212014</v>
      </c>
      <c r="D17" s="20">
        <v>-1.34648</v>
      </c>
      <c r="E17" s="29"/>
      <c r="F17" s="22">
        <v>0.876661610451047</v>
      </c>
      <c r="G17" s="29"/>
      <c r="H17" s="22">
        <v>-1.32046975612992</v>
      </c>
      <c r="I17" s="25" t="s">
        <v>171</v>
      </c>
      <c r="J17" s="30">
        <v>0.945888</v>
      </c>
      <c r="K17" s="26">
        <v>1.263105</v>
      </c>
      <c r="L17" s="2" t="s">
        <v>174</v>
      </c>
      <c r="M17" s="2">
        <v>1.2</v>
      </c>
    </row>
    <row r="18">
      <c r="A18" s="25" t="s">
        <v>175</v>
      </c>
      <c r="B18" s="26">
        <v>-0.653497</v>
      </c>
      <c r="C18" s="26">
        <v>-0.258458</v>
      </c>
      <c r="D18" s="26">
        <v>-3.073693</v>
      </c>
      <c r="E18" s="29"/>
      <c r="F18" s="22">
        <v>0.840978620831836</v>
      </c>
      <c r="G18" s="29"/>
      <c r="H18" s="22">
        <v>1.17086667238731</v>
      </c>
      <c r="I18" s="19" t="s">
        <v>173</v>
      </c>
      <c r="J18" s="28">
        <v>0.736839</v>
      </c>
      <c r="K18" s="20">
        <v>-1.34648</v>
      </c>
      <c r="L18" s="2" t="s">
        <v>176</v>
      </c>
      <c r="M18" s="2">
        <v>-1.3</v>
      </c>
    </row>
    <row r="19">
      <c r="A19" s="19" t="s">
        <v>177</v>
      </c>
      <c r="B19" s="20">
        <v>2.211577</v>
      </c>
      <c r="C19" s="20">
        <v>1.943899</v>
      </c>
      <c r="D19" s="20">
        <v>2.320649</v>
      </c>
      <c r="E19" s="29"/>
      <c r="F19" s="22">
        <v>-0.360142260202302</v>
      </c>
      <c r="G19" s="29"/>
      <c r="H19" s="22">
        <v>0.883702642060391</v>
      </c>
      <c r="I19" s="25" t="s">
        <v>175</v>
      </c>
      <c r="J19" s="30">
        <v>0.669851</v>
      </c>
      <c r="K19" s="26">
        <v>-3.073693</v>
      </c>
      <c r="L19" s="2" t="s">
        <v>178</v>
      </c>
      <c r="M19" s="2">
        <v>-3.0</v>
      </c>
    </row>
    <row r="20">
      <c r="A20" s="25" t="s">
        <v>179</v>
      </c>
      <c r="B20" s="26">
        <v>1.530866</v>
      </c>
      <c r="C20" s="26">
        <v>2.041691</v>
      </c>
      <c r="D20" s="26">
        <v>1.206436</v>
      </c>
      <c r="E20" s="29"/>
      <c r="F20" s="22">
        <v>0.803169414925122</v>
      </c>
      <c r="G20" s="29"/>
      <c r="H20" s="22">
        <v>1.23701952644644</v>
      </c>
      <c r="I20" s="19" t="s">
        <v>177</v>
      </c>
      <c r="J20" s="28">
        <v>0.868676</v>
      </c>
      <c r="K20" s="20">
        <v>2.320649</v>
      </c>
      <c r="L20" s="2" t="s">
        <v>180</v>
      </c>
      <c r="M20" s="2">
        <v>2.3</v>
      </c>
    </row>
    <row r="21">
      <c r="A21" s="19" t="s">
        <v>181</v>
      </c>
      <c r="B21" s="20">
        <v>1.837107</v>
      </c>
      <c r="C21" s="20">
        <v>1.211536</v>
      </c>
      <c r="D21" s="20">
        <v>1.709374</v>
      </c>
      <c r="E21" s="29"/>
      <c r="F21" s="22">
        <v>0.809369815025749</v>
      </c>
      <c r="G21" s="29"/>
      <c r="H21" s="22">
        <v>1.7408487495973</v>
      </c>
      <c r="I21" s="25" t="s">
        <v>179</v>
      </c>
      <c r="J21" s="30">
        <v>1.381186</v>
      </c>
      <c r="K21" s="26">
        <v>1.206436</v>
      </c>
      <c r="L21" s="2" t="s">
        <v>182</v>
      </c>
      <c r="M21" s="2">
        <v>1.3</v>
      </c>
    </row>
    <row r="22">
      <c r="A22" s="25" t="s">
        <v>183</v>
      </c>
      <c r="B22" s="26">
        <v>1.154575</v>
      </c>
      <c r="C22" s="26">
        <v>0.896899</v>
      </c>
      <c r="D22" s="26">
        <v>0.829895</v>
      </c>
      <c r="E22" s="29"/>
      <c r="F22" s="22">
        <v>0.823072161367253</v>
      </c>
      <c r="G22" s="29"/>
      <c r="H22" s="22">
        <v>0.825130717728779</v>
      </c>
      <c r="I22" s="19" t="s">
        <v>181</v>
      </c>
      <c r="J22" s="28">
        <v>1.13407</v>
      </c>
      <c r="K22" s="20">
        <v>1.709374</v>
      </c>
      <c r="L22" s="2" t="s">
        <v>184</v>
      </c>
      <c r="M22" s="2">
        <v>1.8</v>
      </c>
    </row>
    <row r="23">
      <c r="A23" s="19" t="s">
        <v>185</v>
      </c>
      <c r="B23" s="20">
        <v>1.038754</v>
      </c>
      <c r="C23" s="20">
        <v>0.672785</v>
      </c>
      <c r="D23" s="20">
        <v>0.213012</v>
      </c>
      <c r="E23" s="29"/>
      <c r="F23" s="22">
        <v>0.82272229640644</v>
      </c>
      <c r="G23" s="29"/>
      <c r="H23" s="22">
        <v>1.03681909623156</v>
      </c>
      <c r="I23" s="25" t="s">
        <v>183</v>
      </c>
      <c r="J23" s="30">
        <v>1.044378</v>
      </c>
      <c r="K23" s="26">
        <v>0.829895</v>
      </c>
      <c r="L23" s="2" t="s">
        <v>186</v>
      </c>
      <c r="M23" s="2">
        <v>0.9</v>
      </c>
    </row>
    <row r="24">
      <c r="A24" s="25" t="s">
        <v>187</v>
      </c>
      <c r="B24" s="26">
        <v>1.365715</v>
      </c>
      <c r="C24" s="26">
        <v>1.637291</v>
      </c>
      <c r="D24" s="26">
        <v>1.328907</v>
      </c>
      <c r="E24" s="29"/>
      <c r="F24" s="22">
        <v>0.813448809326163</v>
      </c>
      <c r="G24" s="29"/>
      <c r="H24" s="22">
        <v>1.34883298999842</v>
      </c>
      <c r="I24" s="19" t="s">
        <v>185</v>
      </c>
      <c r="J24" s="28">
        <v>0.814563</v>
      </c>
      <c r="K24" s="20">
        <v>0.213012</v>
      </c>
      <c r="L24" s="2" t="s">
        <v>188</v>
      </c>
      <c r="M24" s="2">
        <v>0.1</v>
      </c>
    </row>
    <row r="25">
      <c r="A25" s="19" t="s">
        <v>189</v>
      </c>
      <c r="B25" s="20">
        <v>0.717039</v>
      </c>
      <c r="C25" s="20">
        <v>0.840498</v>
      </c>
      <c r="D25" s="20">
        <v>0.631967</v>
      </c>
      <c r="E25" s="29"/>
      <c r="F25" s="22">
        <v>0.820583151880995</v>
      </c>
      <c r="G25" s="29"/>
      <c r="H25" s="22">
        <v>0.658289220713408</v>
      </c>
      <c r="I25" s="25" t="s">
        <v>187</v>
      </c>
      <c r="J25" s="30">
        <v>0.985542</v>
      </c>
      <c r="K25" s="26">
        <v>1.328907</v>
      </c>
      <c r="L25" s="2" t="s">
        <v>190</v>
      </c>
      <c r="M25" s="2">
        <v>1.4</v>
      </c>
    </row>
    <row r="26">
      <c r="A26" s="25" t="s">
        <v>191</v>
      </c>
      <c r="B26" s="26">
        <v>0.489632</v>
      </c>
      <c r="C26" s="26">
        <v>0.640058</v>
      </c>
      <c r="D26" s="26">
        <v>0.736548</v>
      </c>
      <c r="E26" s="29"/>
      <c r="F26" s="22">
        <v>0.817386220459622</v>
      </c>
      <c r="G26" s="29"/>
      <c r="H26" s="22">
        <v>0.455964031901835</v>
      </c>
      <c r="I26" s="19" t="s">
        <v>189</v>
      </c>
      <c r="J26" s="28">
        <v>0.880653</v>
      </c>
      <c r="K26" s="20">
        <v>0.631967</v>
      </c>
      <c r="L26" s="2" t="s">
        <v>192</v>
      </c>
      <c r="M26" s="2">
        <v>0.7</v>
      </c>
    </row>
    <row r="27">
      <c r="A27" s="19" t="s">
        <v>193</v>
      </c>
      <c r="B27" s="20">
        <v>0.618514</v>
      </c>
      <c r="C27" s="20">
        <v>0.730083</v>
      </c>
      <c r="D27" s="20">
        <v>0.322309</v>
      </c>
      <c r="E27" s="29"/>
      <c r="F27" s="22">
        <v>0.815710162006596</v>
      </c>
      <c r="G27" s="29"/>
      <c r="H27" s="22">
        <v>0.457146541487816</v>
      </c>
      <c r="I27" s="25" t="s">
        <v>191</v>
      </c>
      <c r="J27" s="30">
        <v>0.684093</v>
      </c>
      <c r="K27" s="26">
        <v>0.736548</v>
      </c>
      <c r="L27" s="2" t="s">
        <v>194</v>
      </c>
      <c r="M27" s="2">
        <v>0.8</v>
      </c>
    </row>
    <row r="28">
      <c r="A28" s="25" t="s">
        <v>195</v>
      </c>
      <c r="B28" s="26">
        <v>0.034759</v>
      </c>
      <c r="C28" s="26">
        <v>-0.133685</v>
      </c>
      <c r="D28" s="26">
        <v>-0.406605</v>
      </c>
      <c r="E28" s="29"/>
      <c r="F28" s="22">
        <v>0.808445622084822</v>
      </c>
      <c r="G28" s="29"/>
      <c r="H28" s="22">
        <v>0.0402309871187397</v>
      </c>
      <c r="I28" s="19" t="s">
        <v>193</v>
      </c>
      <c r="J28" s="28">
        <v>0.342689</v>
      </c>
      <c r="K28" s="20">
        <v>0.322309</v>
      </c>
      <c r="L28" s="2" t="s">
        <v>196</v>
      </c>
      <c r="M28" s="2">
        <v>0.2</v>
      </c>
    </row>
    <row r="29">
      <c r="A29" s="19" t="s">
        <v>197</v>
      </c>
      <c r="B29" s="20">
        <v>0.475308</v>
      </c>
      <c r="C29" s="20">
        <v>0.460372</v>
      </c>
      <c r="D29" s="20">
        <v>0.28461</v>
      </c>
      <c r="E29" s="29"/>
      <c r="F29" s="22">
        <v>0.791661629071445</v>
      </c>
      <c r="G29" s="29"/>
      <c r="H29" s="22">
        <v>1.9840623243306</v>
      </c>
      <c r="I29" s="25" t="s">
        <v>195</v>
      </c>
      <c r="J29" s="26">
        <v>0.665859</v>
      </c>
      <c r="K29" s="26">
        <v>-0.406605</v>
      </c>
      <c r="L29" s="2" t="s">
        <v>198</v>
      </c>
      <c r="M29" s="2">
        <v>-0.3</v>
      </c>
    </row>
    <row r="30">
      <c r="A30" s="31">
        <v>0.567574</v>
      </c>
      <c r="B30" s="31">
        <v>0.555144</v>
      </c>
      <c r="E30" s="29"/>
      <c r="F30" s="29"/>
      <c r="G30" s="29"/>
      <c r="H30" s="29"/>
      <c r="I30" s="19" t="s">
        <v>197</v>
      </c>
      <c r="J30" s="20">
        <v>0.520642</v>
      </c>
      <c r="K30" s="20">
        <v>0.28461</v>
      </c>
      <c r="L30" s="2" t="s">
        <v>199</v>
      </c>
      <c r="M30" s="2">
        <v>0.3</v>
      </c>
    </row>
    <row r="31">
      <c r="E31" s="29"/>
      <c r="F31" s="29"/>
      <c r="G31" s="29"/>
      <c r="H31" s="29"/>
      <c r="I31" s="29"/>
    </row>
  </sheetData>
  <drawing r:id="rId1"/>
</worksheet>
</file>