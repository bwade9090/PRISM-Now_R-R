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OK\Desktop\papers\prism\R&amp;R\code\Q5\"/>
    </mc:Choice>
  </mc:AlternateContent>
  <xr:revisionPtr revIDLastSave="0" documentId="13_ncr:1_{FCC834A1-35D5-4D5E-8C2C-7FAA6204E60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pred_GDP_now" sheetId="1" r:id="rId1"/>
    <sheet name="error_now" sheetId="2" r:id="rId2"/>
    <sheet name="pred_GDP_1qa" sheetId="3" r:id="rId3"/>
    <sheet name="error_1q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2" i="3"/>
  <c r="P65" i="4"/>
  <c r="O65" i="4"/>
  <c r="N65" i="4"/>
  <c r="M65" i="4"/>
  <c r="K65" i="4"/>
  <c r="E65" i="4"/>
  <c r="D65" i="4"/>
  <c r="C62" i="4" a="1"/>
  <c r="C62" i="4" s="1"/>
  <c r="D62" i="4" a="1"/>
  <c r="D62" i="4" s="1"/>
  <c r="E62" i="4" a="1"/>
  <c r="E62" i="4"/>
  <c r="F62" i="4" a="1"/>
  <c r="F62" i="4"/>
  <c r="G62" i="4" a="1"/>
  <c r="G62" i="4" s="1"/>
  <c r="H62" i="4" a="1"/>
  <c r="H62" i="4"/>
  <c r="I62" i="4" a="1"/>
  <c r="I62" i="4" s="1"/>
  <c r="J62" i="4" a="1"/>
  <c r="J62" i="4" s="1"/>
  <c r="K62" i="4" a="1"/>
  <c r="K62" i="4" s="1"/>
  <c r="L62" i="4" a="1"/>
  <c r="L62" i="4" s="1"/>
  <c r="M62" i="4" a="1"/>
  <c r="M62" i="4" s="1"/>
  <c r="N62" i="4" a="1"/>
  <c r="N62" i="4" s="1"/>
  <c r="O62" i="4" a="1"/>
  <c r="O62" i="4"/>
  <c r="P62" i="4" a="1"/>
  <c r="P62" i="4"/>
  <c r="R62" i="4" a="1"/>
  <c r="R62" i="4" s="1"/>
  <c r="S62" i="4" a="1"/>
  <c r="S62" i="4"/>
  <c r="T62" i="4" a="1"/>
  <c r="T62" i="4" s="1"/>
  <c r="U62" i="4" a="1"/>
  <c r="U62" i="4" s="1"/>
  <c r="V62" i="4" a="1"/>
  <c r="V62" i="4"/>
  <c r="W62" i="4" a="1"/>
  <c r="W62" i="4"/>
  <c r="X62" i="4" a="1"/>
  <c r="X62" i="4" s="1"/>
  <c r="Y62" i="4" a="1"/>
  <c r="Y62" i="4"/>
  <c r="Z62" i="4" a="1"/>
  <c r="Z62" i="4" s="1"/>
  <c r="L3" i="3" l="1"/>
  <c r="L4" i="3"/>
  <c r="L5" i="3"/>
  <c r="L6" i="3"/>
  <c r="L7" i="3"/>
  <c r="L8" i="3"/>
  <c r="L9" i="3"/>
  <c r="L10" i="3"/>
  <c r="L6" i="4" s="1" a="1"/>
  <c r="L6" i="4" s="1"/>
  <c r="L11" i="3"/>
  <c r="L12" i="3"/>
  <c r="L13" i="3"/>
  <c r="L9" i="4" s="1" a="1"/>
  <c r="L9" i="4" s="1"/>
  <c r="L14" i="3"/>
  <c r="L10" i="4" s="1" a="1"/>
  <c r="L10" i="4" s="1"/>
  <c r="L15" i="3"/>
  <c r="L11" i="4" s="1" a="1"/>
  <c r="L11" i="4" s="1"/>
  <c r="L16" i="3"/>
  <c r="L12" i="4" s="1" a="1"/>
  <c r="L12" i="4" s="1"/>
  <c r="L17" i="3"/>
  <c r="L18" i="3"/>
  <c r="L14" i="4" s="1" a="1"/>
  <c r="L14" i="4" s="1"/>
  <c r="L19" i="3"/>
  <c r="L20" i="3"/>
  <c r="L21" i="3"/>
  <c r="L17" i="4" s="1" a="1"/>
  <c r="L17" i="4" s="1"/>
  <c r="L22" i="3"/>
  <c r="L23" i="3"/>
  <c r="L24" i="3"/>
  <c r="L25" i="3"/>
  <c r="L21" i="4" s="1" a="1"/>
  <c r="L21" i="4" s="1"/>
  <c r="L26" i="3"/>
  <c r="L27" i="3"/>
  <c r="L23" i="4" s="1" a="1"/>
  <c r="L23" i="4" s="1"/>
  <c r="L28" i="3"/>
  <c r="L24" i="4" s="1" a="1"/>
  <c r="L24" i="4" s="1"/>
  <c r="L29" i="3"/>
  <c r="L25" i="4" s="1" a="1"/>
  <c r="L25" i="4" s="1"/>
  <c r="L30" i="3"/>
  <c r="L26" i="4" s="1" a="1"/>
  <c r="L26" i="4" s="1"/>
  <c r="L31" i="3"/>
  <c r="L27" i="4" s="1" a="1"/>
  <c r="L27" i="4" s="1"/>
  <c r="L32" i="3"/>
  <c r="L28" i="4" s="1" a="1"/>
  <c r="L28" i="4" s="1"/>
  <c r="L33" i="3"/>
  <c r="L29" i="4" s="1" a="1"/>
  <c r="L29" i="4" s="1"/>
  <c r="L34" i="3"/>
  <c r="L30" i="4" s="1" a="1"/>
  <c r="L30" i="4" s="1"/>
  <c r="L35" i="3"/>
  <c r="L36" i="3"/>
  <c r="L37" i="3"/>
  <c r="L38" i="3"/>
  <c r="L2" i="3"/>
  <c r="I3" i="3"/>
  <c r="I4" i="3"/>
  <c r="I5" i="3"/>
  <c r="I6" i="3"/>
  <c r="I7" i="3"/>
  <c r="I3" i="4" s="1" a="1"/>
  <c r="I3" i="4" s="1"/>
  <c r="I8" i="3"/>
  <c r="I4" i="4" s="1" a="1"/>
  <c r="I4" i="4" s="1"/>
  <c r="I9" i="3"/>
  <c r="I5" i="4" s="1" a="1"/>
  <c r="I5" i="4" s="1"/>
  <c r="I10" i="3"/>
  <c r="I11" i="3"/>
  <c r="I7" i="4" s="1" a="1"/>
  <c r="I7" i="4" s="1"/>
  <c r="I12" i="3"/>
  <c r="I8" i="4" s="1" a="1"/>
  <c r="I8" i="4" s="1"/>
  <c r="I13" i="3"/>
  <c r="I9" i="4" s="1" a="1"/>
  <c r="I9" i="4" s="1"/>
  <c r="I14" i="3"/>
  <c r="I10" i="4" s="1" a="1"/>
  <c r="I10" i="4" s="1"/>
  <c r="I15" i="3"/>
  <c r="I11" i="4" s="1" a="1"/>
  <c r="I11" i="4" s="1"/>
  <c r="I16" i="3"/>
  <c r="I17" i="3"/>
  <c r="I18" i="3"/>
  <c r="I14" i="4" s="1" a="1"/>
  <c r="I14" i="4" s="1"/>
  <c r="I19" i="3"/>
  <c r="I20" i="3"/>
  <c r="I21" i="3"/>
  <c r="I22" i="3"/>
  <c r="I23" i="3"/>
  <c r="I24" i="3"/>
  <c r="I25" i="3"/>
  <c r="I21" i="4" s="1" a="1"/>
  <c r="I21" i="4" s="1"/>
  <c r="I26" i="3"/>
  <c r="I27" i="3"/>
  <c r="I28" i="3"/>
  <c r="I24" i="4" s="1" a="1"/>
  <c r="I24" i="4" s="1"/>
  <c r="I29" i="3"/>
  <c r="I25" i="4" s="1" a="1"/>
  <c r="I25" i="4" s="1"/>
  <c r="I30" i="3"/>
  <c r="I26" i="4" s="1" a="1"/>
  <c r="I26" i="4" s="1"/>
  <c r="I31" i="3"/>
  <c r="I27" i="4" s="1" a="1"/>
  <c r="I27" i="4" s="1"/>
  <c r="I32" i="3"/>
  <c r="I33" i="3"/>
  <c r="I34" i="3"/>
  <c r="I30" i="4" s="1" a="1"/>
  <c r="I30" i="4" s="1"/>
  <c r="I35" i="3"/>
  <c r="I36" i="3"/>
  <c r="I37" i="3"/>
  <c r="I38" i="3"/>
  <c r="H3" i="3"/>
  <c r="H4" i="3"/>
  <c r="H5" i="3"/>
  <c r="H6" i="3"/>
  <c r="H2" i="4" s="1" a="1"/>
  <c r="H2" i="4" s="1"/>
  <c r="H7" i="3"/>
  <c r="H8" i="3"/>
  <c r="H9" i="3"/>
  <c r="H10" i="3"/>
  <c r="H6" i="4" s="1" a="1"/>
  <c r="H6" i="4" s="1"/>
  <c r="H11" i="3"/>
  <c r="H7" i="4" s="1" a="1"/>
  <c r="H7" i="4" s="1"/>
  <c r="H12" i="3"/>
  <c r="H8" i="4" s="1" a="1"/>
  <c r="H8" i="4" s="1"/>
  <c r="H13" i="3"/>
  <c r="H9" i="4" s="1" a="1"/>
  <c r="H9" i="4" s="1"/>
  <c r="H14" i="3"/>
  <c r="H10" i="4" s="1" a="1"/>
  <c r="H10" i="4" s="1"/>
  <c r="H15" i="3"/>
  <c r="H16" i="3"/>
  <c r="H17" i="3"/>
  <c r="H18" i="3"/>
  <c r="H14" i="4" s="1" a="1"/>
  <c r="H14" i="4" s="1"/>
  <c r="H19" i="3"/>
  <c r="H20" i="3"/>
  <c r="H21" i="3"/>
  <c r="H22" i="3"/>
  <c r="H23" i="3"/>
  <c r="H24" i="3"/>
  <c r="H25" i="3"/>
  <c r="H26" i="3"/>
  <c r="H27" i="3"/>
  <c r="H28" i="3"/>
  <c r="H24" i="4" s="1" a="1"/>
  <c r="H24" i="4" s="1"/>
  <c r="H29" i="3"/>
  <c r="H25" i="4" s="1" a="1"/>
  <c r="H25" i="4" s="1"/>
  <c r="H30" i="3"/>
  <c r="H26" i="4" s="1" a="1"/>
  <c r="H26" i="4" s="1"/>
  <c r="H31" i="3"/>
  <c r="H32" i="3"/>
  <c r="H33" i="3"/>
  <c r="H29" i="4" s="1" a="1"/>
  <c r="H29" i="4" s="1"/>
  <c r="H34" i="3"/>
  <c r="H30" i="4" s="1" a="1"/>
  <c r="H30" i="4" s="1"/>
  <c r="H35" i="3"/>
  <c r="H36" i="3"/>
  <c r="H37" i="3"/>
  <c r="H38" i="3"/>
  <c r="H2" i="3"/>
  <c r="I2" i="3"/>
  <c r="G3" i="3"/>
  <c r="G4" i="3"/>
  <c r="G5" i="3"/>
  <c r="G6" i="3"/>
  <c r="G7" i="3"/>
  <c r="G8" i="3"/>
  <c r="G9" i="3"/>
  <c r="G5" i="4" s="1" a="1"/>
  <c r="G5" i="4" s="1"/>
  <c r="G10" i="3"/>
  <c r="G11" i="3"/>
  <c r="G7" i="4" s="1" a="1"/>
  <c r="G7" i="4" s="1"/>
  <c r="G12" i="3"/>
  <c r="G8" i="4" s="1" a="1"/>
  <c r="G8" i="4" s="1"/>
  <c r="G13" i="3"/>
  <c r="G9" i="4" s="1" a="1"/>
  <c r="G9" i="4" s="1"/>
  <c r="G14" i="3"/>
  <c r="G10" i="4" s="1" a="1"/>
  <c r="G10" i="4" s="1"/>
  <c r="G15" i="3"/>
  <c r="G16" i="3"/>
  <c r="G17" i="3"/>
  <c r="G13" i="4" s="1" a="1"/>
  <c r="G13" i="4" s="1"/>
  <c r="G18" i="3"/>
  <c r="G14" i="4" s="1" a="1"/>
  <c r="G14" i="4" s="1"/>
  <c r="G19" i="3"/>
  <c r="G20" i="3"/>
  <c r="G21" i="3"/>
  <c r="G22" i="3"/>
  <c r="G23" i="3"/>
  <c r="G24" i="3"/>
  <c r="G25" i="3"/>
  <c r="G21" i="4" s="1" a="1"/>
  <c r="G21" i="4" s="1"/>
  <c r="G26" i="3"/>
  <c r="G27" i="3"/>
  <c r="G28" i="3"/>
  <c r="G24" i="4" s="1" a="1"/>
  <c r="G24" i="4" s="1"/>
  <c r="G29" i="3"/>
  <c r="G25" i="4" s="1" a="1"/>
  <c r="G25" i="4" s="1"/>
  <c r="G30" i="3"/>
  <c r="G26" i="4" s="1" a="1"/>
  <c r="G26" i="4" s="1"/>
  <c r="G31" i="3"/>
  <c r="G32" i="3"/>
  <c r="G33" i="3"/>
  <c r="G29" i="4" s="1" a="1"/>
  <c r="G29" i="4" s="1"/>
  <c r="G34" i="3"/>
  <c r="G35" i="3"/>
  <c r="G36" i="3"/>
  <c r="G37" i="3"/>
  <c r="G38" i="3"/>
  <c r="G39" i="3"/>
  <c r="G40" i="3"/>
  <c r="G41" i="3"/>
  <c r="G37" i="4" s="1" a="1"/>
  <c r="G37" i="4" s="1"/>
  <c r="G42" i="3"/>
  <c r="G43" i="3"/>
  <c r="G39" i="4" s="1" a="1"/>
  <c r="G39" i="4" s="1"/>
  <c r="G44" i="3"/>
  <c r="G40" i="4" s="1" a="1"/>
  <c r="G40" i="4" s="1"/>
  <c r="G45" i="3"/>
  <c r="G41" i="4" s="1" a="1"/>
  <c r="G41" i="4" s="1"/>
  <c r="G46" i="3"/>
  <c r="G42" i="4" s="1" a="1"/>
  <c r="G42" i="4" s="1"/>
  <c r="G47" i="3"/>
  <c r="G43" i="4" s="1" a="1"/>
  <c r="G43" i="4" s="1"/>
  <c r="G48" i="3"/>
  <c r="G49" i="3"/>
  <c r="G50" i="3"/>
  <c r="G51" i="3"/>
  <c r="G52" i="3"/>
  <c r="G53" i="3"/>
  <c r="G49" i="4" s="1" a="1"/>
  <c r="G49" i="4" s="1"/>
  <c r="G54" i="3"/>
  <c r="G55" i="3"/>
  <c r="G56" i="3"/>
  <c r="G52" i="4" s="1" a="1"/>
  <c r="G52" i="4" s="1"/>
  <c r="G57" i="3"/>
  <c r="G53" i="4" s="1" a="1"/>
  <c r="G53" i="4" s="1"/>
  <c r="G58" i="3"/>
  <c r="G59" i="3"/>
  <c r="G60" i="3"/>
  <c r="G56" i="4" s="1" a="1"/>
  <c r="G56" i="4" s="1"/>
  <c r="G61" i="3"/>
  <c r="G57" i="4" s="1" a="1"/>
  <c r="G57" i="4" s="1"/>
  <c r="G62" i="3"/>
  <c r="G58" i="4" s="1" a="1"/>
  <c r="G58" i="4" s="1"/>
  <c r="G63" i="3"/>
  <c r="G64" i="3"/>
  <c r="G65" i="3"/>
  <c r="G66" i="3"/>
  <c r="G2" i="3"/>
  <c r="F3" i="3"/>
  <c r="F4" i="3"/>
  <c r="F5" i="3"/>
  <c r="F6" i="3"/>
  <c r="F7" i="3"/>
  <c r="F8" i="3"/>
  <c r="F9" i="3"/>
  <c r="F5" i="4" s="1" a="1"/>
  <c r="F5" i="4" s="1"/>
  <c r="F10" i="3"/>
  <c r="F6" i="4" s="1" a="1"/>
  <c r="F6" i="4" s="1"/>
  <c r="F11" i="3"/>
  <c r="F12" i="3"/>
  <c r="F13" i="3"/>
  <c r="F9" i="4" s="1" a="1"/>
  <c r="F9" i="4" s="1"/>
  <c r="F14" i="3"/>
  <c r="F10" i="4" s="1" a="1"/>
  <c r="F10" i="4" s="1"/>
  <c r="F15" i="3"/>
  <c r="F11" i="4" s="1" a="1"/>
  <c r="F11" i="4" s="1"/>
  <c r="F16" i="3"/>
  <c r="F17" i="3"/>
  <c r="F13" i="4" s="1" a="1"/>
  <c r="F13" i="4" s="1"/>
  <c r="F18" i="3"/>
  <c r="F19" i="3"/>
  <c r="F20" i="3"/>
  <c r="F21" i="3"/>
  <c r="F22" i="3"/>
  <c r="F23" i="3"/>
  <c r="F24" i="3"/>
  <c r="F25" i="3"/>
  <c r="F26" i="3"/>
  <c r="F22" i="4" s="1" a="1"/>
  <c r="F22" i="4" s="1"/>
  <c r="F27" i="3"/>
  <c r="F23" i="4" s="1" a="1"/>
  <c r="F23" i="4" s="1"/>
  <c r="F28" i="3"/>
  <c r="F24" i="4" s="1" a="1"/>
  <c r="F24" i="4" s="1"/>
  <c r="F29" i="3"/>
  <c r="F25" i="4" s="1" a="1"/>
  <c r="F25" i="4" s="1"/>
  <c r="F30" i="3"/>
  <c r="F26" i="4" s="1" a="1"/>
  <c r="F26" i="4" s="1"/>
  <c r="F31" i="3"/>
  <c r="F27" i="4" s="1" a="1"/>
  <c r="F27" i="4" s="1"/>
  <c r="F32" i="3"/>
  <c r="F28" i="4" s="1" a="1"/>
  <c r="F28" i="4" s="1"/>
  <c r="F33" i="3"/>
  <c r="F34" i="3"/>
  <c r="F30" i="4" s="1" a="1"/>
  <c r="F30" i="4" s="1"/>
  <c r="F35" i="3"/>
  <c r="F36" i="3"/>
  <c r="F37" i="3"/>
  <c r="F38" i="3"/>
  <c r="F2" i="3"/>
  <c r="C3" i="3"/>
  <c r="C4" i="3"/>
  <c r="C5" i="3"/>
  <c r="C6" i="3"/>
  <c r="C7" i="3"/>
  <c r="C8" i="3"/>
  <c r="C9" i="3"/>
  <c r="C5" i="4" s="1" a="1"/>
  <c r="C5" i="4" s="1"/>
  <c r="C10" i="3"/>
  <c r="C11" i="3"/>
  <c r="C7" i="4" s="1" a="1"/>
  <c r="C7" i="4" s="1"/>
  <c r="C12" i="3"/>
  <c r="C8" i="4" s="1" a="1"/>
  <c r="C8" i="4" s="1"/>
  <c r="C13" i="3"/>
  <c r="C9" i="4" s="1" a="1"/>
  <c r="C9" i="4" s="1"/>
  <c r="C14" i="3"/>
  <c r="C10" i="4" s="1" a="1"/>
  <c r="C10" i="4" s="1"/>
  <c r="C15" i="3"/>
  <c r="C16" i="3"/>
  <c r="C17" i="3"/>
  <c r="C18" i="3"/>
  <c r="C14" i="4" s="1" a="1"/>
  <c r="C14" i="4" s="1"/>
  <c r="C19" i="3"/>
  <c r="C15" i="4" s="1" a="1"/>
  <c r="C15" i="4" s="1"/>
  <c r="C20" i="3"/>
  <c r="C21" i="3"/>
  <c r="C17" i="4" s="1" a="1"/>
  <c r="C17" i="4" s="1"/>
  <c r="C22" i="3"/>
  <c r="C23" i="3"/>
  <c r="C24" i="3"/>
  <c r="C20" i="4" s="1" a="1"/>
  <c r="C20" i="4" s="1"/>
  <c r="C25" i="3"/>
  <c r="C26" i="3"/>
  <c r="C22" i="4" s="1" a="1"/>
  <c r="C22" i="4" s="1"/>
  <c r="C27" i="3"/>
  <c r="C23" i="4" s="1" a="1"/>
  <c r="C23" i="4" s="1"/>
  <c r="C28" i="3"/>
  <c r="C24" i="4" s="1" a="1"/>
  <c r="C24" i="4" s="1"/>
  <c r="C29" i="3"/>
  <c r="C25" i="4" s="1" a="1"/>
  <c r="C25" i="4" s="1"/>
  <c r="C30" i="3"/>
  <c r="C26" i="4" s="1" a="1"/>
  <c r="C26" i="4" s="1"/>
  <c r="C31" i="3"/>
  <c r="C32" i="3"/>
  <c r="C28" i="4" s="1" a="1"/>
  <c r="C28" i="4" s="1"/>
  <c r="C33" i="3"/>
  <c r="C34" i="3"/>
  <c r="C35" i="3"/>
  <c r="C31" i="4" s="1" a="1"/>
  <c r="C31" i="4" s="1"/>
  <c r="C36" i="3"/>
  <c r="C37" i="3"/>
  <c r="C33" i="4" s="1" a="1"/>
  <c r="C33" i="4" s="1"/>
  <c r="C38" i="3"/>
  <c r="C2" i="3"/>
  <c r="Z61" i="4" a="1"/>
  <c r="Z61" i="4" s="1"/>
  <c r="Y61" i="4" a="1"/>
  <c r="Y61" i="4" s="1"/>
  <c r="X61" i="4" a="1"/>
  <c r="X61" i="4" s="1"/>
  <c r="W61" i="4" a="1"/>
  <c r="W61" i="4" s="1"/>
  <c r="V61" i="4" a="1"/>
  <c r="V61" i="4" s="1"/>
  <c r="U61" i="4" a="1"/>
  <c r="U61" i="4" s="1"/>
  <c r="T61" i="4" a="1"/>
  <c r="T61" i="4" s="1"/>
  <c r="S61" i="4" a="1"/>
  <c r="S61" i="4" s="1"/>
  <c r="R61" i="4" a="1"/>
  <c r="R61" i="4" s="1"/>
  <c r="P61" i="4" a="1"/>
  <c r="P61" i="4" s="1"/>
  <c r="O61" i="4" a="1"/>
  <c r="O61" i="4" s="1"/>
  <c r="N61" i="4" a="1"/>
  <c r="N61" i="4" s="1"/>
  <c r="M61" i="4" a="1"/>
  <c r="M61" i="4" s="1"/>
  <c r="L61" i="4" a="1"/>
  <c r="L61" i="4" s="1"/>
  <c r="K61" i="4" a="1"/>
  <c r="K61" i="4" s="1"/>
  <c r="J61" i="4" a="1"/>
  <c r="J61" i="4" s="1"/>
  <c r="I61" i="4" a="1"/>
  <c r="I61" i="4" s="1"/>
  <c r="H61" i="4" a="1"/>
  <c r="H61" i="4" s="1"/>
  <c r="G61" i="4" a="1"/>
  <c r="G61" i="4" s="1"/>
  <c r="F61" i="4" a="1"/>
  <c r="F61" i="4" s="1"/>
  <c r="E61" i="4" a="1"/>
  <c r="E61" i="4" s="1"/>
  <c r="D61" i="4" a="1"/>
  <c r="D61" i="4" s="1"/>
  <c r="C61" i="4" a="1"/>
  <c r="C61" i="4" s="1"/>
  <c r="P60" i="4" a="1"/>
  <c r="P60" i="4" s="1"/>
  <c r="O60" i="4" a="1"/>
  <c r="O60" i="4" s="1"/>
  <c r="N60" i="4" a="1"/>
  <c r="N60" i="4" s="1"/>
  <c r="M60" i="4" a="1"/>
  <c r="M60" i="4" s="1"/>
  <c r="L60" i="4" a="1"/>
  <c r="L60" i="4" s="1"/>
  <c r="K60" i="4" a="1"/>
  <c r="K60" i="4" s="1"/>
  <c r="J60" i="4" a="1"/>
  <c r="J60" i="4" s="1"/>
  <c r="I60" i="4" a="1"/>
  <c r="I60" i="4" s="1"/>
  <c r="H60" i="4" a="1"/>
  <c r="H60" i="4" s="1"/>
  <c r="G60" i="4" a="1"/>
  <c r="G60" i="4" s="1"/>
  <c r="F60" i="4" a="1"/>
  <c r="F60" i="4" s="1"/>
  <c r="E60" i="4" a="1"/>
  <c r="E60" i="4" s="1"/>
  <c r="D60" i="4" a="1"/>
  <c r="D60" i="4" s="1"/>
  <c r="C60" i="4" a="1"/>
  <c r="C60" i="4" s="1"/>
  <c r="P59" i="4" a="1"/>
  <c r="P59" i="4" s="1"/>
  <c r="O59" i="4" a="1"/>
  <c r="O59" i="4" s="1"/>
  <c r="N59" i="4" a="1"/>
  <c r="N59" i="4" s="1"/>
  <c r="M59" i="4" a="1"/>
  <c r="M59" i="4" s="1"/>
  <c r="L59" i="4" a="1"/>
  <c r="L59" i="4" s="1"/>
  <c r="K59" i="4" a="1"/>
  <c r="K59" i="4" s="1"/>
  <c r="J59" i="4" a="1"/>
  <c r="J59" i="4" s="1"/>
  <c r="I59" i="4" a="1"/>
  <c r="I59" i="4" s="1"/>
  <c r="H59" i="4"/>
  <c r="H59" i="4" a="1"/>
  <c r="G59" i="4" a="1"/>
  <c r="G59" i="4" s="1"/>
  <c r="F59" i="4" a="1"/>
  <c r="F59" i="4" s="1"/>
  <c r="E59" i="4" a="1"/>
  <c r="E59" i="4" s="1"/>
  <c r="D59" i="4" a="1"/>
  <c r="D59" i="4" s="1"/>
  <c r="C59" i="4" a="1"/>
  <c r="C59" i="4" s="1"/>
  <c r="P58" i="4" a="1"/>
  <c r="P58" i="4" s="1"/>
  <c r="O58" i="4" a="1"/>
  <c r="O58" i="4" s="1"/>
  <c r="N58" i="4" a="1"/>
  <c r="N58" i="4" s="1"/>
  <c r="M58" i="4"/>
  <c r="M58" i="4" a="1"/>
  <c r="L58" i="4" a="1"/>
  <c r="L58" i="4" s="1"/>
  <c r="K58" i="4" a="1"/>
  <c r="K58" i="4" s="1"/>
  <c r="J58" i="4" a="1"/>
  <c r="J58" i="4" s="1"/>
  <c r="I58" i="4"/>
  <c r="I58" i="4" a="1"/>
  <c r="H58" i="4" a="1"/>
  <c r="H58" i="4" s="1"/>
  <c r="F58" i="4" a="1"/>
  <c r="F58" i="4" s="1"/>
  <c r="E58" i="4" a="1"/>
  <c r="E58" i="4" s="1"/>
  <c r="D58" i="4" a="1"/>
  <c r="D58" i="4" s="1"/>
  <c r="C58" i="4" a="1"/>
  <c r="C58" i="4" s="1"/>
  <c r="P57" i="4" a="1"/>
  <c r="P57" i="4" s="1"/>
  <c r="O57" i="4" a="1"/>
  <c r="O57" i="4" s="1"/>
  <c r="N57" i="4" a="1"/>
  <c r="N57" i="4" s="1"/>
  <c r="M57" i="4" a="1"/>
  <c r="M57" i="4" s="1"/>
  <c r="L57" i="4" a="1"/>
  <c r="L57" i="4" s="1"/>
  <c r="K57" i="4" a="1"/>
  <c r="K57" i="4" s="1"/>
  <c r="J57" i="4" a="1"/>
  <c r="J57" i="4" s="1"/>
  <c r="I57" i="4" a="1"/>
  <c r="I57" i="4" s="1"/>
  <c r="H57" i="4" a="1"/>
  <c r="H57" i="4" s="1"/>
  <c r="F57" i="4" a="1"/>
  <c r="F57" i="4" s="1"/>
  <c r="E57" i="4" a="1"/>
  <c r="E57" i="4" s="1"/>
  <c r="D57" i="4"/>
  <c r="D57" i="4" a="1"/>
  <c r="C57" i="4" a="1"/>
  <c r="C57" i="4" s="1"/>
  <c r="P56" i="4" a="1"/>
  <c r="P56" i="4" s="1"/>
  <c r="O56" i="4" a="1"/>
  <c r="O56" i="4" s="1"/>
  <c r="N56" i="4" a="1"/>
  <c r="N56" i="4" s="1"/>
  <c r="M56" i="4" a="1"/>
  <c r="M56" i="4" s="1"/>
  <c r="L56" i="4" a="1"/>
  <c r="L56" i="4" s="1"/>
  <c r="K56" i="4" a="1"/>
  <c r="K56" i="4" s="1"/>
  <c r="J56" i="4" a="1"/>
  <c r="J56" i="4" s="1"/>
  <c r="I56" i="4" a="1"/>
  <c r="I56" i="4" s="1"/>
  <c r="H56" i="4" a="1"/>
  <c r="H56" i="4" s="1"/>
  <c r="F56" i="4" a="1"/>
  <c r="F56" i="4" s="1"/>
  <c r="E56" i="4" a="1"/>
  <c r="E56" i="4" s="1"/>
  <c r="D56" i="4" a="1"/>
  <c r="D56" i="4" s="1"/>
  <c r="C56" i="4" a="1"/>
  <c r="C56" i="4" s="1"/>
  <c r="P55" i="4" a="1"/>
  <c r="P55" i="4" s="1"/>
  <c r="O55" i="4"/>
  <c r="O55" i="4" a="1"/>
  <c r="N55" i="4" a="1"/>
  <c r="N55" i="4" s="1"/>
  <c r="M55" i="4" a="1"/>
  <c r="M55" i="4" s="1"/>
  <c r="L55" i="4" a="1"/>
  <c r="L55" i="4" s="1"/>
  <c r="K55" i="4" a="1"/>
  <c r="K55" i="4" s="1"/>
  <c r="J55" i="4" a="1"/>
  <c r="J55" i="4" s="1"/>
  <c r="I55" i="4" a="1"/>
  <c r="I55" i="4" s="1"/>
  <c r="H55" i="4" a="1"/>
  <c r="H55" i="4" s="1"/>
  <c r="G55" i="4" a="1"/>
  <c r="G55" i="4" s="1"/>
  <c r="F55" i="4" a="1"/>
  <c r="F55" i="4" s="1"/>
  <c r="E55" i="4" a="1"/>
  <c r="E55" i="4" s="1"/>
  <c r="D55" i="4" a="1"/>
  <c r="D55" i="4" s="1"/>
  <c r="C55" i="4" a="1"/>
  <c r="C55" i="4" s="1"/>
  <c r="P54" i="4" a="1"/>
  <c r="P54" i="4" s="1"/>
  <c r="O54" i="4" a="1"/>
  <c r="O54" i="4" s="1"/>
  <c r="N54" i="4" a="1"/>
  <c r="N54" i="4" s="1"/>
  <c r="M54" i="4" a="1"/>
  <c r="M54" i="4" s="1"/>
  <c r="L54" i="4" a="1"/>
  <c r="L54" i="4" s="1"/>
  <c r="K54" i="4" a="1"/>
  <c r="K54" i="4" s="1"/>
  <c r="J54" i="4" a="1"/>
  <c r="J54" i="4" s="1"/>
  <c r="I54" i="4" a="1"/>
  <c r="I54" i="4" s="1"/>
  <c r="H54" i="4" a="1"/>
  <c r="H54" i="4" s="1"/>
  <c r="G54" i="4" a="1"/>
  <c r="G54" i="4" s="1"/>
  <c r="F54" i="4" a="1"/>
  <c r="F54" i="4" s="1"/>
  <c r="E54" i="4" a="1"/>
  <c r="E54" i="4" s="1"/>
  <c r="D54" i="4" a="1"/>
  <c r="D54" i="4" s="1"/>
  <c r="C54" i="4" a="1"/>
  <c r="C54" i="4" s="1"/>
  <c r="P53" i="4" a="1"/>
  <c r="P53" i="4" s="1"/>
  <c r="O53" i="4" a="1"/>
  <c r="O53" i="4" s="1"/>
  <c r="N53" i="4" a="1"/>
  <c r="N53" i="4" s="1"/>
  <c r="M53" i="4" a="1"/>
  <c r="M53" i="4" s="1"/>
  <c r="L53" i="4" a="1"/>
  <c r="L53" i="4" s="1"/>
  <c r="K53" i="4" a="1"/>
  <c r="K53" i="4" s="1"/>
  <c r="J53" i="4" a="1"/>
  <c r="J53" i="4" s="1"/>
  <c r="I53" i="4" a="1"/>
  <c r="I53" i="4" s="1"/>
  <c r="H53" i="4" a="1"/>
  <c r="H53" i="4" s="1"/>
  <c r="F53" i="4" a="1"/>
  <c r="F53" i="4" s="1"/>
  <c r="E53" i="4" a="1"/>
  <c r="E53" i="4" s="1"/>
  <c r="D53" i="4" a="1"/>
  <c r="D53" i="4" s="1"/>
  <c r="C53" i="4" a="1"/>
  <c r="C53" i="4" s="1"/>
  <c r="P52" i="4" a="1"/>
  <c r="P52" i="4" s="1"/>
  <c r="O52" i="4" a="1"/>
  <c r="O52" i="4" s="1"/>
  <c r="N52" i="4" a="1"/>
  <c r="N52" i="4" s="1"/>
  <c r="M52" i="4"/>
  <c r="M52" i="4" a="1"/>
  <c r="L52" i="4" a="1"/>
  <c r="L52" i="4" s="1"/>
  <c r="K52" i="4" a="1"/>
  <c r="K52" i="4" s="1"/>
  <c r="J52" i="4" a="1"/>
  <c r="J52" i="4" s="1"/>
  <c r="I52" i="4" a="1"/>
  <c r="I52" i="4" s="1"/>
  <c r="H52" i="4" a="1"/>
  <c r="H52" i="4" s="1"/>
  <c r="F52" i="4" a="1"/>
  <c r="F52" i="4" s="1"/>
  <c r="E52" i="4" a="1"/>
  <c r="E52" i="4" s="1"/>
  <c r="D52" i="4" a="1"/>
  <c r="D52" i="4" s="1"/>
  <c r="C52" i="4" a="1"/>
  <c r="C52" i="4" s="1"/>
  <c r="P51" i="4" a="1"/>
  <c r="P51" i="4" s="1"/>
  <c r="O51" i="4" a="1"/>
  <c r="O51" i="4" s="1"/>
  <c r="N51" i="4" a="1"/>
  <c r="N51" i="4" s="1"/>
  <c r="M51" i="4" a="1"/>
  <c r="M51" i="4" s="1"/>
  <c r="L51" i="4" a="1"/>
  <c r="L51" i="4" s="1"/>
  <c r="K51" i="4"/>
  <c r="K51" i="4" a="1"/>
  <c r="J51" i="4" a="1"/>
  <c r="J51" i="4" s="1"/>
  <c r="I51" i="4" a="1"/>
  <c r="I51" i="4" s="1"/>
  <c r="H51" i="4" a="1"/>
  <c r="H51" i="4" s="1"/>
  <c r="G51" i="4" a="1"/>
  <c r="G51" i="4" s="1"/>
  <c r="F51" i="4" a="1"/>
  <c r="F51" i="4" s="1"/>
  <c r="E51" i="4" a="1"/>
  <c r="E51" i="4" s="1"/>
  <c r="D51" i="4" a="1"/>
  <c r="D51" i="4" s="1"/>
  <c r="C51" i="4" a="1"/>
  <c r="C51" i="4" s="1"/>
  <c r="P50" i="4" a="1"/>
  <c r="P50" i="4" s="1"/>
  <c r="O50" i="4" a="1"/>
  <c r="O50" i="4" s="1"/>
  <c r="N50" i="4"/>
  <c r="N50" i="4" a="1"/>
  <c r="M50" i="4" a="1"/>
  <c r="M50" i="4" s="1"/>
  <c r="L50" i="4" a="1"/>
  <c r="L50" i="4" s="1"/>
  <c r="K50" i="4" a="1"/>
  <c r="K50" i="4" s="1"/>
  <c r="J50" i="4" a="1"/>
  <c r="J50" i="4" s="1"/>
  <c r="I50" i="4" a="1"/>
  <c r="I50" i="4" s="1"/>
  <c r="H50" i="4" a="1"/>
  <c r="H50" i="4" s="1"/>
  <c r="G50" i="4" a="1"/>
  <c r="G50" i="4" s="1"/>
  <c r="F50" i="4" a="1"/>
  <c r="F50" i="4" s="1"/>
  <c r="E50" i="4" a="1"/>
  <c r="E50" i="4" s="1"/>
  <c r="D50" i="4" a="1"/>
  <c r="D50" i="4" s="1"/>
  <c r="C50" i="4" a="1"/>
  <c r="C50" i="4" s="1"/>
  <c r="P49" i="4" a="1"/>
  <c r="P49" i="4" s="1"/>
  <c r="O49" i="4" a="1"/>
  <c r="O49" i="4" s="1"/>
  <c r="N49" i="4" a="1"/>
  <c r="N49" i="4" s="1"/>
  <c r="M49" i="4" a="1"/>
  <c r="M49" i="4" s="1"/>
  <c r="L49" i="4" a="1"/>
  <c r="L49" i="4" s="1"/>
  <c r="K49" i="4" a="1"/>
  <c r="K49" i="4" s="1"/>
  <c r="J49" i="4" a="1"/>
  <c r="J49" i="4" s="1"/>
  <c r="I49" i="4" a="1"/>
  <c r="I49" i="4" s="1"/>
  <c r="H49" i="4"/>
  <c r="H49" i="4" a="1"/>
  <c r="F49" i="4" a="1"/>
  <c r="F49" i="4" s="1"/>
  <c r="E49" i="4" a="1"/>
  <c r="E49" i="4" s="1"/>
  <c r="D49" i="4" a="1"/>
  <c r="D49" i="4" s="1"/>
  <c r="C49" i="4" a="1"/>
  <c r="C49" i="4" s="1"/>
  <c r="P48" i="4" a="1"/>
  <c r="P48" i="4" s="1"/>
  <c r="O48" i="4" a="1"/>
  <c r="O48" i="4" s="1"/>
  <c r="N48" i="4" a="1"/>
  <c r="N48" i="4" s="1"/>
  <c r="M48" i="4" a="1"/>
  <c r="M48" i="4" s="1"/>
  <c r="L48" i="4" a="1"/>
  <c r="L48" i="4" s="1"/>
  <c r="K48" i="4" a="1"/>
  <c r="K48" i="4" s="1"/>
  <c r="J48" i="4" a="1"/>
  <c r="J48" i="4" s="1"/>
  <c r="I48" i="4" a="1"/>
  <c r="I48" i="4" s="1"/>
  <c r="H48" i="4" a="1"/>
  <c r="H48" i="4" s="1"/>
  <c r="G48" i="4" a="1"/>
  <c r="G48" i="4" s="1"/>
  <c r="F48" i="4" a="1"/>
  <c r="F48" i="4" s="1"/>
  <c r="E48" i="4" a="1"/>
  <c r="E48" i="4" s="1"/>
  <c r="D48" i="4" a="1"/>
  <c r="D48" i="4" s="1"/>
  <c r="C48" i="4" a="1"/>
  <c r="C48" i="4" s="1"/>
  <c r="P47" i="4" a="1"/>
  <c r="P47" i="4" s="1"/>
  <c r="O47" i="4" a="1"/>
  <c r="O47" i="4" s="1"/>
  <c r="N47" i="4"/>
  <c r="N47" i="4" a="1"/>
  <c r="M47" i="4" a="1"/>
  <c r="M47" i="4" s="1"/>
  <c r="L47" i="4" a="1"/>
  <c r="L47" i="4" s="1"/>
  <c r="K47" i="4" a="1"/>
  <c r="K47" i="4" s="1"/>
  <c r="J47" i="4" a="1"/>
  <c r="J47" i="4" s="1"/>
  <c r="I47" i="4" a="1"/>
  <c r="I47" i="4" s="1"/>
  <c r="H47" i="4" a="1"/>
  <c r="H47" i="4" s="1"/>
  <c r="G47" i="4" a="1"/>
  <c r="G47" i="4" s="1"/>
  <c r="F47" i="4" a="1"/>
  <c r="F47" i="4" s="1"/>
  <c r="E47" i="4" a="1"/>
  <c r="E47" i="4" s="1"/>
  <c r="D47" i="4" a="1"/>
  <c r="D47" i="4" s="1"/>
  <c r="C47" i="4" a="1"/>
  <c r="C47" i="4" s="1"/>
  <c r="P46" i="4" a="1"/>
  <c r="P46" i="4" s="1"/>
  <c r="O46" i="4" a="1"/>
  <c r="O46" i="4" s="1"/>
  <c r="N46" i="4" a="1"/>
  <c r="N46" i="4" s="1"/>
  <c r="M46" i="4" a="1"/>
  <c r="M46" i="4" s="1"/>
  <c r="L46" i="4" a="1"/>
  <c r="L46" i="4" s="1"/>
  <c r="K46" i="4" a="1"/>
  <c r="K46" i="4" s="1"/>
  <c r="J46" i="4" a="1"/>
  <c r="J46" i="4" s="1"/>
  <c r="I46" i="4" a="1"/>
  <c r="I46" i="4" s="1"/>
  <c r="H46" i="4" a="1"/>
  <c r="H46" i="4" s="1"/>
  <c r="G46" i="4" a="1"/>
  <c r="G46" i="4" s="1"/>
  <c r="F46" i="4" a="1"/>
  <c r="F46" i="4" s="1"/>
  <c r="E46" i="4" a="1"/>
  <c r="E46" i="4" s="1"/>
  <c r="D46" i="4" a="1"/>
  <c r="D46" i="4" s="1"/>
  <c r="C46" i="4" a="1"/>
  <c r="C46" i="4" s="1"/>
  <c r="P45" i="4" a="1"/>
  <c r="P45" i="4" s="1"/>
  <c r="O45" i="4" a="1"/>
  <c r="O45" i="4" s="1"/>
  <c r="N45" i="4" a="1"/>
  <c r="N45" i="4" s="1"/>
  <c r="M45" i="4" a="1"/>
  <c r="M45" i="4" s="1"/>
  <c r="L45" i="4"/>
  <c r="L45" i="4" a="1"/>
  <c r="K45" i="4" a="1"/>
  <c r="K45" i="4" s="1"/>
  <c r="J45" i="4" a="1"/>
  <c r="J45" i="4" s="1"/>
  <c r="I45" i="4" a="1"/>
  <c r="I45" i="4" s="1"/>
  <c r="H45" i="4" a="1"/>
  <c r="H45" i="4" s="1"/>
  <c r="G45" i="4" a="1"/>
  <c r="G45" i="4" s="1"/>
  <c r="F45" i="4"/>
  <c r="F45" i="4" a="1"/>
  <c r="E45" i="4" a="1"/>
  <c r="E45" i="4" s="1"/>
  <c r="D45" i="4" a="1"/>
  <c r="D45" i="4" s="1"/>
  <c r="C45" i="4" a="1"/>
  <c r="C45" i="4" s="1"/>
  <c r="P44" i="4" a="1"/>
  <c r="P44" i="4" s="1"/>
  <c r="O44" i="4" a="1"/>
  <c r="O44" i="4" s="1"/>
  <c r="N44" i="4" a="1"/>
  <c r="N44" i="4" s="1"/>
  <c r="M44" i="4" a="1"/>
  <c r="M44" i="4" s="1"/>
  <c r="L44" i="4" a="1"/>
  <c r="L44" i="4" s="1"/>
  <c r="K44" i="4" a="1"/>
  <c r="K44" i="4" s="1"/>
  <c r="J44" i="4" a="1"/>
  <c r="J44" i="4" s="1"/>
  <c r="I44" i="4" a="1"/>
  <c r="I44" i="4" s="1"/>
  <c r="H44" i="4" a="1"/>
  <c r="H44" i="4" s="1"/>
  <c r="G44" i="4" a="1"/>
  <c r="G44" i="4" s="1"/>
  <c r="F44" i="4" a="1"/>
  <c r="F44" i="4" s="1"/>
  <c r="E44" i="4" a="1"/>
  <c r="E44" i="4" s="1"/>
  <c r="D44" i="4" a="1"/>
  <c r="D44" i="4" s="1"/>
  <c r="C44" i="4" a="1"/>
  <c r="C44" i="4" s="1"/>
  <c r="P43" i="4" a="1"/>
  <c r="P43" i="4" s="1"/>
  <c r="O43" i="4" a="1"/>
  <c r="O43" i="4" s="1"/>
  <c r="N43" i="4" a="1"/>
  <c r="N43" i="4" s="1"/>
  <c r="M43" i="4" a="1"/>
  <c r="M43" i="4" s="1"/>
  <c r="L43" i="4" a="1"/>
  <c r="L43" i="4" s="1"/>
  <c r="K43" i="4" a="1"/>
  <c r="K43" i="4" s="1"/>
  <c r="J43" i="4" a="1"/>
  <c r="J43" i="4" s="1"/>
  <c r="I43" i="4" a="1"/>
  <c r="I43" i="4" s="1"/>
  <c r="H43" i="4" a="1"/>
  <c r="H43" i="4" s="1"/>
  <c r="F43" i="4" a="1"/>
  <c r="F43" i="4" s="1"/>
  <c r="E43" i="4" a="1"/>
  <c r="E43" i="4" s="1"/>
  <c r="D43" i="4" a="1"/>
  <c r="D43" i="4" s="1"/>
  <c r="C43" i="4" a="1"/>
  <c r="C43" i="4" s="1"/>
  <c r="P42" i="4" a="1"/>
  <c r="P42" i="4" s="1"/>
  <c r="O42" i="4" a="1"/>
  <c r="O42" i="4" s="1"/>
  <c r="N42" i="4" a="1"/>
  <c r="N42" i="4" s="1"/>
  <c r="M42" i="4" a="1"/>
  <c r="M42" i="4" s="1"/>
  <c r="L42" i="4" a="1"/>
  <c r="L42" i="4" s="1"/>
  <c r="K42" i="4" a="1"/>
  <c r="K42" i="4" s="1"/>
  <c r="J42" i="4" a="1"/>
  <c r="J42" i="4" s="1"/>
  <c r="I42" i="4" a="1"/>
  <c r="I42" i="4" s="1"/>
  <c r="H42" i="4" a="1"/>
  <c r="H42" i="4" s="1"/>
  <c r="F42" i="4" a="1"/>
  <c r="F42" i="4" s="1"/>
  <c r="E42" i="4" a="1"/>
  <c r="E42" i="4" s="1"/>
  <c r="D42" i="4"/>
  <c r="D42" i="4" a="1"/>
  <c r="C42" i="4" a="1"/>
  <c r="C42" i="4" s="1"/>
  <c r="P41" i="4" a="1"/>
  <c r="P41" i="4" s="1"/>
  <c r="O41" i="4" a="1"/>
  <c r="O41" i="4" s="1"/>
  <c r="N41" i="4" a="1"/>
  <c r="N41" i="4" s="1"/>
  <c r="M41" i="4" a="1"/>
  <c r="M41" i="4" s="1"/>
  <c r="L41" i="4" a="1"/>
  <c r="L41" i="4" s="1"/>
  <c r="K41" i="4" a="1"/>
  <c r="K41" i="4" s="1"/>
  <c r="J41" i="4" a="1"/>
  <c r="J41" i="4" s="1"/>
  <c r="I41" i="4" a="1"/>
  <c r="I41" i="4" s="1"/>
  <c r="H41" i="4" a="1"/>
  <c r="H41" i="4" s="1"/>
  <c r="F41" i="4" a="1"/>
  <c r="F41" i="4" s="1"/>
  <c r="E41" i="4" a="1"/>
  <c r="E41" i="4" s="1"/>
  <c r="D41" i="4" a="1"/>
  <c r="D41" i="4" s="1"/>
  <c r="C41" i="4" a="1"/>
  <c r="C41" i="4" s="1"/>
  <c r="P40" i="4" a="1"/>
  <c r="P40" i="4" s="1"/>
  <c r="O40" i="4" a="1"/>
  <c r="O40" i="4" s="1"/>
  <c r="N40" i="4" a="1"/>
  <c r="N40" i="4" s="1"/>
  <c r="M40" i="4" a="1"/>
  <c r="M40" i="4" s="1"/>
  <c r="L40" i="4" a="1"/>
  <c r="L40" i="4" s="1"/>
  <c r="K40" i="4"/>
  <c r="K40" i="4" a="1"/>
  <c r="J40" i="4" a="1"/>
  <c r="J40" i="4" s="1"/>
  <c r="I40" i="4" a="1"/>
  <c r="I40" i="4" s="1"/>
  <c r="H40" i="4" a="1"/>
  <c r="H40" i="4" s="1"/>
  <c r="F40" i="4" a="1"/>
  <c r="F40" i="4" s="1"/>
  <c r="E40" i="4" a="1"/>
  <c r="E40" i="4" s="1"/>
  <c r="D40" i="4" a="1"/>
  <c r="D40" i="4" s="1"/>
  <c r="C40" i="4" a="1"/>
  <c r="C40" i="4" s="1"/>
  <c r="P39" i="4" a="1"/>
  <c r="P39" i="4" s="1"/>
  <c r="O39" i="4" a="1"/>
  <c r="O39" i="4" s="1"/>
  <c r="N39" i="4" a="1"/>
  <c r="N39" i="4" s="1"/>
  <c r="M39" i="4" a="1"/>
  <c r="M39" i="4" s="1"/>
  <c r="L39" i="4" a="1"/>
  <c r="L39" i="4" s="1"/>
  <c r="K39" i="4" a="1"/>
  <c r="K39" i="4" s="1"/>
  <c r="J39" i="4" a="1"/>
  <c r="J39" i="4" s="1"/>
  <c r="I39" i="4" a="1"/>
  <c r="I39" i="4" s="1"/>
  <c r="H39" i="4" a="1"/>
  <c r="H39" i="4" s="1"/>
  <c r="F39" i="4" a="1"/>
  <c r="F39" i="4" s="1"/>
  <c r="E39" i="4" a="1"/>
  <c r="E39" i="4" s="1"/>
  <c r="D39" i="4" a="1"/>
  <c r="D39" i="4" s="1"/>
  <c r="C39" i="4" a="1"/>
  <c r="C39" i="4" s="1"/>
  <c r="P38" i="4" a="1"/>
  <c r="P38" i="4" s="1"/>
  <c r="O38" i="4" a="1"/>
  <c r="O38" i="4" s="1"/>
  <c r="N38" i="4" a="1"/>
  <c r="N38" i="4" s="1"/>
  <c r="M38" i="4" a="1"/>
  <c r="M38" i="4" s="1"/>
  <c r="L38" i="4" a="1"/>
  <c r="L38" i="4" s="1"/>
  <c r="K38" i="4" a="1"/>
  <c r="K38" i="4" s="1"/>
  <c r="J38" i="4" a="1"/>
  <c r="J38" i="4" s="1"/>
  <c r="I38" i="4" a="1"/>
  <c r="I38" i="4" s="1"/>
  <c r="H38" i="4" a="1"/>
  <c r="H38" i="4" s="1"/>
  <c r="G38" i="4" a="1"/>
  <c r="G38" i="4" s="1"/>
  <c r="F38" i="4" a="1"/>
  <c r="F38" i="4" s="1"/>
  <c r="E38" i="4" a="1"/>
  <c r="E38" i="4" s="1"/>
  <c r="D38" i="4" a="1"/>
  <c r="D38" i="4" s="1"/>
  <c r="C38" i="4" a="1"/>
  <c r="C38" i="4" s="1"/>
  <c r="P37" i="4" a="1"/>
  <c r="P37" i="4" s="1"/>
  <c r="O37" i="4" a="1"/>
  <c r="O37" i="4" s="1"/>
  <c r="N37" i="4" a="1"/>
  <c r="N37" i="4" s="1"/>
  <c r="M37" i="4" a="1"/>
  <c r="M37" i="4" s="1"/>
  <c r="L37" i="4" a="1"/>
  <c r="L37" i="4" s="1"/>
  <c r="K37" i="4" a="1"/>
  <c r="K37" i="4" s="1"/>
  <c r="J37" i="4" a="1"/>
  <c r="J37" i="4" s="1"/>
  <c r="I37" i="4" a="1"/>
  <c r="I37" i="4" s="1"/>
  <c r="H37" i="4" a="1"/>
  <c r="H37" i="4" s="1"/>
  <c r="F37" i="4" a="1"/>
  <c r="F37" i="4" s="1"/>
  <c r="E37" i="4" a="1"/>
  <c r="E37" i="4" s="1"/>
  <c r="D37" i="4" a="1"/>
  <c r="D37" i="4" s="1"/>
  <c r="C37" i="4" a="1"/>
  <c r="C37" i="4" s="1"/>
  <c r="P36" i="4" a="1"/>
  <c r="P36" i="4" s="1"/>
  <c r="O36" i="4" a="1"/>
  <c r="O36" i="4" s="1"/>
  <c r="N36" i="4" a="1"/>
  <c r="N36" i="4" s="1"/>
  <c r="M36" i="4" a="1"/>
  <c r="M36" i="4" s="1"/>
  <c r="L36" i="4" a="1"/>
  <c r="L36" i="4" s="1"/>
  <c r="K36" i="4" a="1"/>
  <c r="K36" i="4" s="1"/>
  <c r="J36" i="4" a="1"/>
  <c r="J36" i="4" s="1"/>
  <c r="I36" i="4" a="1"/>
  <c r="I36" i="4" s="1"/>
  <c r="H36" i="4" a="1"/>
  <c r="H36" i="4" s="1"/>
  <c r="G36" i="4" a="1"/>
  <c r="G36" i="4" s="1"/>
  <c r="F36" i="4" a="1"/>
  <c r="F36" i="4" s="1"/>
  <c r="E36" i="4" a="1"/>
  <c r="E36" i="4" s="1"/>
  <c r="D36" i="4" a="1"/>
  <c r="D36" i="4" s="1"/>
  <c r="C36" i="4" a="1"/>
  <c r="C36" i="4" s="1"/>
  <c r="P35" i="4"/>
  <c r="P35" i="4" a="1"/>
  <c r="O35" i="4" a="1"/>
  <c r="O35" i="4" s="1"/>
  <c r="N35" i="4" a="1"/>
  <c r="N35" i="4" s="1"/>
  <c r="M35" i="4" a="1"/>
  <c r="M35" i="4" s="1"/>
  <c r="L35" i="4" a="1"/>
  <c r="L35" i="4" s="1"/>
  <c r="K35" i="4" a="1"/>
  <c r="K35" i="4" s="1"/>
  <c r="J35" i="4" a="1"/>
  <c r="J35" i="4" s="1"/>
  <c r="I35" i="4" a="1"/>
  <c r="I35" i="4" s="1"/>
  <c r="H35" i="4"/>
  <c r="H35" i="4" a="1"/>
  <c r="G35" i="4" a="1"/>
  <c r="G35" i="4" s="1"/>
  <c r="F35" i="4" a="1"/>
  <c r="F35" i="4" s="1"/>
  <c r="E35" i="4" a="1"/>
  <c r="E35" i="4" s="1"/>
  <c r="D35" i="4" a="1"/>
  <c r="D35" i="4" s="1"/>
  <c r="C35" i="4" a="1"/>
  <c r="C35" i="4" s="1"/>
  <c r="P34" i="4" a="1"/>
  <c r="P34" i="4" s="1"/>
  <c r="O34" i="4" a="1"/>
  <c r="O34" i="4" s="1"/>
  <c r="N34" i="4" a="1"/>
  <c r="N34" i="4" s="1"/>
  <c r="M34" i="4" a="1"/>
  <c r="M34" i="4" s="1"/>
  <c r="L34" i="4" a="1"/>
  <c r="L34" i="4" s="1"/>
  <c r="K34" i="4" a="1"/>
  <c r="K34" i="4" s="1"/>
  <c r="J34" i="4" a="1"/>
  <c r="J34" i="4" s="1"/>
  <c r="I34" i="4" a="1"/>
  <c r="I34" i="4" s="1"/>
  <c r="H34" i="4" a="1"/>
  <c r="H34" i="4" s="1"/>
  <c r="G34" i="4" a="1"/>
  <c r="G34" i="4" s="1"/>
  <c r="F34" i="4" a="1"/>
  <c r="F34" i="4" s="1"/>
  <c r="E34" i="4"/>
  <c r="E34" i="4" a="1"/>
  <c r="D34" i="4" a="1"/>
  <c r="D34" i="4" s="1"/>
  <c r="C34" i="4" a="1"/>
  <c r="C34" i="4" s="1"/>
  <c r="P33" i="4" a="1"/>
  <c r="P33" i="4" s="1"/>
  <c r="O33" i="4" a="1"/>
  <c r="O33" i="4" s="1"/>
  <c r="N33" i="4" a="1"/>
  <c r="N33" i="4" s="1"/>
  <c r="M33" i="4"/>
  <c r="M33" i="4" a="1"/>
  <c r="L33" i="4" a="1"/>
  <c r="L33" i="4" s="1"/>
  <c r="K33" i="4" a="1"/>
  <c r="K33" i="4" s="1"/>
  <c r="J33" i="4"/>
  <c r="F33" i="4" a="1"/>
  <c r="F33" i="4" s="1"/>
  <c r="E33" i="4" a="1"/>
  <c r="E33" i="4" s="1"/>
  <c r="D33" i="4" a="1"/>
  <c r="D33" i="4" s="1"/>
  <c r="Z32" i="4" a="1"/>
  <c r="Z32" i="4" s="1"/>
  <c r="Y32" i="4" a="1"/>
  <c r="Y32" i="4" s="1"/>
  <c r="X32" i="4" a="1"/>
  <c r="X32" i="4" s="1"/>
  <c r="W32" i="4" a="1"/>
  <c r="W32" i="4" s="1"/>
  <c r="V32" i="4" a="1"/>
  <c r="V32" i="4" s="1"/>
  <c r="U32" i="4" a="1"/>
  <c r="U32" i="4" s="1"/>
  <c r="T32" i="4" a="1"/>
  <c r="T32" i="4" s="1"/>
  <c r="S32" i="4" a="1"/>
  <c r="S32" i="4" s="1"/>
  <c r="R32" i="4" a="1"/>
  <c r="R32" i="4" s="1"/>
  <c r="P32" i="4" a="1"/>
  <c r="P32" i="4" s="1"/>
  <c r="O32" i="4" a="1"/>
  <c r="O32" i="4" s="1"/>
  <c r="N32" i="4" a="1"/>
  <c r="N32" i="4" s="1"/>
  <c r="M32" i="4" a="1"/>
  <c r="M32" i="4" s="1"/>
  <c r="K32" i="4" a="1"/>
  <c r="K32" i="4" s="1"/>
  <c r="J32" i="4" a="1"/>
  <c r="J32" i="4" s="1"/>
  <c r="E32" i="4" a="1"/>
  <c r="E32" i="4" s="1"/>
  <c r="D32" i="4" a="1"/>
  <c r="D32" i="4" s="1"/>
  <c r="C32" i="4" a="1"/>
  <c r="C32" i="4" s="1"/>
  <c r="Z31" i="4" a="1"/>
  <c r="Z31" i="4" s="1"/>
  <c r="Y31" i="4" a="1"/>
  <c r="Y31" i="4" s="1"/>
  <c r="X31" i="4" a="1"/>
  <c r="X31" i="4" s="1"/>
  <c r="W31" i="4" a="1"/>
  <c r="W31" i="4" s="1"/>
  <c r="V31" i="4" a="1"/>
  <c r="V31" i="4" s="1"/>
  <c r="U31" i="4" a="1"/>
  <c r="U31" i="4" s="1"/>
  <c r="T31" i="4" a="1"/>
  <c r="T31" i="4" s="1"/>
  <c r="S31" i="4" a="1"/>
  <c r="S31" i="4" s="1"/>
  <c r="R31" i="4" a="1"/>
  <c r="R31" i="4" s="1"/>
  <c r="P31" i="4" a="1"/>
  <c r="P31" i="4" s="1"/>
  <c r="O31" i="4" a="1"/>
  <c r="O31" i="4" s="1"/>
  <c r="N31" i="4" a="1"/>
  <c r="N31" i="4" s="1"/>
  <c r="M31" i="4" a="1"/>
  <c r="M31" i="4" s="1"/>
  <c r="K31" i="4" a="1"/>
  <c r="K31" i="4" s="1"/>
  <c r="J31" i="4" a="1"/>
  <c r="J31" i="4" s="1"/>
  <c r="I31" i="4" a="1"/>
  <c r="I31" i="4" s="1"/>
  <c r="G31" i="4" a="1"/>
  <c r="G31" i="4" s="1"/>
  <c r="F31" i="4" a="1"/>
  <c r="F31" i="4" s="1"/>
  <c r="E31" i="4" a="1"/>
  <c r="E31" i="4" s="1"/>
  <c r="D31" i="4" a="1"/>
  <c r="D31" i="4" s="1"/>
  <c r="Z30" i="4" a="1"/>
  <c r="Z30" i="4" s="1"/>
  <c r="Y30" i="4" a="1"/>
  <c r="Y30" i="4" s="1"/>
  <c r="X30" i="4" a="1"/>
  <c r="X30" i="4" s="1"/>
  <c r="W30" i="4" a="1"/>
  <c r="W30" i="4" s="1"/>
  <c r="V30" i="4" a="1"/>
  <c r="V30" i="4" s="1"/>
  <c r="U30" i="4" a="1"/>
  <c r="U30" i="4" s="1"/>
  <c r="T30" i="4" a="1"/>
  <c r="T30" i="4" s="1"/>
  <c r="S30" i="4" a="1"/>
  <c r="S30" i="4" s="1"/>
  <c r="R30" i="4" a="1"/>
  <c r="R30" i="4" s="1"/>
  <c r="P30" i="4" a="1"/>
  <c r="P30" i="4" s="1"/>
  <c r="O30" i="4" a="1"/>
  <c r="O30" i="4" s="1"/>
  <c r="N30" i="4" a="1"/>
  <c r="N30" i="4" s="1"/>
  <c r="M30" i="4" a="1"/>
  <c r="M30" i="4" s="1"/>
  <c r="K30" i="4" a="1"/>
  <c r="K30" i="4" s="1"/>
  <c r="E30" i="4" a="1"/>
  <c r="E30" i="4" s="1"/>
  <c r="D30" i="4" a="1"/>
  <c r="D30" i="4" s="1"/>
  <c r="Z29" i="4" a="1"/>
  <c r="Z29" i="4" s="1"/>
  <c r="Y29" i="4" a="1"/>
  <c r="Y29" i="4" s="1"/>
  <c r="X29" i="4" a="1"/>
  <c r="X29" i="4" s="1"/>
  <c r="W29" i="4" a="1"/>
  <c r="W29" i="4" s="1"/>
  <c r="V29" i="4" a="1"/>
  <c r="V29" i="4" s="1"/>
  <c r="U29" i="4" a="1"/>
  <c r="U29" i="4" s="1"/>
  <c r="T29" i="4" a="1"/>
  <c r="T29" i="4" s="1"/>
  <c r="S29" i="4" a="1"/>
  <c r="S29" i="4" s="1"/>
  <c r="R29" i="4" a="1"/>
  <c r="R29" i="4" s="1"/>
  <c r="P29" i="4" a="1"/>
  <c r="P29" i="4" s="1"/>
  <c r="O29" i="4" a="1"/>
  <c r="O29" i="4" s="1"/>
  <c r="N29" i="4" a="1"/>
  <c r="N29" i="4" s="1"/>
  <c r="M29" i="4" a="1"/>
  <c r="M29" i="4" s="1"/>
  <c r="K29" i="4" a="1"/>
  <c r="K29" i="4" s="1"/>
  <c r="E29" i="4" a="1"/>
  <c r="E29" i="4" s="1"/>
  <c r="D29" i="4" a="1"/>
  <c r="D29" i="4" s="1"/>
  <c r="C29" i="4" a="1"/>
  <c r="C29" i="4" s="1"/>
  <c r="Z28" i="4" a="1"/>
  <c r="Z28" i="4" s="1"/>
  <c r="Y28" i="4" a="1"/>
  <c r="Y28" i="4" s="1"/>
  <c r="X28" i="4" a="1"/>
  <c r="X28" i="4" s="1"/>
  <c r="W28" i="4" a="1"/>
  <c r="W28" i="4" s="1"/>
  <c r="V28" i="4" a="1"/>
  <c r="V28" i="4" s="1"/>
  <c r="U28" i="4" a="1"/>
  <c r="U28" i="4" s="1"/>
  <c r="T28" i="4" a="1"/>
  <c r="T28" i="4" s="1"/>
  <c r="S28" i="4" a="1"/>
  <c r="S28" i="4" s="1"/>
  <c r="R28" i="4" a="1"/>
  <c r="R28" i="4" s="1"/>
  <c r="P28" i="4" a="1"/>
  <c r="P28" i="4" s="1"/>
  <c r="O28" i="4" a="1"/>
  <c r="O28" i="4" s="1"/>
  <c r="N28" i="4" a="1"/>
  <c r="N28" i="4" s="1"/>
  <c r="M28" i="4" a="1"/>
  <c r="M28" i="4" s="1"/>
  <c r="K28" i="4" a="1"/>
  <c r="K28" i="4" s="1"/>
  <c r="I28" i="4" a="1"/>
  <c r="I28" i="4" s="1"/>
  <c r="G28" i="4" a="1"/>
  <c r="G28" i="4" s="1"/>
  <c r="E28" i="4" a="1"/>
  <c r="E28" i="4" s="1"/>
  <c r="D28" i="4" a="1"/>
  <c r="D28" i="4" s="1"/>
  <c r="Z27" i="4" a="1"/>
  <c r="Z27" i="4" s="1"/>
  <c r="Y27" i="4" a="1"/>
  <c r="Y27" i="4" s="1"/>
  <c r="X27" i="4" a="1"/>
  <c r="X27" i="4" s="1"/>
  <c r="W27" i="4" a="1"/>
  <c r="W27" i="4" s="1"/>
  <c r="V27" i="4" a="1"/>
  <c r="V27" i="4" s="1"/>
  <c r="U27" i="4" a="1"/>
  <c r="U27" i="4" s="1"/>
  <c r="T27" i="4" a="1"/>
  <c r="T27" i="4" s="1"/>
  <c r="S27" i="4" a="1"/>
  <c r="S27" i="4" s="1"/>
  <c r="R27" i="4" a="1"/>
  <c r="R27" i="4" s="1"/>
  <c r="P27" i="4" a="1"/>
  <c r="P27" i="4" s="1"/>
  <c r="O27" i="4" a="1"/>
  <c r="O27" i="4" s="1"/>
  <c r="N27" i="4" a="1"/>
  <c r="N27" i="4" s="1"/>
  <c r="M27" i="4" a="1"/>
  <c r="M27" i="4" s="1"/>
  <c r="K27" i="4" a="1"/>
  <c r="K27" i="4" s="1"/>
  <c r="H27" i="4" a="1"/>
  <c r="H27" i="4" s="1"/>
  <c r="E27" i="4" a="1"/>
  <c r="E27" i="4" s="1"/>
  <c r="D27" i="4" a="1"/>
  <c r="D27" i="4" s="1"/>
  <c r="C27" i="4" a="1"/>
  <c r="C27" i="4" s="1"/>
  <c r="Z26" i="4" a="1"/>
  <c r="Z26" i="4" s="1"/>
  <c r="Y26" i="4" a="1"/>
  <c r="Y26" i="4" s="1"/>
  <c r="X26" i="4" a="1"/>
  <c r="X26" i="4" s="1"/>
  <c r="W26" i="4" a="1"/>
  <c r="W26" i="4" s="1"/>
  <c r="V26" i="4" a="1"/>
  <c r="V26" i="4" s="1"/>
  <c r="U26" i="4" a="1"/>
  <c r="U26" i="4" s="1"/>
  <c r="T26" i="4" a="1"/>
  <c r="T26" i="4" s="1"/>
  <c r="S26" i="4" a="1"/>
  <c r="S26" i="4" s="1"/>
  <c r="R26" i="4" a="1"/>
  <c r="R26" i="4" s="1"/>
  <c r="P26" i="4" a="1"/>
  <c r="P26" i="4" s="1"/>
  <c r="O26" i="4" a="1"/>
  <c r="O26" i="4" s="1"/>
  <c r="N26" i="4" a="1"/>
  <c r="N26" i="4" s="1"/>
  <c r="M26" i="4" a="1"/>
  <c r="M26" i="4" s="1"/>
  <c r="K26" i="4" a="1"/>
  <c r="K26" i="4" s="1"/>
  <c r="E26" i="4" a="1"/>
  <c r="E26" i="4" s="1"/>
  <c r="D26" i="4" a="1"/>
  <c r="D26" i="4" s="1"/>
  <c r="Z25" i="4" a="1"/>
  <c r="Z25" i="4" s="1"/>
  <c r="Y25" i="4" a="1"/>
  <c r="Y25" i="4" s="1"/>
  <c r="X25" i="4" a="1"/>
  <c r="X25" i="4" s="1"/>
  <c r="W25" i="4" a="1"/>
  <c r="W25" i="4" s="1"/>
  <c r="V25" i="4" a="1"/>
  <c r="V25" i="4" s="1"/>
  <c r="U25" i="4" a="1"/>
  <c r="U25" i="4" s="1"/>
  <c r="T25" i="4" a="1"/>
  <c r="T25" i="4" s="1"/>
  <c r="S25" i="4" a="1"/>
  <c r="S25" i="4" s="1"/>
  <c r="R25" i="4" a="1"/>
  <c r="R25" i="4" s="1"/>
  <c r="P25" i="4" a="1"/>
  <c r="P25" i="4" s="1"/>
  <c r="O25" i="4" a="1"/>
  <c r="O25" i="4" s="1"/>
  <c r="N25" i="4" a="1"/>
  <c r="N25" i="4" s="1"/>
  <c r="M25" i="4" a="1"/>
  <c r="M25" i="4" s="1"/>
  <c r="K25" i="4" a="1"/>
  <c r="K25" i="4" s="1"/>
  <c r="E25" i="4" a="1"/>
  <c r="E25" i="4" s="1"/>
  <c r="D25" i="4" a="1"/>
  <c r="D25" i="4" s="1"/>
  <c r="Z24" i="4" a="1"/>
  <c r="Z24" i="4" s="1"/>
  <c r="Y24" i="4" a="1"/>
  <c r="Y24" i="4" s="1"/>
  <c r="X24" i="4" a="1"/>
  <c r="X24" i="4" s="1"/>
  <c r="W24" i="4" a="1"/>
  <c r="W24" i="4" s="1"/>
  <c r="V24" i="4" a="1"/>
  <c r="V24" i="4" s="1"/>
  <c r="U24" i="4" a="1"/>
  <c r="U24" i="4" s="1"/>
  <c r="T24" i="4" a="1"/>
  <c r="T24" i="4" s="1"/>
  <c r="S24" i="4" a="1"/>
  <c r="S24" i="4" s="1"/>
  <c r="R24" i="4" a="1"/>
  <c r="R24" i="4" s="1"/>
  <c r="P24" i="4" a="1"/>
  <c r="P24" i="4" s="1"/>
  <c r="O24" i="4" a="1"/>
  <c r="O24" i="4" s="1"/>
  <c r="N24" i="4" a="1"/>
  <c r="N24" i="4" s="1"/>
  <c r="M24" i="4" a="1"/>
  <c r="M24" i="4" s="1"/>
  <c r="K24" i="4" a="1"/>
  <c r="K24" i="4" s="1"/>
  <c r="J24" i="4" a="1"/>
  <c r="J24" i="4" s="1"/>
  <c r="E24" i="4" a="1"/>
  <c r="E24" i="4" s="1"/>
  <c r="D24" i="4" a="1"/>
  <c r="D24" i="4" s="1"/>
  <c r="Z23" i="4" a="1"/>
  <c r="Z23" i="4" s="1"/>
  <c r="Y23" i="4" a="1"/>
  <c r="Y23" i="4" s="1"/>
  <c r="X23" i="4" a="1"/>
  <c r="X23" i="4" s="1"/>
  <c r="W23" i="4" a="1"/>
  <c r="W23" i="4" s="1"/>
  <c r="V23" i="4" a="1"/>
  <c r="V23" i="4" s="1"/>
  <c r="U23" i="4" a="1"/>
  <c r="U23" i="4" s="1"/>
  <c r="T23" i="4" a="1"/>
  <c r="T23" i="4" s="1"/>
  <c r="S23" i="4" a="1"/>
  <c r="S23" i="4" s="1"/>
  <c r="R23" i="4" a="1"/>
  <c r="R23" i="4" s="1"/>
  <c r="P23" i="4" a="1"/>
  <c r="P23" i="4" s="1"/>
  <c r="O23" i="4" a="1"/>
  <c r="O23" i="4" s="1"/>
  <c r="N23" i="4" a="1"/>
  <c r="N23" i="4" s="1"/>
  <c r="M23" i="4" a="1"/>
  <c r="M23" i="4" s="1"/>
  <c r="K23" i="4" a="1"/>
  <c r="K23" i="4" s="1"/>
  <c r="J23" i="4" a="1"/>
  <c r="J23" i="4" s="1"/>
  <c r="E23" i="4" a="1"/>
  <c r="E23" i="4" s="1"/>
  <c r="D23" i="4" a="1"/>
  <c r="D23" i="4" s="1"/>
  <c r="Z22" i="4" a="1"/>
  <c r="Z22" i="4" s="1"/>
  <c r="Y22" i="4" a="1"/>
  <c r="Y22" i="4" s="1"/>
  <c r="X22" i="4" a="1"/>
  <c r="X22" i="4" s="1"/>
  <c r="W22" i="4" a="1"/>
  <c r="W22" i="4" s="1"/>
  <c r="V22" i="4" a="1"/>
  <c r="V22" i="4" s="1"/>
  <c r="U22" i="4" a="1"/>
  <c r="U22" i="4" s="1"/>
  <c r="T22" i="4" a="1"/>
  <c r="T22" i="4" s="1"/>
  <c r="S22" i="4" a="1"/>
  <c r="S22" i="4" s="1"/>
  <c r="R22" i="4" a="1"/>
  <c r="R22" i="4" s="1"/>
  <c r="P22" i="4" a="1"/>
  <c r="P22" i="4" s="1"/>
  <c r="O22" i="4" a="1"/>
  <c r="O22" i="4" s="1"/>
  <c r="N22" i="4" a="1"/>
  <c r="N22" i="4" s="1"/>
  <c r="M22" i="4" a="1"/>
  <c r="M22" i="4" s="1"/>
  <c r="K22" i="4" a="1"/>
  <c r="K22" i="4" s="1"/>
  <c r="I22" i="4" a="1"/>
  <c r="I22" i="4" s="1"/>
  <c r="H22" i="4" a="1"/>
  <c r="H22" i="4" s="1"/>
  <c r="E22" i="4" a="1"/>
  <c r="E22" i="4" s="1"/>
  <c r="D22" i="4" a="1"/>
  <c r="D22" i="4" s="1"/>
  <c r="Z21" i="4" a="1"/>
  <c r="Z21" i="4" s="1"/>
  <c r="Y21" i="4" a="1"/>
  <c r="Y21" i="4" s="1"/>
  <c r="X21" i="4" a="1"/>
  <c r="X21" i="4" s="1"/>
  <c r="W21" i="4" a="1"/>
  <c r="W21" i="4" s="1"/>
  <c r="V21" i="4" a="1"/>
  <c r="V21" i="4" s="1"/>
  <c r="U21" i="4" a="1"/>
  <c r="U21" i="4" s="1"/>
  <c r="T21" i="4" a="1"/>
  <c r="T21" i="4" s="1"/>
  <c r="S21" i="4" a="1"/>
  <c r="S21" i="4" s="1"/>
  <c r="R21" i="4" a="1"/>
  <c r="R21" i="4" s="1"/>
  <c r="P21" i="4" a="1"/>
  <c r="P21" i="4" s="1"/>
  <c r="O21" i="4" a="1"/>
  <c r="O21" i="4" s="1"/>
  <c r="N21" i="4" a="1"/>
  <c r="N21" i="4" s="1"/>
  <c r="M21" i="4" a="1"/>
  <c r="M21" i="4" s="1"/>
  <c r="K21" i="4" a="1"/>
  <c r="K21" i="4" s="1"/>
  <c r="J21" i="4"/>
  <c r="H21" i="4" a="1"/>
  <c r="H21" i="4" s="1"/>
  <c r="E21" i="4" a="1"/>
  <c r="E21" i="4" s="1"/>
  <c r="D21" i="4" a="1"/>
  <c r="D21" i="4" s="1"/>
  <c r="Z20" i="4" a="1"/>
  <c r="Z20" i="4" s="1"/>
  <c r="Y20" i="4" a="1"/>
  <c r="Y20" i="4" s="1"/>
  <c r="X20" i="4" a="1"/>
  <c r="X20" i="4" s="1"/>
  <c r="W20" i="4" a="1"/>
  <c r="W20" i="4" s="1"/>
  <c r="V20" i="4" a="1"/>
  <c r="V20" i="4" s="1"/>
  <c r="U20" i="4" a="1"/>
  <c r="U20" i="4" s="1"/>
  <c r="T20" i="4" a="1"/>
  <c r="T20" i="4" s="1"/>
  <c r="S20" i="4" a="1"/>
  <c r="S20" i="4" s="1"/>
  <c r="R20" i="4" a="1"/>
  <c r="R20" i="4" s="1"/>
  <c r="P20" i="4" a="1"/>
  <c r="P20" i="4" s="1"/>
  <c r="O20" i="4" a="1"/>
  <c r="O20" i="4" s="1"/>
  <c r="N20" i="4" a="1"/>
  <c r="N20" i="4" s="1"/>
  <c r="M20" i="4" a="1"/>
  <c r="M20" i="4" s="1"/>
  <c r="K20" i="4" a="1"/>
  <c r="K20" i="4" s="1"/>
  <c r="F20" i="4" a="1"/>
  <c r="F20" i="4" s="1"/>
  <c r="E20" i="4" a="1"/>
  <c r="E20" i="4" s="1"/>
  <c r="D20" i="4" a="1"/>
  <c r="D20" i="4" s="1"/>
  <c r="Z19" i="4" a="1"/>
  <c r="Z19" i="4" s="1"/>
  <c r="Y19" i="4" a="1"/>
  <c r="Y19" i="4" s="1"/>
  <c r="X19" i="4" a="1"/>
  <c r="X19" i="4" s="1"/>
  <c r="W19" i="4" a="1"/>
  <c r="W19" i="4" s="1"/>
  <c r="V19" i="4" a="1"/>
  <c r="V19" i="4" s="1"/>
  <c r="U19" i="4" a="1"/>
  <c r="U19" i="4" s="1"/>
  <c r="T19" i="4" a="1"/>
  <c r="T19" i="4" s="1"/>
  <c r="S19" i="4" a="1"/>
  <c r="S19" i="4" s="1"/>
  <c r="R19" i="4" a="1"/>
  <c r="R19" i="4" s="1"/>
  <c r="P19" i="4" a="1"/>
  <c r="P19" i="4" s="1"/>
  <c r="O19" i="4" a="1"/>
  <c r="O19" i="4" s="1"/>
  <c r="N19" i="4" a="1"/>
  <c r="N19" i="4" s="1"/>
  <c r="M19" i="4" a="1"/>
  <c r="M19" i="4" s="1"/>
  <c r="K19" i="4" a="1"/>
  <c r="K19" i="4" s="1"/>
  <c r="J19" i="4" a="1"/>
  <c r="J19" i="4" s="1"/>
  <c r="F19" i="4" a="1"/>
  <c r="F19" i="4" s="1"/>
  <c r="E19" i="4" a="1"/>
  <c r="E19" i="4" s="1"/>
  <c r="D19" i="4" a="1"/>
  <c r="D19" i="4" s="1"/>
  <c r="Z18" i="4" a="1"/>
  <c r="Z18" i="4" s="1"/>
  <c r="Y18" i="4" a="1"/>
  <c r="Y18" i="4" s="1"/>
  <c r="X18" i="4" a="1"/>
  <c r="X18" i="4" s="1"/>
  <c r="W18" i="4" a="1"/>
  <c r="W18" i="4" s="1"/>
  <c r="V18" i="4" a="1"/>
  <c r="V18" i="4" s="1"/>
  <c r="U18" i="4" a="1"/>
  <c r="U18" i="4" s="1"/>
  <c r="T18" i="4" a="1"/>
  <c r="T18" i="4" s="1"/>
  <c r="S18" i="4" a="1"/>
  <c r="S18" i="4" s="1"/>
  <c r="R18" i="4" a="1"/>
  <c r="R18" i="4" s="1"/>
  <c r="P18" i="4" a="1"/>
  <c r="P18" i="4" s="1"/>
  <c r="O18" i="4" a="1"/>
  <c r="O18" i="4" s="1"/>
  <c r="N18" i="4" a="1"/>
  <c r="N18" i="4" s="1"/>
  <c r="M18" i="4" a="1"/>
  <c r="M18" i="4" s="1"/>
  <c r="K18" i="4" a="1"/>
  <c r="K18" i="4" s="1"/>
  <c r="E18" i="4" a="1"/>
  <c r="E18" i="4" s="1"/>
  <c r="D18" i="4" a="1"/>
  <c r="D18" i="4" s="1"/>
  <c r="Z17" i="4" a="1"/>
  <c r="Z17" i="4" s="1"/>
  <c r="Y17" i="4" a="1"/>
  <c r="Y17" i="4" s="1"/>
  <c r="X17" i="4" a="1"/>
  <c r="X17" i="4" s="1"/>
  <c r="W17" i="4" a="1"/>
  <c r="W17" i="4" s="1"/>
  <c r="V17" i="4" a="1"/>
  <c r="V17" i="4" s="1"/>
  <c r="U17" i="4" a="1"/>
  <c r="U17" i="4" s="1"/>
  <c r="T17" i="4" a="1"/>
  <c r="T17" i="4" s="1"/>
  <c r="S17" i="4" a="1"/>
  <c r="S17" i="4" s="1"/>
  <c r="R17" i="4" a="1"/>
  <c r="R17" i="4" s="1"/>
  <c r="P17" i="4" a="1"/>
  <c r="P17" i="4" s="1"/>
  <c r="O17" i="4"/>
  <c r="O17" i="4" a="1"/>
  <c r="N17" i="4" a="1"/>
  <c r="N17" i="4" s="1"/>
  <c r="M17" i="4" a="1"/>
  <c r="M17" i="4" s="1"/>
  <c r="K17" i="4" a="1"/>
  <c r="K17" i="4" s="1"/>
  <c r="J17" i="4" a="1"/>
  <c r="J17" i="4" s="1"/>
  <c r="G17" i="4" a="1"/>
  <c r="G17" i="4" s="1"/>
  <c r="F17" i="4" a="1"/>
  <c r="F17" i="4" s="1"/>
  <c r="E17" i="4" a="1"/>
  <c r="E17" i="4" s="1"/>
  <c r="D17" i="4" a="1"/>
  <c r="D17" i="4" s="1"/>
  <c r="Z16" i="4" a="1"/>
  <c r="Z16" i="4" s="1"/>
  <c r="Y16" i="4" a="1"/>
  <c r="Y16" i="4" s="1"/>
  <c r="X16" i="4" a="1"/>
  <c r="X16" i="4" s="1"/>
  <c r="W16" i="4" a="1"/>
  <c r="W16" i="4" s="1"/>
  <c r="V16" i="4" a="1"/>
  <c r="V16" i="4" s="1"/>
  <c r="U16" i="4" a="1"/>
  <c r="U16" i="4" s="1"/>
  <c r="T16" i="4" a="1"/>
  <c r="T16" i="4" s="1"/>
  <c r="S16" i="4" a="1"/>
  <c r="S16" i="4" s="1"/>
  <c r="R16" i="4" a="1"/>
  <c r="R16" i="4" s="1"/>
  <c r="P16" i="4" a="1"/>
  <c r="P16" i="4" s="1"/>
  <c r="O16" i="4" a="1"/>
  <c r="O16" i="4" s="1"/>
  <c r="N16" i="4" a="1"/>
  <c r="N16" i="4" s="1"/>
  <c r="M16" i="4"/>
  <c r="M16" i="4" a="1"/>
  <c r="L16" i="4" a="1"/>
  <c r="L16" i="4" s="1"/>
  <c r="K16" i="4" a="1"/>
  <c r="K16" i="4" s="1"/>
  <c r="J16" i="4" a="1"/>
  <c r="J16" i="4" s="1"/>
  <c r="E16" i="4"/>
  <c r="E16" i="4" a="1"/>
  <c r="D16" i="4" a="1"/>
  <c r="D16" i="4" s="1"/>
  <c r="Z15" i="4" a="1"/>
  <c r="Z15" i="4" s="1"/>
  <c r="Y15" i="4" a="1"/>
  <c r="Y15" i="4" s="1"/>
  <c r="X15" i="4" a="1"/>
  <c r="X15" i="4" s="1"/>
  <c r="W15" i="4" a="1"/>
  <c r="W15" i="4" s="1"/>
  <c r="V15" i="4" a="1"/>
  <c r="V15" i="4" s="1"/>
  <c r="U15" i="4" a="1"/>
  <c r="U15" i="4" s="1"/>
  <c r="T15" i="4" a="1"/>
  <c r="T15" i="4" s="1"/>
  <c r="S15" i="4" a="1"/>
  <c r="S15" i="4" s="1"/>
  <c r="R15" i="4" a="1"/>
  <c r="R15" i="4" s="1"/>
  <c r="P15" i="4" a="1"/>
  <c r="P15" i="4" s="1"/>
  <c r="O15" i="4" a="1"/>
  <c r="O15" i="4" s="1"/>
  <c r="N15" i="4" a="1"/>
  <c r="N15" i="4" s="1"/>
  <c r="M15" i="4" a="1"/>
  <c r="M15" i="4" s="1"/>
  <c r="K15" i="4" a="1"/>
  <c r="K15" i="4" s="1"/>
  <c r="I15" i="4" a="1"/>
  <c r="I15" i="4" s="1"/>
  <c r="G15" i="4" a="1"/>
  <c r="G15" i="4" s="1"/>
  <c r="E15" i="4" a="1"/>
  <c r="E15" i="4" s="1"/>
  <c r="D15" i="4" a="1"/>
  <c r="D15" i="4" s="1"/>
  <c r="Z14" i="4" a="1"/>
  <c r="Z14" i="4" s="1"/>
  <c r="Y14" i="4" a="1"/>
  <c r="Y14" i="4" s="1"/>
  <c r="X14" i="4" a="1"/>
  <c r="X14" i="4" s="1"/>
  <c r="W14" i="4" a="1"/>
  <c r="W14" i="4" s="1"/>
  <c r="V14" i="4" a="1"/>
  <c r="V14" i="4" s="1"/>
  <c r="U14" i="4" a="1"/>
  <c r="U14" i="4" s="1"/>
  <c r="T14" i="4" a="1"/>
  <c r="T14" i="4" s="1"/>
  <c r="S14" i="4" a="1"/>
  <c r="S14" i="4" s="1"/>
  <c r="R14" i="4" a="1"/>
  <c r="R14" i="4" s="1"/>
  <c r="P14" i="4" a="1"/>
  <c r="P14" i="4" s="1"/>
  <c r="O14" i="4" a="1"/>
  <c r="O14" i="4" s="1"/>
  <c r="N14" i="4" a="1"/>
  <c r="N14" i="4" s="1"/>
  <c r="M14" i="4" a="1"/>
  <c r="M14" i="4" s="1"/>
  <c r="K14" i="4" a="1"/>
  <c r="K14" i="4" s="1"/>
  <c r="E14" i="4" a="1"/>
  <c r="E14" i="4" s="1"/>
  <c r="D14" i="4" a="1"/>
  <c r="D14" i="4" s="1"/>
  <c r="Z13" i="4" a="1"/>
  <c r="Z13" i="4" s="1"/>
  <c r="Y13" i="4" a="1"/>
  <c r="Y13" i="4" s="1"/>
  <c r="X13" i="4" a="1"/>
  <c r="X13" i="4" s="1"/>
  <c r="W13" i="4" a="1"/>
  <c r="W13" i="4" s="1"/>
  <c r="V13" i="4" a="1"/>
  <c r="V13" i="4" s="1"/>
  <c r="U13" i="4" a="1"/>
  <c r="U13" i="4" s="1"/>
  <c r="T13" i="4" a="1"/>
  <c r="T13" i="4" s="1"/>
  <c r="S13" i="4" a="1"/>
  <c r="S13" i="4" s="1"/>
  <c r="R13" i="4" a="1"/>
  <c r="R13" i="4" s="1"/>
  <c r="P13" i="4" a="1"/>
  <c r="P13" i="4" s="1"/>
  <c r="O13" i="4" a="1"/>
  <c r="O13" i="4" s="1"/>
  <c r="N13" i="4" a="1"/>
  <c r="N13" i="4" s="1"/>
  <c r="M13" i="4" a="1"/>
  <c r="M13" i="4" s="1"/>
  <c r="K13" i="4" a="1"/>
  <c r="K13" i="4" s="1"/>
  <c r="E13" i="4" a="1"/>
  <c r="E13" i="4" s="1"/>
  <c r="D13" i="4"/>
  <c r="D13" i="4" a="1"/>
  <c r="Z12" i="4" a="1"/>
  <c r="Z12" i="4" s="1"/>
  <c r="Y12" i="4" a="1"/>
  <c r="Y12" i="4" s="1"/>
  <c r="X12" i="4" a="1"/>
  <c r="X12" i="4" s="1"/>
  <c r="W12" i="4" a="1"/>
  <c r="W12" i="4" s="1"/>
  <c r="V12" i="4" a="1"/>
  <c r="V12" i="4" s="1"/>
  <c r="U12" i="4" a="1"/>
  <c r="U12" i="4" s="1"/>
  <c r="T12" i="4" a="1"/>
  <c r="T12" i="4" s="1"/>
  <c r="S12" i="4" a="1"/>
  <c r="S12" i="4" s="1"/>
  <c r="R12" i="4" a="1"/>
  <c r="R12" i="4" s="1"/>
  <c r="P12" i="4" a="1"/>
  <c r="P12" i="4" s="1"/>
  <c r="O12" i="4" a="1"/>
  <c r="O12" i="4" s="1"/>
  <c r="N12" i="4" a="1"/>
  <c r="N12" i="4" s="1"/>
  <c r="M12" i="4" a="1"/>
  <c r="M12" i="4" s="1"/>
  <c r="K12" i="4" a="1"/>
  <c r="K12" i="4" s="1"/>
  <c r="J12" i="4" a="1"/>
  <c r="J12" i="4" s="1"/>
  <c r="G12" i="4" a="1"/>
  <c r="G12" i="4" s="1"/>
  <c r="E12" i="4" a="1"/>
  <c r="E12" i="4" s="1"/>
  <c r="D12" i="4" a="1"/>
  <c r="D12" i="4" s="1"/>
  <c r="Z11" i="4" a="1"/>
  <c r="Z11" i="4" s="1"/>
  <c r="Y11" i="4" a="1"/>
  <c r="Y11" i="4" s="1"/>
  <c r="X11" i="4" a="1"/>
  <c r="X11" i="4" s="1"/>
  <c r="W11" i="4" a="1"/>
  <c r="W11" i="4" s="1"/>
  <c r="V11" i="4" a="1"/>
  <c r="V11" i="4" s="1"/>
  <c r="U11" i="4" a="1"/>
  <c r="U11" i="4" s="1"/>
  <c r="T11" i="4" a="1"/>
  <c r="T11" i="4" s="1"/>
  <c r="S11" i="4" a="1"/>
  <c r="S11" i="4" s="1"/>
  <c r="R11" i="4" a="1"/>
  <c r="R11" i="4" s="1"/>
  <c r="P11" i="4" a="1"/>
  <c r="P11" i="4" s="1"/>
  <c r="O11" i="4" a="1"/>
  <c r="O11" i="4" s="1"/>
  <c r="N11" i="4" a="1"/>
  <c r="N11" i="4" s="1"/>
  <c r="M11" i="4" a="1"/>
  <c r="M11" i="4" s="1"/>
  <c r="K11" i="4" a="1"/>
  <c r="K11" i="4" s="1"/>
  <c r="H11" i="4" a="1"/>
  <c r="H11" i="4" s="1"/>
  <c r="E11" i="4" a="1"/>
  <c r="E11" i="4" s="1"/>
  <c r="D11" i="4" a="1"/>
  <c r="D11" i="4" s="1"/>
  <c r="Z10" i="4" a="1"/>
  <c r="Z10" i="4" s="1"/>
  <c r="Y10" i="4" a="1"/>
  <c r="Y10" i="4" s="1"/>
  <c r="X10" i="4" a="1"/>
  <c r="X10" i="4" s="1"/>
  <c r="W10" i="4" a="1"/>
  <c r="W10" i="4" s="1"/>
  <c r="V10" i="4" a="1"/>
  <c r="V10" i="4" s="1"/>
  <c r="U10" i="4" a="1"/>
  <c r="U10" i="4" s="1"/>
  <c r="T10" i="4" a="1"/>
  <c r="T10" i="4" s="1"/>
  <c r="S10" i="4" a="1"/>
  <c r="S10" i="4" s="1"/>
  <c r="R10" i="4" a="1"/>
  <c r="R10" i="4" s="1"/>
  <c r="P10" i="4" a="1"/>
  <c r="P10" i="4" s="1"/>
  <c r="O10" i="4" a="1"/>
  <c r="O10" i="4" s="1"/>
  <c r="N10" i="4" a="1"/>
  <c r="N10" i="4" s="1"/>
  <c r="M10" i="4" a="1"/>
  <c r="M10" i="4" s="1"/>
  <c r="K10" i="4" a="1"/>
  <c r="K10" i="4" s="1"/>
  <c r="J10" i="4" a="1"/>
  <c r="J10" i="4" s="1"/>
  <c r="E10" i="4" a="1"/>
  <c r="E10" i="4" s="1"/>
  <c r="D10" i="4" a="1"/>
  <c r="D10" i="4" s="1"/>
  <c r="Z9" i="4" a="1"/>
  <c r="Z9" i="4" s="1"/>
  <c r="Y9" i="4" a="1"/>
  <c r="Y9" i="4" s="1"/>
  <c r="X9" i="4" a="1"/>
  <c r="X9" i="4" s="1"/>
  <c r="W9" i="4" a="1"/>
  <c r="W9" i="4" s="1"/>
  <c r="V9" i="4" a="1"/>
  <c r="V9" i="4" s="1"/>
  <c r="U9" i="4" a="1"/>
  <c r="U9" i="4" s="1"/>
  <c r="T9" i="4" a="1"/>
  <c r="T9" i="4" s="1"/>
  <c r="S9" i="4" a="1"/>
  <c r="S9" i="4" s="1"/>
  <c r="R9" i="4" a="1"/>
  <c r="R9" i="4" s="1"/>
  <c r="P9" i="4" a="1"/>
  <c r="P9" i="4" s="1"/>
  <c r="O9" i="4" a="1"/>
  <c r="O9" i="4" s="1"/>
  <c r="N9" i="4" a="1"/>
  <c r="N9" i="4" s="1"/>
  <c r="M9" i="4" a="1"/>
  <c r="M9" i="4" s="1"/>
  <c r="K9" i="4" a="1"/>
  <c r="K9" i="4" s="1"/>
  <c r="E9" i="4" a="1"/>
  <c r="E9" i="4" s="1"/>
  <c r="D9" i="4" a="1"/>
  <c r="D9" i="4" s="1"/>
  <c r="Z8" i="4" a="1"/>
  <c r="Z8" i="4" s="1"/>
  <c r="Y8" i="4" a="1"/>
  <c r="Y8" i="4" s="1"/>
  <c r="X8" i="4" a="1"/>
  <c r="X8" i="4" s="1"/>
  <c r="W8" i="4" a="1"/>
  <c r="W8" i="4" s="1"/>
  <c r="V8" i="4" a="1"/>
  <c r="V8" i="4" s="1"/>
  <c r="U8" i="4" a="1"/>
  <c r="U8" i="4" s="1"/>
  <c r="T8" i="4" a="1"/>
  <c r="T8" i="4" s="1"/>
  <c r="S8" i="4" a="1"/>
  <c r="S8" i="4" s="1"/>
  <c r="R8" i="4" a="1"/>
  <c r="R8" i="4" s="1"/>
  <c r="P8" i="4" a="1"/>
  <c r="P8" i="4" s="1"/>
  <c r="O8" i="4"/>
  <c r="O8" i="4" a="1"/>
  <c r="N8" i="4" a="1"/>
  <c r="N8" i="4" s="1"/>
  <c r="M8" i="4" a="1"/>
  <c r="M8" i="4" s="1"/>
  <c r="K8" i="4" a="1"/>
  <c r="K8" i="4" s="1"/>
  <c r="E8" i="4"/>
  <c r="E8" i="4" a="1"/>
  <c r="D8" i="4" a="1"/>
  <c r="D8" i="4" s="1"/>
  <c r="Z7" i="4" a="1"/>
  <c r="Z7" i="4" s="1"/>
  <c r="Y7" i="4" a="1"/>
  <c r="Y7" i="4" s="1"/>
  <c r="X7" i="4" a="1"/>
  <c r="X7" i="4" s="1"/>
  <c r="W7" i="4" a="1"/>
  <c r="W7" i="4" s="1"/>
  <c r="V7" i="4" a="1"/>
  <c r="V7" i="4" s="1"/>
  <c r="U7" i="4" a="1"/>
  <c r="U7" i="4" s="1"/>
  <c r="T7" i="4" a="1"/>
  <c r="T7" i="4" s="1"/>
  <c r="S7" i="4" a="1"/>
  <c r="S7" i="4" s="1"/>
  <c r="R7" i="4" a="1"/>
  <c r="R7" i="4" s="1"/>
  <c r="P7" i="4" a="1"/>
  <c r="P7" i="4" s="1"/>
  <c r="O7" i="4" a="1"/>
  <c r="O7" i="4" s="1"/>
  <c r="N7" i="4" a="1"/>
  <c r="N7" i="4" s="1"/>
  <c r="M7" i="4" a="1"/>
  <c r="M7" i="4" s="1"/>
  <c r="K7" i="4" a="1"/>
  <c r="K7" i="4" s="1"/>
  <c r="J7" i="4" a="1"/>
  <c r="J7" i="4" s="1"/>
  <c r="E7" i="4" a="1"/>
  <c r="E7" i="4" s="1"/>
  <c r="D7" i="4" a="1"/>
  <c r="D7" i="4" s="1"/>
  <c r="Z6" i="4" a="1"/>
  <c r="Z6" i="4" s="1"/>
  <c r="Y6" i="4" a="1"/>
  <c r="Y6" i="4" s="1"/>
  <c r="X6" i="4" a="1"/>
  <c r="X6" i="4" s="1"/>
  <c r="W6" i="4" a="1"/>
  <c r="W6" i="4" s="1"/>
  <c r="V6" i="4" a="1"/>
  <c r="V6" i="4" s="1"/>
  <c r="U6" i="4" a="1"/>
  <c r="U6" i="4" s="1"/>
  <c r="T6" i="4" a="1"/>
  <c r="T6" i="4" s="1"/>
  <c r="S6" i="4" a="1"/>
  <c r="S6" i="4" s="1"/>
  <c r="R6" i="4" a="1"/>
  <c r="R6" i="4" s="1"/>
  <c r="P6" i="4" a="1"/>
  <c r="P6" i="4" s="1"/>
  <c r="O6" i="4"/>
  <c r="O6" i="4" a="1"/>
  <c r="N6" i="4" a="1"/>
  <c r="N6" i="4" s="1"/>
  <c r="M6" i="4" a="1"/>
  <c r="M6" i="4" s="1"/>
  <c r="K6" i="4" a="1"/>
  <c r="K6" i="4" s="1"/>
  <c r="J6" i="4" a="1"/>
  <c r="J6" i="4" s="1"/>
  <c r="G6" i="4"/>
  <c r="E6" i="4" a="1"/>
  <c r="E6" i="4" s="1"/>
  <c r="D6" i="4" a="1"/>
  <c r="D6" i="4" s="1"/>
  <c r="Z5" i="4" a="1"/>
  <c r="Z5" i="4" s="1"/>
  <c r="Y5" i="4" a="1"/>
  <c r="Y5" i="4" s="1"/>
  <c r="X5" i="4" a="1"/>
  <c r="X5" i="4" s="1"/>
  <c r="W5" i="4" a="1"/>
  <c r="W5" i="4" s="1"/>
  <c r="V5" i="4" a="1"/>
  <c r="V5" i="4" s="1"/>
  <c r="U5" i="4" a="1"/>
  <c r="U5" i="4" s="1"/>
  <c r="T5" i="4" a="1"/>
  <c r="T5" i="4" s="1"/>
  <c r="S5" i="4" a="1"/>
  <c r="S5" i="4" s="1"/>
  <c r="R5" i="4" a="1"/>
  <c r="R5" i="4" s="1"/>
  <c r="P5" i="4" a="1"/>
  <c r="P5" i="4" s="1"/>
  <c r="O5" i="4" a="1"/>
  <c r="O5" i="4" s="1"/>
  <c r="N5" i="4" a="1"/>
  <c r="N5" i="4" s="1"/>
  <c r="M5" i="4" a="1"/>
  <c r="M5" i="4" s="1"/>
  <c r="L5" i="4" a="1"/>
  <c r="L5" i="4" s="1"/>
  <c r="K5" i="4" a="1"/>
  <c r="K5" i="4" s="1"/>
  <c r="J5" i="4" a="1"/>
  <c r="J5" i="4" s="1"/>
  <c r="H5" i="4" a="1"/>
  <c r="H5" i="4" s="1"/>
  <c r="E5" i="4" a="1"/>
  <c r="E5" i="4" s="1"/>
  <c r="D5" i="4" a="1"/>
  <c r="D5" i="4" s="1"/>
  <c r="Z4" i="4" a="1"/>
  <c r="Z4" i="4" s="1"/>
  <c r="Y4" i="4" a="1"/>
  <c r="Y4" i="4" s="1"/>
  <c r="X4" i="4" a="1"/>
  <c r="X4" i="4" s="1"/>
  <c r="W4" i="4" a="1"/>
  <c r="W4" i="4" s="1"/>
  <c r="V4" i="4" a="1"/>
  <c r="V4" i="4" s="1"/>
  <c r="U4" i="4" a="1"/>
  <c r="U4" i="4" s="1"/>
  <c r="T4" i="4" a="1"/>
  <c r="T4" i="4" s="1"/>
  <c r="S4" i="4" a="1"/>
  <c r="S4" i="4" s="1"/>
  <c r="R4" i="4" a="1"/>
  <c r="R4" i="4" s="1"/>
  <c r="P4" i="4" a="1"/>
  <c r="P4" i="4" s="1"/>
  <c r="O4" i="4" a="1"/>
  <c r="O4" i="4" s="1"/>
  <c r="N4" i="4" a="1"/>
  <c r="N4" i="4" s="1"/>
  <c r="M4" i="4" a="1"/>
  <c r="M4" i="4" s="1"/>
  <c r="K4" i="4" a="1"/>
  <c r="K4" i="4" s="1"/>
  <c r="H4" i="4" a="1"/>
  <c r="H4" i="4" s="1"/>
  <c r="G4" i="4" a="1"/>
  <c r="G4" i="4" s="1"/>
  <c r="F4" i="4" a="1"/>
  <c r="F4" i="4" s="1"/>
  <c r="E4" i="4" a="1"/>
  <c r="E4" i="4" s="1"/>
  <c r="D4" i="4" a="1"/>
  <c r="D4" i="4" s="1"/>
  <c r="C4" i="4" a="1"/>
  <c r="C4" i="4" s="1"/>
  <c r="Z3" i="4" a="1"/>
  <c r="Z3" i="4" s="1"/>
  <c r="Y3" i="4" a="1"/>
  <c r="Y3" i="4" s="1"/>
  <c r="X3" i="4" a="1"/>
  <c r="X3" i="4" s="1"/>
  <c r="W3" i="4" a="1"/>
  <c r="W3" i="4" s="1"/>
  <c r="V3" i="4" a="1"/>
  <c r="V3" i="4" s="1"/>
  <c r="U3" i="4" a="1"/>
  <c r="U3" i="4" s="1"/>
  <c r="T3" i="4" a="1"/>
  <c r="T3" i="4" s="1"/>
  <c r="S3" i="4" a="1"/>
  <c r="S3" i="4" s="1"/>
  <c r="R3" i="4" a="1"/>
  <c r="R3" i="4" s="1"/>
  <c r="P3" i="4" a="1"/>
  <c r="P3" i="4" s="1"/>
  <c r="O3" i="4" a="1"/>
  <c r="O3" i="4" s="1"/>
  <c r="N3" i="4" a="1"/>
  <c r="N3" i="4" s="1"/>
  <c r="M3" i="4" a="1"/>
  <c r="M3" i="4" s="1"/>
  <c r="K3" i="4" a="1"/>
  <c r="K3" i="4" s="1"/>
  <c r="J3" i="4" a="1"/>
  <c r="J3" i="4" s="1"/>
  <c r="H3" i="4" a="1"/>
  <c r="H3" i="4" s="1"/>
  <c r="F3" i="4" a="1"/>
  <c r="F3" i="4" s="1"/>
  <c r="E3" i="4" a="1"/>
  <c r="E3" i="4" s="1"/>
  <c r="D3" i="4" a="1"/>
  <c r="D3" i="4" s="1"/>
  <c r="Z2" i="4" a="1"/>
  <c r="Z2" i="4" s="1"/>
  <c r="Y2" i="4" a="1"/>
  <c r="Y2" i="4" s="1"/>
  <c r="X2" i="4" a="1"/>
  <c r="X2" i="4" s="1"/>
  <c r="W2" i="4" a="1"/>
  <c r="W2" i="4" s="1"/>
  <c r="V2" i="4" a="1"/>
  <c r="V2" i="4" s="1"/>
  <c r="U2" i="4" a="1"/>
  <c r="U2" i="4" s="1"/>
  <c r="T2" i="4" a="1"/>
  <c r="T2" i="4" s="1"/>
  <c r="S2" i="4" a="1"/>
  <c r="S2" i="4" s="1"/>
  <c r="R2" i="4" a="1"/>
  <c r="R2" i="4" s="1"/>
  <c r="P2" i="4" a="1"/>
  <c r="P2" i="4" s="1"/>
  <c r="O2" i="4" a="1"/>
  <c r="O2" i="4" s="1"/>
  <c r="N2" i="4" a="1"/>
  <c r="N2" i="4" s="1"/>
  <c r="M2" i="4" a="1"/>
  <c r="M2" i="4" s="1"/>
  <c r="K2" i="4"/>
  <c r="K2" i="4" a="1"/>
  <c r="F2" i="4" a="1"/>
  <c r="F2" i="4" s="1"/>
  <c r="E2" i="4" a="1"/>
  <c r="E2" i="4" s="1"/>
  <c r="D2" i="4" a="1"/>
  <c r="D2" i="4" s="1"/>
  <c r="J33" i="4" a="1"/>
  <c r="I33" i="4" a="1"/>
  <c r="I33" i="4" s="1"/>
  <c r="H33" i="4" a="1"/>
  <c r="H33" i="4" s="1"/>
  <c r="G33" i="4" a="1"/>
  <c r="G33" i="4" s="1"/>
  <c r="L32" i="4" a="1"/>
  <c r="L32" i="4" s="1"/>
  <c r="I32" i="4" a="1"/>
  <c r="I32" i="4" s="1"/>
  <c r="H32" i="4" a="1"/>
  <c r="H32" i="4" s="1"/>
  <c r="G32" i="4" a="1"/>
  <c r="G32" i="4" s="1"/>
  <c r="F32" i="4" a="1"/>
  <c r="F32" i="4" s="1"/>
  <c r="L31" i="4" a="1"/>
  <c r="L31" i="4" s="1"/>
  <c r="H31" i="4" a="1"/>
  <c r="H31" i="4" s="1"/>
  <c r="J30" i="4" a="1"/>
  <c r="J30" i="4" s="1"/>
  <c r="G30" i="4" a="1"/>
  <c r="G30" i="4" s="1"/>
  <c r="C30" i="4" a="1"/>
  <c r="C30" i="4" s="1"/>
  <c r="J29" i="4" a="1"/>
  <c r="J29" i="4" s="1"/>
  <c r="I29" i="4" a="1"/>
  <c r="I29" i="4" s="1"/>
  <c r="F29" i="4" a="1"/>
  <c r="F29" i="4" s="1"/>
  <c r="J28" i="4" a="1"/>
  <c r="J28" i="4" s="1"/>
  <c r="H28" i="4" a="1"/>
  <c r="H28" i="4" s="1"/>
  <c r="J27" i="4" a="1"/>
  <c r="J27" i="4" s="1"/>
  <c r="G27" i="4" a="1"/>
  <c r="G27" i="4" s="1"/>
  <c r="J26" i="4" a="1"/>
  <c r="J26" i="4" s="1"/>
  <c r="J25" i="4" a="1"/>
  <c r="J25" i="4" s="1"/>
  <c r="I23" i="4" a="1"/>
  <c r="I23" i="4" s="1"/>
  <c r="H23" i="4" a="1"/>
  <c r="H23" i="4" s="1"/>
  <c r="G23" i="4" a="1"/>
  <c r="G23" i="4" s="1"/>
  <c r="L22" i="4" a="1"/>
  <c r="L22" i="4" s="1"/>
  <c r="J22" i="4" a="1"/>
  <c r="J22" i="4" s="1"/>
  <c r="G22" i="4" a="1"/>
  <c r="G22" i="4" s="1"/>
  <c r="J21" i="4" a="1"/>
  <c r="F21" i="4" a="1"/>
  <c r="F21" i="4" s="1"/>
  <c r="C21" i="4" a="1"/>
  <c r="C21" i="4" s="1"/>
  <c r="L20" i="4" a="1"/>
  <c r="L20" i="4" s="1"/>
  <c r="J20" i="4" a="1"/>
  <c r="J20" i="4" s="1"/>
  <c r="I20" i="4" a="1"/>
  <c r="I20" i="4" s="1"/>
  <c r="H20" i="4" a="1"/>
  <c r="H20" i="4" s="1"/>
  <c r="G20" i="4" a="1"/>
  <c r="G20" i="4" s="1"/>
  <c r="L19" i="4" a="1"/>
  <c r="L19" i="4" s="1"/>
  <c r="I19" i="4" a="1"/>
  <c r="I19" i="4" s="1"/>
  <c r="H19" i="4" a="1"/>
  <c r="H19" i="4" s="1"/>
  <c r="G19" i="4" a="1"/>
  <c r="G19" i="4" s="1"/>
  <c r="C19" i="4" a="1"/>
  <c r="C19" i="4" s="1"/>
  <c r="L18" i="4" a="1"/>
  <c r="L18" i="4" s="1"/>
  <c r="J18" i="4" a="1"/>
  <c r="J18" i="4" s="1"/>
  <c r="I18" i="4" a="1"/>
  <c r="I18" i="4" s="1"/>
  <c r="H18" i="4" a="1"/>
  <c r="H18" i="4" s="1"/>
  <c r="G18" i="4" a="1"/>
  <c r="G18" i="4" s="1"/>
  <c r="F18" i="4" a="1"/>
  <c r="F18" i="4" s="1"/>
  <c r="C18" i="4" a="1"/>
  <c r="C18" i="4" s="1"/>
  <c r="I17" i="4" a="1"/>
  <c r="I17" i="4" s="1"/>
  <c r="H17" i="4" a="1"/>
  <c r="H17" i="4" s="1"/>
  <c r="I16" i="4" a="1"/>
  <c r="I16" i="4" s="1"/>
  <c r="H16" i="4" a="1"/>
  <c r="H16" i="4" s="1"/>
  <c r="G16" i="4" a="1"/>
  <c r="G16" i="4" s="1"/>
  <c r="F16" i="4" a="1"/>
  <c r="F16" i="4" s="1"/>
  <c r="C16" i="4" a="1"/>
  <c r="C16" i="4" s="1"/>
  <c r="L15" i="4" a="1"/>
  <c r="L15" i="4" s="1"/>
  <c r="J15" i="4" a="1"/>
  <c r="J15" i="4" s="1"/>
  <c r="H15" i="4" a="1"/>
  <c r="H15" i="4" s="1"/>
  <c r="F15" i="4" a="1"/>
  <c r="F15" i="4" s="1"/>
  <c r="J14" i="4" a="1"/>
  <c r="J14" i="4" s="1"/>
  <c r="F14" i="4" a="1"/>
  <c r="F14" i="4" s="1"/>
  <c r="L13" i="4" a="1"/>
  <c r="L13" i="4" s="1"/>
  <c r="J13" i="4" a="1"/>
  <c r="J13" i="4" s="1"/>
  <c r="I13" i="4" a="1"/>
  <c r="I13" i="4" s="1"/>
  <c r="H13" i="4" a="1"/>
  <c r="H13" i="4" s="1"/>
  <c r="C13" i="4" a="1"/>
  <c r="C13" i="4" s="1"/>
  <c r="I12" i="4" a="1"/>
  <c r="I12" i="4" s="1"/>
  <c r="H12" i="4" a="1"/>
  <c r="H12" i="4" s="1"/>
  <c r="F12" i="4" a="1"/>
  <c r="F12" i="4" s="1"/>
  <c r="C12" i="4" a="1"/>
  <c r="C12" i="4" s="1"/>
  <c r="J11" i="4" a="1"/>
  <c r="J11" i="4" s="1"/>
  <c r="G11" i="4" a="1"/>
  <c r="G11" i="4" s="1"/>
  <c r="C11" i="4" a="1"/>
  <c r="C11" i="4" s="1"/>
  <c r="J9" i="4" a="1"/>
  <c r="J9" i="4" s="1"/>
  <c r="L8" i="4" a="1"/>
  <c r="L8" i="4" s="1"/>
  <c r="J8" i="4" a="1"/>
  <c r="J8" i="4" s="1"/>
  <c r="F8" i="4" a="1"/>
  <c r="F8" i="4" s="1"/>
  <c r="L7" i="4" a="1"/>
  <c r="L7" i="4" s="1"/>
  <c r="F7" i="4" a="1"/>
  <c r="F7" i="4" s="1"/>
  <c r="I6" i="4" a="1"/>
  <c r="I6" i="4" s="1"/>
  <c r="G6" i="4" a="1"/>
  <c r="C6" i="4" a="1"/>
  <c r="C6" i="4" s="1"/>
  <c r="L4" i="4" a="1"/>
  <c r="L4" i="4" s="1"/>
  <c r="J4" i="4" a="1"/>
  <c r="J4" i="4" s="1"/>
  <c r="L3" i="4" a="1"/>
  <c r="L3" i="4" s="1"/>
  <c r="G3" i="4" a="1"/>
  <c r="G3" i="4" s="1"/>
  <c r="C3" i="4" a="1"/>
  <c r="C3" i="4" s="1"/>
  <c r="L2" i="4" a="1"/>
  <c r="L2" i="4" s="1"/>
  <c r="J2" i="4" a="1"/>
  <c r="J2" i="4" s="1"/>
  <c r="I2" i="4" a="1"/>
  <c r="I2" i="4" s="1"/>
  <c r="G2" i="4" a="1"/>
  <c r="G2" i="4" s="1"/>
  <c r="C2" i="4" a="1"/>
  <c r="C2" i="4" s="1"/>
  <c r="L37" i="1"/>
  <c r="L36" i="1"/>
  <c r="L35" i="1"/>
  <c r="L34" i="1"/>
  <c r="L30" i="2" s="1" a="1"/>
  <c r="L30" i="2" s="1"/>
  <c r="L33" i="1"/>
  <c r="L29" i="2" s="1" a="1"/>
  <c r="L29" i="2" s="1"/>
  <c r="L32" i="1"/>
  <c r="L28" i="2" s="1" a="1"/>
  <c r="L28" i="2" s="1"/>
  <c r="L31" i="1"/>
  <c r="L30" i="1"/>
  <c r="L26" i="2" s="1" a="1"/>
  <c r="L26" i="2" s="1"/>
  <c r="L29" i="1"/>
  <c r="L28" i="1"/>
  <c r="L27" i="1"/>
  <c r="L26" i="1"/>
  <c r="L25" i="1"/>
  <c r="L24" i="1"/>
  <c r="L23" i="1"/>
  <c r="L22" i="1"/>
  <c r="L18" i="2" s="1" a="1"/>
  <c r="L18" i="2" s="1"/>
  <c r="L21" i="1"/>
  <c r="L20" i="1"/>
  <c r="L19" i="1"/>
  <c r="L18" i="1"/>
  <c r="L17" i="1"/>
  <c r="L13" i="2" s="1" a="1"/>
  <c r="L13" i="2" s="1"/>
  <c r="L16" i="1"/>
  <c r="L12" i="2" s="1" a="1"/>
  <c r="L12" i="2" s="1"/>
  <c r="L15" i="1"/>
  <c r="L14" i="1"/>
  <c r="L10" i="2" s="1" a="1"/>
  <c r="L10" i="2" s="1"/>
  <c r="L13" i="1"/>
  <c r="L12" i="1"/>
  <c r="L11" i="1"/>
  <c r="L10" i="1"/>
  <c r="L6" i="2" s="1" a="1"/>
  <c r="L6" i="2" s="1"/>
  <c r="L9" i="1"/>
  <c r="L8" i="1"/>
  <c r="L4" i="2" s="1" a="1"/>
  <c r="L4" i="2" s="1"/>
  <c r="L7" i="1"/>
  <c r="L6" i="1"/>
  <c r="L2" i="2" s="1" a="1"/>
  <c r="L2" i="2" s="1"/>
  <c r="L5" i="1"/>
  <c r="L4" i="1"/>
  <c r="L3" i="1"/>
  <c r="L2" i="1"/>
  <c r="J37" i="1"/>
  <c r="J36" i="1"/>
  <c r="J35" i="1"/>
  <c r="J34" i="1"/>
  <c r="J30" i="2" s="1" a="1"/>
  <c r="J30" i="2" s="1"/>
  <c r="J33" i="1"/>
  <c r="J29" i="2" s="1" a="1"/>
  <c r="J29" i="2" s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5" i="2" s="1" a="1"/>
  <c r="J5" i="2" s="1"/>
  <c r="J8" i="1"/>
  <c r="J4" i="2" s="1" a="1"/>
  <c r="J4" i="2" s="1"/>
  <c r="J7" i="1"/>
  <c r="J6" i="1"/>
  <c r="J5" i="1"/>
  <c r="J4" i="1"/>
  <c r="J3" i="1"/>
  <c r="J2" i="1"/>
  <c r="I37" i="1"/>
  <c r="I36" i="1"/>
  <c r="I35" i="1"/>
  <c r="I31" i="2" s="1" a="1"/>
  <c r="I31" i="2" s="1"/>
  <c r="I34" i="1"/>
  <c r="I30" i="2" s="1" a="1"/>
  <c r="I30" i="2" s="1"/>
  <c r="I33" i="1"/>
  <c r="I32" i="1"/>
  <c r="I28" i="2" s="1" a="1"/>
  <c r="I28" i="2" s="1"/>
  <c r="I31" i="1"/>
  <c r="I27" i="2" s="1" a="1"/>
  <c r="I27" i="2" s="1"/>
  <c r="I30" i="1"/>
  <c r="I26" i="2" s="1" a="1"/>
  <c r="I26" i="2" s="1"/>
  <c r="I29" i="1"/>
  <c r="I28" i="1"/>
  <c r="I27" i="1"/>
  <c r="I26" i="1"/>
  <c r="I25" i="1"/>
  <c r="I24" i="1"/>
  <c r="I23" i="1"/>
  <c r="I19" i="2" s="1" a="1"/>
  <c r="I19" i="2" s="1"/>
  <c r="I22" i="1"/>
  <c r="I18" i="2" s="1" a="1"/>
  <c r="I18" i="2" s="1"/>
  <c r="I21" i="1"/>
  <c r="I20" i="1"/>
  <c r="I19" i="1"/>
  <c r="I18" i="1"/>
  <c r="I17" i="1"/>
  <c r="I16" i="1"/>
  <c r="I12" i="2" s="1" a="1"/>
  <c r="I12" i="2" s="1"/>
  <c r="I15" i="1"/>
  <c r="I11" i="2" s="1" a="1"/>
  <c r="I11" i="2" s="1"/>
  <c r="I14" i="1"/>
  <c r="I10" i="2" s="1" a="1"/>
  <c r="I10" i="2" s="1"/>
  <c r="I13" i="1"/>
  <c r="I12" i="1"/>
  <c r="I11" i="1"/>
  <c r="I10" i="1"/>
  <c r="I9" i="1"/>
  <c r="I8" i="1"/>
  <c r="I7" i="1"/>
  <c r="I6" i="1"/>
  <c r="I2" i="2" s="1" a="1"/>
  <c r="I2" i="2" s="1"/>
  <c r="I5" i="1"/>
  <c r="I4" i="1"/>
  <c r="I3" i="1"/>
  <c r="I2" i="1"/>
  <c r="H37" i="1"/>
  <c r="H36" i="1"/>
  <c r="H35" i="1"/>
  <c r="H34" i="1"/>
  <c r="H30" i="2" s="1" a="1"/>
  <c r="H30" i="2" s="1"/>
  <c r="H33" i="1"/>
  <c r="H29" i="2" s="1" a="1"/>
  <c r="H29" i="2" s="1"/>
  <c r="H32" i="1"/>
  <c r="H31" i="1"/>
  <c r="H27" i="2" s="1" a="1"/>
  <c r="H27" i="2" s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4" i="2" s="1" a="1"/>
  <c r="H14" i="2" s="1"/>
  <c r="H17" i="1"/>
  <c r="H16" i="1"/>
  <c r="H15" i="1"/>
  <c r="H11" i="2" s="1" a="1"/>
  <c r="H11" i="2" s="1"/>
  <c r="H14" i="1"/>
  <c r="H13" i="1"/>
  <c r="H12" i="1"/>
  <c r="H11" i="1"/>
  <c r="H10" i="1"/>
  <c r="H6" i="2" s="1" a="1"/>
  <c r="H6" i="2" s="1"/>
  <c r="H9" i="1"/>
  <c r="H8" i="1"/>
  <c r="H4" i="2" s="1" a="1"/>
  <c r="H4" i="2" s="1"/>
  <c r="H7" i="1"/>
  <c r="H3" i="2" s="1" a="1"/>
  <c r="H3" i="2" s="1"/>
  <c r="H6" i="1"/>
  <c r="H5" i="1"/>
  <c r="H4" i="1"/>
  <c r="H3" i="1"/>
  <c r="H2" i="1"/>
  <c r="G37" i="1"/>
  <c r="G36" i="1"/>
  <c r="G35" i="1"/>
  <c r="G34" i="1"/>
  <c r="G33" i="1"/>
  <c r="G32" i="1"/>
  <c r="G31" i="1"/>
  <c r="G30" i="1"/>
  <c r="G29" i="1"/>
  <c r="G28" i="1"/>
  <c r="G27" i="1"/>
  <c r="G26" i="1"/>
  <c r="G22" i="2" s="1" a="1"/>
  <c r="G22" i="2" s="1"/>
  <c r="G25" i="1"/>
  <c r="G24" i="1"/>
  <c r="G23" i="1"/>
  <c r="G22" i="1"/>
  <c r="G18" i="2" s="1" a="1"/>
  <c r="G18" i="2" s="1"/>
  <c r="G21" i="1"/>
  <c r="G20" i="1"/>
  <c r="G19" i="1"/>
  <c r="G18" i="1"/>
  <c r="G17" i="1"/>
  <c r="G13" i="2" s="1" a="1"/>
  <c r="G13" i="2" s="1"/>
  <c r="G16" i="1"/>
  <c r="G15" i="1"/>
  <c r="G14" i="1"/>
  <c r="G13" i="1"/>
  <c r="G12" i="1"/>
  <c r="G11" i="1"/>
  <c r="G10" i="1"/>
  <c r="G9" i="1"/>
  <c r="G5" i="2" s="1" a="1"/>
  <c r="G5" i="2" s="1"/>
  <c r="G8" i="1"/>
  <c r="G7" i="1"/>
  <c r="G6" i="1"/>
  <c r="G5" i="1"/>
  <c r="G4" i="1"/>
  <c r="G3" i="1"/>
  <c r="G2" i="1"/>
  <c r="F37" i="1"/>
  <c r="F36" i="1"/>
  <c r="F35" i="1"/>
  <c r="F34" i="1"/>
  <c r="F30" i="2" s="1" a="1"/>
  <c r="F30" i="2" s="1"/>
  <c r="F33" i="1"/>
  <c r="F32" i="1"/>
  <c r="F28" i="2" s="1" a="1"/>
  <c r="F28" i="2" s="1"/>
  <c r="F31" i="1"/>
  <c r="F27" i="2" s="1" a="1"/>
  <c r="F27" i="2" s="1"/>
  <c r="F30" i="1"/>
  <c r="F29" i="1"/>
  <c r="F28" i="1"/>
  <c r="F27" i="1"/>
  <c r="F26" i="1"/>
  <c r="F22" i="2" s="1" a="1"/>
  <c r="F22" i="2" s="1"/>
  <c r="F25" i="1"/>
  <c r="F21" i="2" s="1" a="1"/>
  <c r="F21" i="2" s="1"/>
  <c r="F24" i="1"/>
  <c r="F20" i="2" s="1" a="1"/>
  <c r="F20" i="2" s="1"/>
  <c r="F23" i="1"/>
  <c r="F22" i="1"/>
  <c r="F21" i="1"/>
  <c r="F20" i="1"/>
  <c r="F19" i="1"/>
  <c r="F18" i="1"/>
  <c r="F17" i="1"/>
  <c r="F13" i="2" s="1" a="1"/>
  <c r="F13" i="2" s="1"/>
  <c r="F16" i="1"/>
  <c r="F15" i="1"/>
  <c r="F11" i="2" s="1" a="1"/>
  <c r="F11" i="2" s="1"/>
  <c r="F14" i="1"/>
  <c r="F13" i="1"/>
  <c r="F12" i="1"/>
  <c r="F11" i="1"/>
  <c r="F10" i="1"/>
  <c r="F9" i="1"/>
  <c r="F8" i="1"/>
  <c r="F7" i="1"/>
  <c r="F3" i="2" s="1" a="1"/>
  <c r="F3" i="2" s="1"/>
  <c r="F6" i="1"/>
  <c r="F5" i="1"/>
  <c r="F4" i="1"/>
  <c r="F3" i="1"/>
  <c r="F2" i="1"/>
  <c r="C3" i="1"/>
  <c r="C4" i="1"/>
  <c r="C5" i="1"/>
  <c r="C6" i="1"/>
  <c r="C7" i="1"/>
  <c r="C8" i="1"/>
  <c r="C9" i="1"/>
  <c r="C10" i="1"/>
  <c r="C6" i="2" s="1" a="1"/>
  <c r="C6" i="2" s="1"/>
  <c r="C11" i="1"/>
  <c r="C12" i="1"/>
  <c r="C13" i="1"/>
  <c r="C14" i="1"/>
  <c r="C15" i="1"/>
  <c r="C16" i="1"/>
  <c r="C17" i="1"/>
  <c r="C18" i="1"/>
  <c r="C14" i="2" s="1" a="1"/>
  <c r="C14" i="2" s="1"/>
  <c r="C19" i="1"/>
  <c r="C20" i="1"/>
  <c r="C21" i="1"/>
  <c r="C22" i="1"/>
  <c r="C23" i="1"/>
  <c r="C19" i="2" s="1" a="1"/>
  <c r="C19" i="2" s="1"/>
  <c r="C24" i="1"/>
  <c r="C25" i="1"/>
  <c r="C26" i="1"/>
  <c r="C22" i="2" s="1" a="1"/>
  <c r="C22" i="2" s="1"/>
  <c r="C27" i="1"/>
  <c r="C28" i="1"/>
  <c r="C29" i="1"/>
  <c r="C30" i="1"/>
  <c r="C31" i="1"/>
  <c r="C32" i="1"/>
  <c r="C33" i="1"/>
  <c r="C34" i="1"/>
  <c r="C30" i="2" s="1" a="1"/>
  <c r="C30" i="2" s="1"/>
  <c r="C35" i="1"/>
  <c r="C36" i="1"/>
  <c r="C37" i="1"/>
  <c r="C33" i="2" s="1" a="1"/>
  <c r="C33" i="2" s="1"/>
  <c r="C2" i="1"/>
  <c r="Z61" i="2" a="1"/>
  <c r="Z61" i="2" s="1"/>
  <c r="Y61" i="2" a="1"/>
  <c r="Y61" i="2" s="1"/>
  <c r="X61" i="2" a="1"/>
  <c r="X61" i="2" s="1"/>
  <c r="W61" i="2" a="1"/>
  <c r="W61" i="2" s="1"/>
  <c r="V61" i="2" a="1"/>
  <c r="V61" i="2" s="1"/>
  <c r="U61" i="2" a="1"/>
  <c r="U61" i="2"/>
  <c r="T61" i="2" a="1"/>
  <c r="T61" i="2" s="1"/>
  <c r="S61" i="2" a="1"/>
  <c r="S61" i="2"/>
  <c r="R61" i="2" a="1"/>
  <c r="R61" i="2" s="1"/>
  <c r="P61" i="2" a="1"/>
  <c r="P61" i="2"/>
  <c r="O61" i="2" a="1"/>
  <c r="O61" i="2" s="1"/>
  <c r="N61" i="2" a="1"/>
  <c r="N61" i="2"/>
  <c r="M61" i="2" a="1"/>
  <c r="M61" i="2" s="1"/>
  <c r="L61" i="2" a="1"/>
  <c r="L61" i="2"/>
  <c r="K61" i="2" a="1"/>
  <c r="K61" i="2" s="1"/>
  <c r="J61" i="2" a="1"/>
  <c r="J61" i="2" s="1"/>
  <c r="I61" i="2" a="1"/>
  <c r="I61" i="2" s="1"/>
  <c r="H61" i="2" a="1"/>
  <c r="H61" i="2" s="1"/>
  <c r="G61" i="2" a="1"/>
  <c r="G61" i="2" s="1"/>
  <c r="F61" i="2" a="1"/>
  <c r="F61" i="2" s="1"/>
  <c r="E61" i="2" a="1"/>
  <c r="E61" i="2" s="1"/>
  <c r="D61" i="2" a="1"/>
  <c r="D61" i="2" s="1"/>
  <c r="C61" i="2" a="1"/>
  <c r="C61" i="2" s="1"/>
  <c r="P60" i="2" a="1"/>
  <c r="P60" i="2"/>
  <c r="O60" i="2" a="1"/>
  <c r="O60" i="2" s="1"/>
  <c r="N60" i="2" a="1"/>
  <c r="N60" i="2"/>
  <c r="M60" i="2" a="1"/>
  <c r="M60" i="2" s="1"/>
  <c r="L60" i="2" a="1"/>
  <c r="L60" i="2"/>
  <c r="K60" i="2" a="1"/>
  <c r="K60" i="2" s="1"/>
  <c r="J60" i="2" a="1"/>
  <c r="J60" i="2"/>
  <c r="I60" i="2" a="1"/>
  <c r="I60" i="2" s="1"/>
  <c r="H60" i="2" a="1"/>
  <c r="H60" i="2" s="1"/>
  <c r="G60" i="2" a="1"/>
  <c r="G60" i="2" s="1"/>
  <c r="F60" i="2" a="1"/>
  <c r="F60" i="2" s="1"/>
  <c r="E60" i="2" a="1"/>
  <c r="E60" i="2" s="1"/>
  <c r="D60" i="2" a="1"/>
  <c r="D60" i="2" s="1"/>
  <c r="C60" i="2" a="1"/>
  <c r="C60" i="2" s="1"/>
  <c r="P59" i="2" a="1"/>
  <c r="P59" i="2" s="1"/>
  <c r="O59" i="2" a="1"/>
  <c r="O59" i="2" s="1"/>
  <c r="N59" i="2" a="1"/>
  <c r="N59" i="2"/>
  <c r="M59" i="2" a="1"/>
  <c r="M59" i="2" s="1"/>
  <c r="L59" i="2" a="1"/>
  <c r="L59" i="2"/>
  <c r="K59" i="2" a="1"/>
  <c r="K59" i="2" s="1"/>
  <c r="J59" i="2" a="1"/>
  <c r="J59" i="2"/>
  <c r="I59" i="2" a="1"/>
  <c r="I59" i="2" s="1"/>
  <c r="H59" i="2" a="1"/>
  <c r="H59" i="2"/>
  <c r="G59" i="2" a="1"/>
  <c r="G59" i="2" s="1"/>
  <c r="F59" i="2" a="1"/>
  <c r="F59" i="2" s="1"/>
  <c r="E59" i="2" a="1"/>
  <c r="E59" i="2" s="1"/>
  <c r="D59" i="2" a="1"/>
  <c r="D59" i="2" s="1"/>
  <c r="C59" i="2" a="1"/>
  <c r="C59" i="2" s="1"/>
  <c r="P58" i="2" a="1"/>
  <c r="P58" i="2" s="1"/>
  <c r="O58" i="2" a="1"/>
  <c r="O58" i="2" s="1"/>
  <c r="N58" i="2" a="1"/>
  <c r="N58" i="2" s="1"/>
  <c r="M58" i="2" a="1"/>
  <c r="M58" i="2" s="1"/>
  <c r="L58" i="2" a="1"/>
  <c r="L58" i="2"/>
  <c r="K58" i="2" a="1"/>
  <c r="K58" i="2" s="1"/>
  <c r="J58" i="2" a="1"/>
  <c r="J58" i="2"/>
  <c r="I58" i="2" a="1"/>
  <c r="I58" i="2" s="1"/>
  <c r="H58" i="2" a="1"/>
  <c r="H58" i="2"/>
  <c r="G58" i="2" a="1"/>
  <c r="G58" i="2" s="1"/>
  <c r="F58" i="2" a="1"/>
  <c r="F58" i="2"/>
  <c r="E58" i="2" a="1"/>
  <c r="E58" i="2" s="1"/>
  <c r="D58" i="2" a="1"/>
  <c r="D58" i="2"/>
  <c r="C58" i="2" a="1"/>
  <c r="C58" i="2" s="1"/>
  <c r="P57" i="2" a="1"/>
  <c r="P57" i="2" s="1"/>
  <c r="O57" i="2" a="1"/>
  <c r="O57" i="2" s="1"/>
  <c r="N57" i="2" a="1"/>
  <c r="N57" i="2" s="1"/>
  <c r="M57" i="2" a="1"/>
  <c r="M57" i="2" s="1"/>
  <c r="L57" i="2" a="1"/>
  <c r="L57" i="2" s="1"/>
  <c r="K57" i="2" a="1"/>
  <c r="K57" i="2" s="1"/>
  <c r="J57" i="2" a="1"/>
  <c r="J57" i="2"/>
  <c r="I57" i="2" a="1"/>
  <c r="I57" i="2" s="1"/>
  <c r="H57" i="2" a="1"/>
  <c r="H57" i="2"/>
  <c r="G57" i="2" a="1"/>
  <c r="G57" i="2" s="1"/>
  <c r="F57" i="2" a="1"/>
  <c r="F57" i="2"/>
  <c r="E57" i="2" a="1"/>
  <c r="E57" i="2" s="1"/>
  <c r="D57" i="2" a="1"/>
  <c r="D57" i="2"/>
  <c r="C57" i="2" a="1"/>
  <c r="C57" i="2" s="1"/>
  <c r="P56" i="2" a="1"/>
  <c r="P56" i="2"/>
  <c r="O56" i="2" a="1"/>
  <c r="O56" i="2" s="1"/>
  <c r="N56" i="2" a="1"/>
  <c r="N56" i="2" s="1"/>
  <c r="M56" i="2" a="1"/>
  <c r="M56" i="2" s="1"/>
  <c r="L56" i="2" a="1"/>
  <c r="L56" i="2" s="1"/>
  <c r="K56" i="2" a="1"/>
  <c r="K56" i="2" s="1"/>
  <c r="J56" i="2" a="1"/>
  <c r="J56" i="2" s="1"/>
  <c r="I56" i="2" a="1"/>
  <c r="I56" i="2" s="1"/>
  <c r="H56" i="2" a="1"/>
  <c r="H56" i="2"/>
  <c r="G56" i="2" a="1"/>
  <c r="G56" i="2" s="1"/>
  <c r="F56" i="2" a="1"/>
  <c r="F56" i="2"/>
  <c r="E56" i="2" a="1"/>
  <c r="E56" i="2" s="1"/>
  <c r="D56" i="2" a="1"/>
  <c r="D56" i="2"/>
  <c r="C56" i="2" a="1"/>
  <c r="C56" i="2" s="1"/>
  <c r="P55" i="2" a="1"/>
  <c r="P55" i="2"/>
  <c r="O55" i="2" a="1"/>
  <c r="O55" i="2" s="1"/>
  <c r="N55" i="2" a="1"/>
  <c r="N55" i="2"/>
  <c r="M55" i="2" a="1"/>
  <c r="M55" i="2" s="1"/>
  <c r="L55" i="2" a="1"/>
  <c r="L55" i="2" s="1"/>
  <c r="K55" i="2" a="1"/>
  <c r="K55" i="2" s="1"/>
  <c r="J55" i="2" a="1"/>
  <c r="J55" i="2" s="1"/>
  <c r="I55" i="2" a="1"/>
  <c r="I55" i="2" s="1"/>
  <c r="H55" i="2" a="1"/>
  <c r="H55" i="2" s="1"/>
  <c r="G55" i="2" a="1"/>
  <c r="G55" i="2" s="1"/>
  <c r="F55" i="2" a="1"/>
  <c r="F55" i="2"/>
  <c r="E55" i="2" a="1"/>
  <c r="E55" i="2" s="1"/>
  <c r="D55" i="2" a="1"/>
  <c r="D55" i="2"/>
  <c r="C55" i="2" a="1"/>
  <c r="C55" i="2" s="1"/>
  <c r="P54" i="2" a="1"/>
  <c r="P54" i="2"/>
  <c r="O54" i="2" a="1"/>
  <c r="O54" i="2" s="1"/>
  <c r="N54" i="2" a="1"/>
  <c r="N54" i="2"/>
  <c r="M54" i="2" a="1"/>
  <c r="M54" i="2" s="1"/>
  <c r="L54" i="2" a="1"/>
  <c r="L54" i="2" s="1"/>
  <c r="K54" i="2" a="1"/>
  <c r="K54" i="2" s="1"/>
  <c r="J54" i="2" a="1"/>
  <c r="J54" i="2" s="1"/>
  <c r="I54" i="2" a="1"/>
  <c r="I54" i="2" s="1"/>
  <c r="H54" i="2" a="1"/>
  <c r="H54" i="2" s="1"/>
  <c r="G54" i="2" a="1"/>
  <c r="G54" i="2" s="1"/>
  <c r="F54" i="2" a="1"/>
  <c r="F54" i="2" s="1"/>
  <c r="E54" i="2" a="1"/>
  <c r="E54" i="2" s="1"/>
  <c r="D54" i="2" a="1"/>
  <c r="D54" i="2"/>
  <c r="C54" i="2" a="1"/>
  <c r="C54" i="2" s="1"/>
  <c r="P53" i="2" a="1"/>
  <c r="P53" i="2"/>
  <c r="O53" i="2" a="1"/>
  <c r="O53" i="2" s="1"/>
  <c r="N53" i="2" a="1"/>
  <c r="N53" i="2"/>
  <c r="M53" i="2" a="1"/>
  <c r="M53" i="2" s="1"/>
  <c r="L53" i="2" a="1"/>
  <c r="L53" i="2"/>
  <c r="K53" i="2" a="1"/>
  <c r="K53" i="2" s="1"/>
  <c r="J53" i="2" a="1"/>
  <c r="J53" i="2" s="1"/>
  <c r="I53" i="2" a="1"/>
  <c r="I53" i="2" s="1"/>
  <c r="H53" i="2" a="1"/>
  <c r="H53" i="2" s="1"/>
  <c r="G53" i="2" a="1"/>
  <c r="G53" i="2" s="1"/>
  <c r="F53" i="2" a="1"/>
  <c r="F53" i="2" s="1"/>
  <c r="E53" i="2" a="1"/>
  <c r="E53" i="2" s="1"/>
  <c r="D53" i="2" a="1"/>
  <c r="D53" i="2" s="1"/>
  <c r="C53" i="2" a="1"/>
  <c r="C53" i="2" s="1"/>
  <c r="P52" i="2" a="1"/>
  <c r="P52" i="2"/>
  <c r="O52" i="2" a="1"/>
  <c r="O52" i="2" s="1"/>
  <c r="N52" i="2" a="1"/>
  <c r="N52" i="2"/>
  <c r="M52" i="2" a="1"/>
  <c r="M52" i="2" s="1"/>
  <c r="L52" i="2" a="1"/>
  <c r="L52" i="2"/>
  <c r="K52" i="2" a="1"/>
  <c r="K52" i="2" s="1"/>
  <c r="J52" i="2" a="1"/>
  <c r="J52" i="2"/>
  <c r="I52" i="2" a="1"/>
  <c r="I52" i="2" s="1"/>
  <c r="H52" i="2" a="1"/>
  <c r="H52" i="2"/>
  <c r="G52" i="2" a="1"/>
  <c r="G52" i="2" s="1"/>
  <c r="F52" i="2" a="1"/>
  <c r="F52" i="2" s="1"/>
  <c r="E52" i="2" a="1"/>
  <c r="E52" i="2" s="1"/>
  <c r="D52" i="2" a="1"/>
  <c r="D52" i="2" s="1"/>
  <c r="C52" i="2" a="1"/>
  <c r="C52" i="2" s="1"/>
  <c r="P51" i="2" a="1"/>
  <c r="P51" i="2" s="1"/>
  <c r="O51" i="2" a="1"/>
  <c r="O51" i="2" s="1"/>
  <c r="N51" i="2" a="1"/>
  <c r="N51" i="2"/>
  <c r="M51" i="2" a="1"/>
  <c r="M51" i="2" s="1"/>
  <c r="L51" i="2" a="1"/>
  <c r="L51" i="2"/>
  <c r="K51" i="2" a="1"/>
  <c r="K51" i="2" s="1"/>
  <c r="J51" i="2" a="1"/>
  <c r="J51" i="2"/>
  <c r="I51" i="2" a="1"/>
  <c r="I51" i="2" s="1"/>
  <c r="H51" i="2" a="1"/>
  <c r="H51" i="2"/>
  <c r="G51" i="2" a="1"/>
  <c r="G51" i="2" s="1"/>
  <c r="F51" i="2" a="1"/>
  <c r="F51" i="2"/>
  <c r="E51" i="2" a="1"/>
  <c r="E51" i="2" s="1"/>
  <c r="D51" i="2" a="1"/>
  <c r="D51" i="2" s="1"/>
  <c r="C51" i="2" a="1"/>
  <c r="C51" i="2" s="1"/>
  <c r="P50" i="2" a="1"/>
  <c r="P50" i="2" s="1"/>
  <c r="O50" i="2" a="1"/>
  <c r="O50" i="2" s="1"/>
  <c r="N50" i="2" a="1"/>
  <c r="N50" i="2" s="1"/>
  <c r="M50" i="2" a="1"/>
  <c r="M50" i="2" s="1"/>
  <c r="L50" i="2" a="1"/>
  <c r="L50" i="2"/>
  <c r="K50" i="2" a="1"/>
  <c r="K50" i="2" s="1"/>
  <c r="J50" i="2" a="1"/>
  <c r="J50" i="2"/>
  <c r="I50" i="2" a="1"/>
  <c r="I50" i="2" s="1"/>
  <c r="H50" i="2" a="1"/>
  <c r="H50" i="2"/>
  <c r="G50" i="2" a="1"/>
  <c r="G50" i="2" s="1"/>
  <c r="F50" i="2" a="1"/>
  <c r="F50" i="2"/>
  <c r="E50" i="2" a="1"/>
  <c r="E50" i="2" s="1"/>
  <c r="D50" i="2" a="1"/>
  <c r="D50" i="2"/>
  <c r="C50" i="2" a="1"/>
  <c r="C50" i="2" s="1"/>
  <c r="P49" i="2" a="1"/>
  <c r="P49" i="2" s="1"/>
  <c r="O49" i="2" a="1"/>
  <c r="O49" i="2" s="1"/>
  <c r="N49" i="2" a="1"/>
  <c r="N49" i="2" s="1"/>
  <c r="M49" i="2" a="1"/>
  <c r="M49" i="2" s="1"/>
  <c r="L49" i="2" a="1"/>
  <c r="L49" i="2" s="1"/>
  <c r="K49" i="2" a="1"/>
  <c r="K49" i="2" s="1"/>
  <c r="J49" i="2" a="1"/>
  <c r="J49" i="2"/>
  <c r="I49" i="2" a="1"/>
  <c r="I49" i="2" s="1"/>
  <c r="H49" i="2" a="1"/>
  <c r="H49" i="2"/>
  <c r="G49" i="2" a="1"/>
  <c r="G49" i="2" s="1"/>
  <c r="F49" i="2" a="1"/>
  <c r="F49" i="2"/>
  <c r="E49" i="2" a="1"/>
  <c r="E49" i="2" s="1"/>
  <c r="D49" i="2" a="1"/>
  <c r="D49" i="2"/>
  <c r="C49" i="2" a="1"/>
  <c r="C49" i="2" s="1"/>
  <c r="P48" i="2" a="1"/>
  <c r="P48" i="2"/>
  <c r="O48" i="2" a="1"/>
  <c r="O48" i="2" s="1"/>
  <c r="N48" i="2" a="1"/>
  <c r="N48" i="2" s="1"/>
  <c r="M48" i="2" a="1"/>
  <c r="M48" i="2" s="1"/>
  <c r="L48" i="2" a="1"/>
  <c r="L48" i="2" s="1"/>
  <c r="K48" i="2" a="1"/>
  <c r="K48" i="2" s="1"/>
  <c r="J48" i="2" a="1"/>
  <c r="J48" i="2" s="1"/>
  <c r="I48" i="2" a="1"/>
  <c r="I48" i="2" s="1"/>
  <c r="H48" i="2" a="1"/>
  <c r="H48" i="2"/>
  <c r="G48" i="2" a="1"/>
  <c r="G48" i="2" s="1"/>
  <c r="F48" i="2" a="1"/>
  <c r="F48" i="2"/>
  <c r="E48" i="2" a="1"/>
  <c r="E48" i="2" s="1"/>
  <c r="D48" i="2" a="1"/>
  <c r="D48" i="2"/>
  <c r="C48" i="2" a="1"/>
  <c r="C48" i="2" s="1"/>
  <c r="P47" i="2" a="1"/>
  <c r="P47" i="2"/>
  <c r="O47" i="2" a="1"/>
  <c r="O47" i="2" s="1"/>
  <c r="N47" i="2" a="1"/>
  <c r="N47" i="2"/>
  <c r="M47" i="2" a="1"/>
  <c r="M47" i="2" s="1"/>
  <c r="L47" i="2" a="1"/>
  <c r="L47" i="2" s="1"/>
  <c r="K47" i="2" a="1"/>
  <c r="K47" i="2" s="1"/>
  <c r="J47" i="2" a="1"/>
  <c r="J47" i="2" s="1"/>
  <c r="I47" i="2" a="1"/>
  <c r="I47" i="2" s="1"/>
  <c r="H47" i="2" a="1"/>
  <c r="H47" i="2" s="1"/>
  <c r="G47" i="2" a="1"/>
  <c r="G47" i="2" s="1"/>
  <c r="F47" i="2" a="1"/>
  <c r="F47" i="2"/>
  <c r="E47" i="2" a="1"/>
  <c r="E47" i="2" s="1"/>
  <c r="D47" i="2" a="1"/>
  <c r="D47" i="2"/>
  <c r="C47" i="2" a="1"/>
  <c r="C47" i="2" s="1"/>
  <c r="P46" i="2" a="1"/>
  <c r="P46" i="2"/>
  <c r="O46" i="2" a="1"/>
  <c r="O46" i="2" s="1"/>
  <c r="N46" i="2" a="1"/>
  <c r="N46" i="2"/>
  <c r="M46" i="2" a="1"/>
  <c r="M46" i="2" s="1"/>
  <c r="L46" i="2" a="1"/>
  <c r="L46" i="2"/>
  <c r="K46" i="2" a="1"/>
  <c r="K46" i="2" s="1"/>
  <c r="J46" i="2" a="1"/>
  <c r="J46" i="2" s="1"/>
  <c r="I46" i="2" a="1"/>
  <c r="I46" i="2" s="1"/>
  <c r="H46" i="2" a="1"/>
  <c r="H46" i="2" s="1"/>
  <c r="G46" i="2" a="1"/>
  <c r="G46" i="2" s="1"/>
  <c r="F46" i="2" a="1"/>
  <c r="F46" i="2"/>
  <c r="E46" i="2" a="1"/>
  <c r="E46" i="2" s="1"/>
  <c r="D46" i="2" a="1"/>
  <c r="D46" i="2"/>
  <c r="C46" i="2" a="1"/>
  <c r="C46" i="2" s="1"/>
  <c r="P45" i="2" a="1"/>
  <c r="P45" i="2"/>
  <c r="O45" i="2" a="1"/>
  <c r="O45" i="2" s="1"/>
  <c r="N45" i="2" a="1"/>
  <c r="N45" i="2"/>
  <c r="M45" i="2" a="1"/>
  <c r="M45" i="2" s="1"/>
  <c r="L45" i="2" a="1"/>
  <c r="L45" i="2"/>
  <c r="K45" i="2" a="1"/>
  <c r="K45" i="2" s="1"/>
  <c r="J45" i="2" a="1"/>
  <c r="J45" i="2" s="1"/>
  <c r="I45" i="2" a="1"/>
  <c r="I45" i="2" s="1"/>
  <c r="H45" i="2" a="1"/>
  <c r="H45" i="2" s="1"/>
  <c r="G45" i="2" a="1"/>
  <c r="G45" i="2" s="1"/>
  <c r="F45" i="2" a="1"/>
  <c r="F45" i="2" s="1"/>
  <c r="E45" i="2" a="1"/>
  <c r="E45" i="2" s="1"/>
  <c r="D45" i="2" a="1"/>
  <c r="D45" i="2" s="1"/>
  <c r="C45" i="2" a="1"/>
  <c r="C45" i="2" s="1"/>
  <c r="P44" i="2" a="1"/>
  <c r="P44" i="2"/>
  <c r="O44" i="2" a="1"/>
  <c r="O44" i="2" s="1"/>
  <c r="N44" i="2" a="1"/>
  <c r="N44" i="2"/>
  <c r="M44" i="2" a="1"/>
  <c r="M44" i="2" s="1"/>
  <c r="L44" i="2" a="1"/>
  <c r="L44" i="2"/>
  <c r="K44" i="2" a="1"/>
  <c r="K44" i="2" s="1"/>
  <c r="J44" i="2" a="1"/>
  <c r="J44" i="2" s="1"/>
  <c r="I44" i="2" a="1"/>
  <c r="I44" i="2" s="1"/>
  <c r="H44" i="2" a="1"/>
  <c r="H44" i="2"/>
  <c r="G44" i="2" a="1"/>
  <c r="G44" i="2" s="1"/>
  <c r="F44" i="2" a="1"/>
  <c r="F44" i="2" s="1"/>
  <c r="E44" i="2" a="1"/>
  <c r="E44" i="2" s="1"/>
  <c r="D44" i="2" a="1"/>
  <c r="D44" i="2" s="1"/>
  <c r="C44" i="2" a="1"/>
  <c r="C44" i="2" s="1"/>
  <c r="P43" i="2" a="1"/>
  <c r="P43" i="2"/>
  <c r="O43" i="2" a="1"/>
  <c r="O43" i="2" s="1"/>
  <c r="N43" i="2" a="1"/>
  <c r="N43" i="2"/>
  <c r="M43" i="2" a="1"/>
  <c r="M43" i="2" s="1"/>
  <c r="L43" i="2" a="1"/>
  <c r="L43" i="2" s="1"/>
  <c r="K43" i="2" a="1"/>
  <c r="K43" i="2" s="1"/>
  <c r="J43" i="2" a="1"/>
  <c r="J43" i="2" s="1"/>
  <c r="I43" i="2" a="1"/>
  <c r="I43" i="2" s="1"/>
  <c r="H43" i="2" a="1"/>
  <c r="H43" i="2"/>
  <c r="G43" i="2" a="1"/>
  <c r="G43" i="2" s="1"/>
  <c r="F43" i="2" a="1"/>
  <c r="F43" i="2"/>
  <c r="E43" i="2" a="1"/>
  <c r="E43" i="2" s="1"/>
  <c r="D43" i="2" a="1"/>
  <c r="D43" i="2" s="1"/>
  <c r="C43" i="2" a="1"/>
  <c r="C43" i="2" s="1"/>
  <c r="P42" i="2" a="1"/>
  <c r="P42" i="2"/>
  <c r="O42" i="2" a="1"/>
  <c r="O42" i="2" s="1"/>
  <c r="N42" i="2" a="1"/>
  <c r="N42" i="2"/>
  <c r="M42" i="2" a="1"/>
  <c r="M42" i="2" s="1"/>
  <c r="L42" i="2" a="1"/>
  <c r="L42" i="2"/>
  <c r="K42" i="2" a="1"/>
  <c r="K42" i="2" s="1"/>
  <c r="J42" i="2" a="1"/>
  <c r="J42" i="2" s="1"/>
  <c r="I42" i="2" a="1"/>
  <c r="I42" i="2" s="1"/>
  <c r="H42" i="2" a="1"/>
  <c r="H42" i="2"/>
  <c r="G42" i="2" a="1"/>
  <c r="G42" i="2" s="1"/>
  <c r="F42" i="2" a="1"/>
  <c r="F42" i="2"/>
  <c r="E42" i="2" a="1"/>
  <c r="E42" i="2" s="1"/>
  <c r="D42" i="2" a="1"/>
  <c r="D42" i="2" s="1"/>
  <c r="C42" i="2" a="1"/>
  <c r="C42" i="2" s="1"/>
  <c r="P41" i="2" a="1"/>
  <c r="P41" i="2" s="1"/>
  <c r="O41" i="2" a="1"/>
  <c r="O41" i="2" s="1"/>
  <c r="N41" i="2" a="1"/>
  <c r="N41" i="2" s="1"/>
  <c r="M41" i="2" a="1"/>
  <c r="M41" i="2" s="1"/>
  <c r="L41" i="2" a="1"/>
  <c r="L41" i="2" s="1"/>
  <c r="K41" i="2" a="1"/>
  <c r="K41" i="2" s="1"/>
  <c r="J41" i="2" a="1"/>
  <c r="J41" i="2"/>
  <c r="I41" i="2" a="1"/>
  <c r="I41" i="2" s="1"/>
  <c r="H41" i="2" a="1"/>
  <c r="H41" i="2"/>
  <c r="G41" i="2" a="1"/>
  <c r="G41" i="2" s="1"/>
  <c r="F41" i="2" a="1"/>
  <c r="F41" i="2"/>
  <c r="E41" i="2" a="1"/>
  <c r="E41" i="2" s="1"/>
  <c r="D41" i="2" a="1"/>
  <c r="D41" i="2"/>
  <c r="C41" i="2" a="1"/>
  <c r="C41" i="2" s="1"/>
  <c r="P40" i="2" a="1"/>
  <c r="P40" i="2"/>
  <c r="O40" i="2" a="1"/>
  <c r="O40" i="2" s="1"/>
  <c r="N40" i="2" a="1"/>
  <c r="N40" i="2" s="1"/>
  <c r="M40" i="2" a="1"/>
  <c r="M40" i="2" s="1"/>
  <c r="L40" i="2" a="1"/>
  <c r="L40" i="2" s="1"/>
  <c r="K40" i="2" a="1"/>
  <c r="K40" i="2"/>
  <c r="J40" i="2" a="1"/>
  <c r="J40" i="2" s="1"/>
  <c r="I40" i="2" a="1"/>
  <c r="I40" i="2"/>
  <c r="H40" i="2" a="1"/>
  <c r="H40" i="2"/>
  <c r="G40" i="2" a="1"/>
  <c r="G40" i="2"/>
  <c r="F40" i="2" a="1"/>
  <c r="F40" i="2" s="1"/>
  <c r="E40" i="2" a="1"/>
  <c r="E40" i="2"/>
  <c r="D40" i="2" a="1"/>
  <c r="D40" i="2" s="1"/>
  <c r="C40" i="2" a="1"/>
  <c r="C40" i="2" s="1"/>
  <c r="P39" i="2" a="1"/>
  <c r="P39" i="2" s="1"/>
  <c r="O39" i="2" a="1"/>
  <c r="O39" i="2" s="1"/>
  <c r="N39" i="2" a="1"/>
  <c r="N39" i="2"/>
  <c r="M39" i="2" a="1"/>
  <c r="M39" i="2"/>
  <c r="L39" i="2" a="1"/>
  <c r="L39" i="2" s="1"/>
  <c r="K39" i="2" a="1"/>
  <c r="K39" i="2" s="1"/>
  <c r="J39" i="2" a="1"/>
  <c r="J39" i="2"/>
  <c r="I39" i="2" a="1"/>
  <c r="I39" i="2" s="1"/>
  <c r="H39" i="2" a="1"/>
  <c r="H39" i="2" s="1"/>
  <c r="G39" i="2" a="1"/>
  <c r="G39" i="2"/>
  <c r="F39" i="2" a="1"/>
  <c r="F39" i="2" s="1"/>
  <c r="E39" i="2" a="1"/>
  <c r="E39" i="2"/>
  <c r="D39" i="2" a="1"/>
  <c r="D39" i="2" s="1"/>
  <c r="C39" i="2" a="1"/>
  <c r="C39" i="2" s="1"/>
  <c r="P38" i="2" a="1"/>
  <c r="P38" i="2"/>
  <c r="O38" i="2" a="1"/>
  <c r="O38" i="2"/>
  <c r="N38" i="2" a="1"/>
  <c r="N38" i="2" s="1"/>
  <c r="M38" i="2" a="1"/>
  <c r="M38" i="2"/>
  <c r="L38" i="2" a="1"/>
  <c r="L38" i="2"/>
  <c r="K38" i="2" a="1"/>
  <c r="K38" i="2" s="1"/>
  <c r="J38" i="2" a="1"/>
  <c r="J38" i="2" s="1"/>
  <c r="I38" i="2" a="1"/>
  <c r="I38" i="2" s="1"/>
  <c r="H38" i="2" a="1"/>
  <c r="H38" i="2" s="1"/>
  <c r="G38" i="2" a="1"/>
  <c r="G38" i="2" s="1"/>
  <c r="F38" i="2" a="1"/>
  <c r="F38" i="2" s="1"/>
  <c r="E38" i="2" a="1"/>
  <c r="E38" i="2"/>
  <c r="D38" i="2" a="1"/>
  <c r="D38" i="2"/>
  <c r="C38" i="2" a="1"/>
  <c r="C38" i="2"/>
  <c r="P37" i="2" a="1"/>
  <c r="P37" i="2" s="1"/>
  <c r="O37" i="2" a="1"/>
  <c r="O37" i="2"/>
  <c r="N37" i="2" a="1"/>
  <c r="N37" i="2" s="1"/>
  <c r="M37" i="2" a="1"/>
  <c r="M37" i="2" s="1"/>
  <c r="L37" i="2" a="1"/>
  <c r="L37" i="2" s="1"/>
  <c r="K37" i="2" a="1"/>
  <c r="K37" i="2" s="1"/>
  <c r="J37" i="2" a="1"/>
  <c r="J37" i="2" s="1"/>
  <c r="I37" i="2" a="1"/>
  <c r="I37" i="2"/>
  <c r="H37" i="2" a="1"/>
  <c r="H37" i="2" s="1"/>
  <c r="G37" i="2" a="1"/>
  <c r="G37" i="2"/>
  <c r="F37" i="2" a="1"/>
  <c r="F37" i="2"/>
  <c r="E37" i="2" a="1"/>
  <c r="E37" i="2" s="1"/>
  <c r="D37" i="2" a="1"/>
  <c r="D37" i="2" s="1"/>
  <c r="C37" i="2" a="1"/>
  <c r="C37" i="2"/>
  <c r="P36" i="2" a="1"/>
  <c r="P36" i="2" s="1"/>
  <c r="O36" i="2" a="1"/>
  <c r="O36" i="2" s="1"/>
  <c r="N36" i="2" a="1"/>
  <c r="N36" i="2" s="1"/>
  <c r="M36" i="2" a="1"/>
  <c r="M36" i="2" s="1"/>
  <c r="L36" i="2" a="1"/>
  <c r="L36" i="2" s="1"/>
  <c r="K36" i="2" a="1"/>
  <c r="K36" i="2"/>
  <c r="J36" i="2" a="1"/>
  <c r="J36" i="2" s="1"/>
  <c r="I36" i="2" a="1"/>
  <c r="I36" i="2"/>
  <c r="H36" i="2" a="1"/>
  <c r="H36" i="2"/>
  <c r="G36" i="2" a="1"/>
  <c r="G36" i="2" s="1"/>
  <c r="F36" i="2" a="1"/>
  <c r="F36" i="2" s="1"/>
  <c r="E36" i="2" a="1"/>
  <c r="E36" i="2" s="1"/>
  <c r="D36" i="2" a="1"/>
  <c r="D36" i="2" s="1"/>
  <c r="C36" i="2" a="1"/>
  <c r="C36" i="2"/>
  <c r="P35" i="2" a="1"/>
  <c r="P35" i="2" s="1"/>
  <c r="O35" i="2" a="1"/>
  <c r="O35" i="2" s="1"/>
  <c r="N35" i="2" a="1"/>
  <c r="N35" i="2"/>
  <c r="M35" i="2" a="1"/>
  <c r="M35" i="2"/>
  <c r="L35" i="2" a="1"/>
  <c r="L35" i="2" s="1"/>
  <c r="K35" i="2" a="1"/>
  <c r="K35" i="2"/>
  <c r="J35" i="2" a="1"/>
  <c r="J35" i="2" s="1"/>
  <c r="I35" i="2" a="1"/>
  <c r="I35" i="2" s="1"/>
  <c r="H35" i="2" a="1"/>
  <c r="H35" i="2" s="1"/>
  <c r="G35" i="2" a="1"/>
  <c r="G35" i="2" s="1"/>
  <c r="F35" i="2" a="1"/>
  <c r="F35" i="2"/>
  <c r="E35" i="2" a="1"/>
  <c r="E35" i="2"/>
  <c r="D35" i="2" a="1"/>
  <c r="D35" i="2" s="1"/>
  <c r="C35" i="2" a="1"/>
  <c r="C35" i="2" s="1"/>
  <c r="P34" i="2" a="1"/>
  <c r="P34" i="2"/>
  <c r="O34" i="2" a="1"/>
  <c r="O34" i="2" s="1"/>
  <c r="N34" i="2" a="1"/>
  <c r="N34" i="2" s="1"/>
  <c r="M34" i="2" a="1"/>
  <c r="M34" i="2"/>
  <c r="L34" i="2" a="1"/>
  <c r="L34" i="2" s="1"/>
  <c r="K34" i="2" a="1"/>
  <c r="K34" i="2"/>
  <c r="J34" i="2" a="1"/>
  <c r="J34" i="2" s="1"/>
  <c r="I34" i="2" a="1"/>
  <c r="I34" i="2" s="1"/>
  <c r="H34" i="2" a="1"/>
  <c r="H34" i="2"/>
  <c r="G34" i="2" a="1"/>
  <c r="G34" i="2"/>
  <c r="F34" i="2" a="1"/>
  <c r="F34" i="2" s="1"/>
  <c r="E34" i="2" a="1"/>
  <c r="E34" i="2"/>
  <c r="D34" i="2" a="1"/>
  <c r="D34" i="2"/>
  <c r="C34" i="2" a="1"/>
  <c r="C34" i="2" s="1"/>
  <c r="P33" i="2" a="1"/>
  <c r="P33" i="2" s="1"/>
  <c r="O33" i="2" a="1"/>
  <c r="O33" i="2" s="1"/>
  <c r="N33" i="2" a="1"/>
  <c r="N33" i="2" s="1"/>
  <c r="M33" i="2" a="1"/>
  <c r="M33" i="2" s="1"/>
  <c r="L33" i="2" a="1"/>
  <c r="L33" i="2" s="1"/>
  <c r="K33" i="2" a="1"/>
  <c r="K33" i="2"/>
  <c r="J33" i="2" a="1"/>
  <c r="J33" i="2" s="1"/>
  <c r="I33" i="2" a="1"/>
  <c r="I33" i="2"/>
  <c r="H33" i="2" a="1"/>
  <c r="H33" i="2" s="1"/>
  <c r="G33" i="2" a="1"/>
  <c r="G33" i="2" s="1"/>
  <c r="F33" i="2" a="1"/>
  <c r="F33" i="2" s="1"/>
  <c r="E33" i="2" a="1"/>
  <c r="E33" i="2"/>
  <c r="D33" i="2" a="1"/>
  <c r="D33" i="2" s="1"/>
  <c r="Z32" i="2" a="1"/>
  <c r="Z32" i="2"/>
  <c r="Y32" i="2" a="1"/>
  <c r="Y32" i="2"/>
  <c r="X32" i="2" a="1"/>
  <c r="X32" i="2" s="1"/>
  <c r="W32" i="2" a="1"/>
  <c r="W32" i="2" s="1"/>
  <c r="V32" i="2" a="1"/>
  <c r="V32" i="2"/>
  <c r="U32" i="2" a="1"/>
  <c r="U32" i="2" s="1"/>
  <c r="T32" i="2" a="1"/>
  <c r="T32" i="2" s="1"/>
  <c r="S32" i="2" a="1"/>
  <c r="S32" i="2"/>
  <c r="R32" i="2" a="1"/>
  <c r="R32" i="2" s="1"/>
  <c r="P32" i="2" a="1"/>
  <c r="P32" i="2" s="1"/>
  <c r="O32" i="2" a="1"/>
  <c r="O32" i="2" s="1"/>
  <c r="N32" i="2" a="1"/>
  <c r="N32" i="2"/>
  <c r="M32" i="2" a="1"/>
  <c r="M32" i="2" s="1"/>
  <c r="L32" i="2" a="1"/>
  <c r="L32" i="2"/>
  <c r="K32" i="2" a="1"/>
  <c r="K32" i="2" s="1"/>
  <c r="J32" i="2" a="1"/>
  <c r="J32" i="2" s="1"/>
  <c r="I32" i="2" a="1"/>
  <c r="I32" i="2" s="1"/>
  <c r="H32" i="2" a="1"/>
  <c r="H32" i="2" s="1"/>
  <c r="G32" i="2" a="1"/>
  <c r="G32" i="2" s="1"/>
  <c r="F32" i="2" a="1"/>
  <c r="F32" i="2" s="1"/>
  <c r="E32" i="2" a="1"/>
  <c r="E32" i="2" s="1"/>
  <c r="D32" i="2" a="1"/>
  <c r="D32" i="2" s="1"/>
  <c r="C32" i="2" a="1"/>
  <c r="C32" i="2" s="1"/>
  <c r="Z31" i="2" a="1"/>
  <c r="Z31" i="2"/>
  <c r="Y31" i="2" a="1"/>
  <c r="Y31" i="2" s="1"/>
  <c r="X31" i="2" a="1"/>
  <c r="X31" i="2"/>
  <c r="W31" i="2" a="1"/>
  <c r="W31" i="2" s="1"/>
  <c r="V31" i="2" a="1"/>
  <c r="V31" i="2"/>
  <c r="U31" i="2" a="1"/>
  <c r="U31" i="2" s="1"/>
  <c r="T31" i="2" a="1"/>
  <c r="T31" i="2" s="1"/>
  <c r="S31" i="2" a="1"/>
  <c r="S31" i="2" s="1"/>
  <c r="R31" i="2" a="1"/>
  <c r="R31" i="2" s="1"/>
  <c r="P31" i="2" a="1"/>
  <c r="P31" i="2"/>
  <c r="O31" i="2" a="1"/>
  <c r="O31" i="2" s="1"/>
  <c r="N31" i="2" a="1"/>
  <c r="N31" i="2" s="1"/>
  <c r="M31" i="2" a="1"/>
  <c r="M31" i="2"/>
  <c r="L31" i="2" a="1"/>
  <c r="L31" i="2"/>
  <c r="K31" i="2" a="1"/>
  <c r="K31" i="2" s="1"/>
  <c r="J31" i="2" a="1"/>
  <c r="J31" i="2" s="1"/>
  <c r="H31" i="2" a="1"/>
  <c r="H31" i="2" s="1"/>
  <c r="G31" i="2" a="1"/>
  <c r="G31" i="2" s="1"/>
  <c r="F31" i="2" a="1"/>
  <c r="F31" i="2" s="1"/>
  <c r="E31" i="2" a="1"/>
  <c r="E31" i="2" s="1"/>
  <c r="D31" i="2" a="1"/>
  <c r="D31" i="2" s="1"/>
  <c r="C31" i="2" a="1"/>
  <c r="C31" i="2"/>
  <c r="Z30" i="2" a="1"/>
  <c r="Z30" i="2" s="1"/>
  <c r="Y30" i="2" a="1"/>
  <c r="Y30" i="2"/>
  <c r="X30" i="2" a="1"/>
  <c r="X30" i="2"/>
  <c r="W30" i="2" a="1"/>
  <c r="W30" i="2" s="1"/>
  <c r="V30" i="2" a="1"/>
  <c r="V30" i="2" s="1"/>
  <c r="U30" i="2" a="1"/>
  <c r="U30" i="2" s="1"/>
  <c r="T30" i="2" a="1"/>
  <c r="T30" i="2" s="1"/>
  <c r="S30" i="2" a="1"/>
  <c r="S30" i="2"/>
  <c r="R30" i="2" a="1"/>
  <c r="R30" i="2" s="1"/>
  <c r="P30" i="2" a="1"/>
  <c r="P30" i="2" s="1"/>
  <c r="O30" i="2" a="1"/>
  <c r="O30" i="2"/>
  <c r="N30" i="2" a="1"/>
  <c r="N30" i="2"/>
  <c r="M30" i="2" a="1"/>
  <c r="M30" i="2" s="1"/>
  <c r="K30" i="2" a="1"/>
  <c r="K30" i="2" s="1"/>
  <c r="G30" i="2" a="1"/>
  <c r="G30" i="2"/>
  <c r="E30" i="2" a="1"/>
  <c r="E30" i="2" s="1"/>
  <c r="D30" i="2" a="1"/>
  <c r="D30" i="2"/>
  <c r="Z29" i="2" a="1"/>
  <c r="Z29" i="2" s="1"/>
  <c r="Y29" i="2" a="1"/>
  <c r="Y29" i="2" s="1"/>
  <c r="X29" i="2" a="1"/>
  <c r="X29" i="2"/>
  <c r="W29" i="2" a="1"/>
  <c r="W29" i="2" s="1"/>
  <c r="V29" i="2" a="1"/>
  <c r="V29" i="2" s="1"/>
  <c r="U29" i="2" a="1"/>
  <c r="U29" i="2" s="1"/>
  <c r="T29" i="2" a="1"/>
  <c r="T29" i="2" s="1"/>
  <c r="S29" i="2" a="1"/>
  <c r="S29" i="2" s="1"/>
  <c r="R29" i="2" a="1"/>
  <c r="R29" i="2"/>
  <c r="P29" i="2" a="1"/>
  <c r="P29" i="2" s="1"/>
  <c r="O29" i="2" a="1"/>
  <c r="O29" i="2" s="1"/>
  <c r="N29" i="2" a="1"/>
  <c r="N29" i="2"/>
  <c r="M29" i="2" a="1"/>
  <c r="M29" i="2" s="1"/>
  <c r="K29" i="2" a="1"/>
  <c r="K29" i="2" s="1"/>
  <c r="I29" i="2" a="1"/>
  <c r="I29" i="2" s="1"/>
  <c r="G29" i="2" a="1"/>
  <c r="G29" i="2" s="1"/>
  <c r="F29" i="2" a="1"/>
  <c r="F29" i="2" s="1"/>
  <c r="E29" i="2" a="1"/>
  <c r="E29" i="2"/>
  <c r="D29" i="2" a="1"/>
  <c r="D29" i="2" s="1"/>
  <c r="C29" i="2" a="1"/>
  <c r="C29" i="2" s="1"/>
  <c r="Z28" i="2" a="1"/>
  <c r="Z28" i="2" s="1"/>
  <c r="Y28" i="2" a="1"/>
  <c r="Y28" i="2" s="1"/>
  <c r="X28" i="2" a="1"/>
  <c r="X28" i="2" s="1"/>
  <c r="W28" i="2" a="1"/>
  <c r="W28" i="2" s="1"/>
  <c r="V28" i="2" a="1"/>
  <c r="V28" i="2"/>
  <c r="U28" i="2" a="1"/>
  <c r="U28" i="2"/>
  <c r="T28" i="2" a="1"/>
  <c r="T28" i="2" s="1"/>
  <c r="S28" i="2" a="1"/>
  <c r="S28" i="2" s="1"/>
  <c r="R28" i="2" a="1"/>
  <c r="R28" i="2"/>
  <c r="P28" i="2" a="1"/>
  <c r="P28" i="2" s="1"/>
  <c r="O28" i="2" a="1"/>
  <c r="O28" i="2" s="1"/>
  <c r="N28" i="2" a="1"/>
  <c r="N28" i="2"/>
  <c r="M28" i="2" a="1"/>
  <c r="M28" i="2" s="1"/>
  <c r="K28" i="2" a="1"/>
  <c r="K28" i="2" s="1"/>
  <c r="J28" i="2" a="1"/>
  <c r="J28" i="2" s="1"/>
  <c r="H28" i="2" a="1"/>
  <c r="H28" i="2"/>
  <c r="G28" i="2" a="1"/>
  <c r="G28" i="2" s="1"/>
  <c r="E28" i="2" a="1"/>
  <c r="E28" i="2"/>
  <c r="D28" i="2" a="1"/>
  <c r="D28" i="2" s="1"/>
  <c r="C28" i="2" a="1"/>
  <c r="C28" i="2" s="1"/>
  <c r="Z27" i="2" a="1"/>
  <c r="Z27" i="2" s="1"/>
  <c r="Y27" i="2" a="1"/>
  <c r="Y27" i="2" s="1"/>
  <c r="X27" i="2" a="1"/>
  <c r="X27" i="2" s="1"/>
  <c r="W27" i="2" a="1"/>
  <c r="W27" i="2" s="1"/>
  <c r="V27" i="2" a="1"/>
  <c r="V27" i="2" s="1"/>
  <c r="U27" i="2" a="1"/>
  <c r="U27" i="2" s="1"/>
  <c r="T27" i="2" a="1"/>
  <c r="T27" i="2"/>
  <c r="S27" i="2" a="1"/>
  <c r="S27" i="2" s="1"/>
  <c r="R27" i="2" a="1"/>
  <c r="R27" i="2"/>
  <c r="P27" i="2" a="1"/>
  <c r="P27" i="2" s="1"/>
  <c r="O27" i="2" a="1"/>
  <c r="O27" i="2"/>
  <c r="N27" i="2" a="1"/>
  <c r="N27" i="2" s="1"/>
  <c r="M27" i="2" a="1"/>
  <c r="M27" i="2" s="1"/>
  <c r="L27" i="2" a="1"/>
  <c r="L27" i="2" s="1"/>
  <c r="K27" i="2" a="1"/>
  <c r="K27" i="2" s="1"/>
  <c r="J27" i="2" a="1"/>
  <c r="J27" i="2" s="1"/>
  <c r="G27" i="2" a="1"/>
  <c r="G27" i="2" s="1"/>
  <c r="E27" i="2" a="1"/>
  <c r="E27" i="2" s="1"/>
  <c r="D27" i="2" a="1"/>
  <c r="D27" i="2"/>
  <c r="C27" i="2" a="1"/>
  <c r="C27" i="2" s="1"/>
  <c r="Z26" i="2" a="1"/>
  <c r="Z26" i="2" s="1"/>
  <c r="Y26" i="2" a="1"/>
  <c r="Y26" i="2" s="1"/>
  <c r="X26" i="2" a="1"/>
  <c r="X26" i="2"/>
  <c r="W26" i="2" a="1"/>
  <c r="W26" i="2" s="1"/>
  <c r="V26" i="2" a="1"/>
  <c r="V26" i="2" s="1"/>
  <c r="U26" i="2" a="1"/>
  <c r="U26" i="2"/>
  <c r="T26" i="2" a="1"/>
  <c r="T26" i="2"/>
  <c r="S26" i="2" a="1"/>
  <c r="S26" i="2" s="1"/>
  <c r="R26" i="2" a="1"/>
  <c r="R26" i="2" s="1"/>
  <c r="P26" i="2" a="1"/>
  <c r="P26" i="2"/>
  <c r="O26" i="2" a="1"/>
  <c r="O26" i="2"/>
  <c r="N26" i="2" a="1"/>
  <c r="N26" i="2" s="1"/>
  <c r="M26" i="2" a="1"/>
  <c r="M26" i="2" s="1"/>
  <c r="K26" i="2" a="1"/>
  <c r="K26" i="2"/>
  <c r="J26" i="2" a="1"/>
  <c r="J26" i="2" s="1"/>
  <c r="H26" i="2" a="1"/>
  <c r="H26" i="2" s="1"/>
  <c r="G26" i="2" a="1"/>
  <c r="G26" i="2" s="1"/>
  <c r="F26" i="2" a="1"/>
  <c r="F26" i="2" s="1"/>
  <c r="E26" i="2" a="1"/>
  <c r="E26" i="2" s="1"/>
  <c r="D26" i="2" a="1"/>
  <c r="D26" i="2"/>
  <c r="C26" i="2" a="1"/>
  <c r="C26" i="2"/>
  <c r="Z25" i="2" a="1"/>
  <c r="Z25" i="2" s="1"/>
  <c r="Y25" i="2" a="1"/>
  <c r="Y25" i="2" s="1"/>
  <c r="X25" i="2" a="1"/>
  <c r="X25" i="2" s="1"/>
  <c r="W25" i="2" a="1"/>
  <c r="W25" i="2"/>
  <c r="V25" i="2" a="1"/>
  <c r="V25" i="2" s="1"/>
  <c r="U25" i="2" a="1"/>
  <c r="U25" i="2" s="1"/>
  <c r="T25" i="2" a="1"/>
  <c r="T25" i="2" s="1"/>
  <c r="S25" i="2" a="1"/>
  <c r="S25" i="2" s="1"/>
  <c r="R25" i="2" a="1"/>
  <c r="R25" i="2" s="1"/>
  <c r="P25" i="2" a="1"/>
  <c r="P25" i="2" s="1"/>
  <c r="O25" i="2" a="1"/>
  <c r="O25" i="2" s="1"/>
  <c r="N25" i="2" a="1"/>
  <c r="N25" i="2" s="1"/>
  <c r="M25" i="2" a="1"/>
  <c r="M25" i="2" s="1"/>
  <c r="L25" i="2" a="1"/>
  <c r="L25" i="2" s="1"/>
  <c r="K25" i="2" a="1"/>
  <c r="K25" i="2"/>
  <c r="J25" i="2" a="1"/>
  <c r="J25" i="2" s="1"/>
  <c r="I25" i="2" a="1"/>
  <c r="I25" i="2" s="1"/>
  <c r="H25" i="2" a="1"/>
  <c r="H25" i="2" s="1"/>
  <c r="G25" i="2" a="1"/>
  <c r="G25" i="2" s="1"/>
  <c r="F25" i="2" a="1"/>
  <c r="F25" i="2"/>
  <c r="E25" i="2" a="1"/>
  <c r="E25" i="2" s="1"/>
  <c r="D25" i="2" a="1"/>
  <c r="D25" i="2" s="1"/>
  <c r="C25" i="2" a="1"/>
  <c r="C25" i="2" s="1"/>
  <c r="Z24" i="2" a="1"/>
  <c r="Z24" i="2" s="1"/>
  <c r="Y24" i="2" a="1"/>
  <c r="Y24" i="2" s="1"/>
  <c r="X24" i="2" a="1"/>
  <c r="X24" i="2" s="1"/>
  <c r="W24" i="2" a="1"/>
  <c r="W24" i="2" s="1"/>
  <c r="V24" i="2" a="1"/>
  <c r="V24" i="2" s="1"/>
  <c r="U24" i="2" a="1"/>
  <c r="U24" i="2" s="1"/>
  <c r="T24" i="2" a="1"/>
  <c r="T24" i="2" s="1"/>
  <c r="S24" i="2" a="1"/>
  <c r="S24" i="2"/>
  <c r="R24" i="2" a="1"/>
  <c r="R24" i="2" s="1"/>
  <c r="P24" i="2" a="1"/>
  <c r="P24" i="2" s="1"/>
  <c r="O24" i="2" a="1"/>
  <c r="O24" i="2" s="1"/>
  <c r="N24" i="2" a="1"/>
  <c r="N24" i="2" s="1"/>
  <c r="M24" i="2" a="1"/>
  <c r="M24" i="2"/>
  <c r="L24" i="2" a="1"/>
  <c r="L24" i="2" s="1"/>
  <c r="K24" i="2" a="1"/>
  <c r="K24" i="2" s="1"/>
  <c r="J24" i="2" a="1"/>
  <c r="J24" i="2" s="1"/>
  <c r="I24" i="2" a="1"/>
  <c r="I24" i="2" s="1"/>
  <c r="H24" i="2" a="1"/>
  <c r="H24" i="2" s="1"/>
  <c r="G24" i="2" a="1"/>
  <c r="G24" i="2" s="1"/>
  <c r="F24" i="2" a="1"/>
  <c r="F24" i="2" s="1"/>
  <c r="E24" i="2" a="1"/>
  <c r="E24" i="2" s="1"/>
  <c r="D24" i="2" a="1"/>
  <c r="D24" i="2" s="1"/>
  <c r="C24" i="2" a="1"/>
  <c r="C24" i="2" s="1"/>
  <c r="Z23" i="2" a="1"/>
  <c r="Z23" i="2"/>
  <c r="Y23" i="2" a="1"/>
  <c r="Y23" i="2" s="1"/>
  <c r="X23" i="2" a="1"/>
  <c r="X23" i="2" s="1"/>
  <c r="W23" i="2" a="1"/>
  <c r="W23" i="2" s="1"/>
  <c r="V23" i="2" a="1"/>
  <c r="V23" i="2" s="1"/>
  <c r="U23" i="2" a="1"/>
  <c r="U23" i="2"/>
  <c r="T23" i="2" a="1"/>
  <c r="T23" i="2" s="1"/>
  <c r="S23" i="2" a="1"/>
  <c r="S23" i="2" s="1"/>
  <c r="R23" i="2" a="1"/>
  <c r="R23" i="2" s="1"/>
  <c r="P23" i="2" a="1"/>
  <c r="P23" i="2" s="1"/>
  <c r="O23" i="2" a="1"/>
  <c r="O23" i="2" s="1"/>
  <c r="N23" i="2" a="1"/>
  <c r="N23" i="2" s="1"/>
  <c r="M23" i="2" a="1"/>
  <c r="M23" i="2" s="1"/>
  <c r="L23" i="2" a="1"/>
  <c r="L23" i="2" s="1"/>
  <c r="K23" i="2" a="1"/>
  <c r="K23" i="2" s="1"/>
  <c r="J23" i="2" a="1"/>
  <c r="J23" i="2" s="1"/>
  <c r="I23" i="2" a="1"/>
  <c r="I23" i="2" s="1"/>
  <c r="H23" i="2" a="1"/>
  <c r="H23" i="2" s="1"/>
  <c r="G23" i="2" a="1"/>
  <c r="G23" i="2" s="1"/>
  <c r="F23" i="2" a="1"/>
  <c r="F23" i="2" s="1"/>
  <c r="E23" i="2" a="1"/>
  <c r="E23" i="2" s="1"/>
  <c r="D23" i="2" a="1"/>
  <c r="D23" i="2"/>
  <c r="C23" i="2" a="1"/>
  <c r="C23" i="2" s="1"/>
  <c r="Z22" i="2" a="1"/>
  <c r="Z22" i="2" s="1"/>
  <c r="Y22" i="2" a="1"/>
  <c r="Y22" i="2" s="1"/>
  <c r="X22" i="2" a="1"/>
  <c r="X22" i="2" s="1"/>
  <c r="W22" i="2" a="1"/>
  <c r="W22" i="2" s="1"/>
  <c r="V22" i="2" a="1"/>
  <c r="V22" i="2" s="1"/>
  <c r="U22" i="2" a="1"/>
  <c r="U22" i="2" s="1"/>
  <c r="T22" i="2" a="1"/>
  <c r="T22" i="2" s="1"/>
  <c r="S22" i="2" a="1"/>
  <c r="S22" i="2" s="1"/>
  <c r="R22" i="2" a="1"/>
  <c r="R22" i="2" s="1"/>
  <c r="P22" i="2" a="1"/>
  <c r="P22" i="2"/>
  <c r="O22" i="2" a="1"/>
  <c r="O22" i="2" s="1"/>
  <c r="N22" i="2" a="1"/>
  <c r="N22" i="2" s="1"/>
  <c r="M22" i="2" a="1"/>
  <c r="M22" i="2" s="1"/>
  <c r="L22" i="2" a="1"/>
  <c r="L22" i="2" s="1"/>
  <c r="K22" i="2" a="1"/>
  <c r="K22" i="2" s="1"/>
  <c r="J22" i="2" a="1"/>
  <c r="J22" i="2" s="1"/>
  <c r="I22" i="2" a="1"/>
  <c r="I22" i="2" s="1"/>
  <c r="H22" i="2" a="1"/>
  <c r="H22" i="2" s="1"/>
  <c r="E22" i="2" a="1"/>
  <c r="E22" i="2" s="1"/>
  <c r="D22" i="2" a="1"/>
  <c r="D22" i="2" s="1"/>
  <c r="Z21" i="2" a="1"/>
  <c r="Z21" i="2" s="1"/>
  <c r="Y21" i="2" a="1"/>
  <c r="Y21" i="2" s="1"/>
  <c r="X21" i="2" a="1"/>
  <c r="X21" i="2"/>
  <c r="W21" i="2" a="1"/>
  <c r="W21" i="2" s="1"/>
  <c r="V21" i="2" a="1"/>
  <c r="V21" i="2" s="1"/>
  <c r="U21" i="2" a="1"/>
  <c r="U21" i="2" s="1"/>
  <c r="T21" i="2" a="1"/>
  <c r="T21" i="2" s="1"/>
  <c r="S21" i="2" a="1"/>
  <c r="S21" i="2"/>
  <c r="R21" i="2" a="1"/>
  <c r="R21" i="2" s="1"/>
  <c r="P21" i="2" a="1"/>
  <c r="P21" i="2" s="1"/>
  <c r="O21" i="2" a="1"/>
  <c r="O21" i="2" s="1"/>
  <c r="N21" i="2" a="1"/>
  <c r="N21" i="2" s="1"/>
  <c r="M21" i="2" a="1"/>
  <c r="M21" i="2" s="1"/>
  <c r="L21" i="2" a="1"/>
  <c r="L21" i="2" s="1"/>
  <c r="K21" i="2" a="1"/>
  <c r="K21" i="2" s="1"/>
  <c r="J21" i="2" a="1"/>
  <c r="J21" i="2" s="1"/>
  <c r="I21" i="2" a="1"/>
  <c r="I21" i="2" s="1"/>
  <c r="H21" i="2" a="1"/>
  <c r="H21" i="2" s="1"/>
  <c r="G21" i="2" a="1"/>
  <c r="G21" i="2" s="1"/>
  <c r="E21" i="2" a="1"/>
  <c r="E21" i="2" s="1"/>
  <c r="D21" i="2" a="1"/>
  <c r="D21" i="2" s="1"/>
  <c r="C21" i="2" a="1"/>
  <c r="C21" i="2" s="1"/>
  <c r="Z20" i="2" a="1"/>
  <c r="Z20" i="2"/>
  <c r="Y20" i="2" a="1"/>
  <c r="Y20" i="2" s="1"/>
  <c r="X20" i="2" a="1"/>
  <c r="X20" i="2" s="1"/>
  <c r="W20" i="2" a="1"/>
  <c r="W20" i="2" s="1"/>
  <c r="V20" i="2" a="1"/>
  <c r="V20" i="2" s="1"/>
  <c r="U20" i="2" a="1"/>
  <c r="U20" i="2" s="1"/>
  <c r="T20" i="2" a="1"/>
  <c r="T20" i="2" s="1"/>
  <c r="S20" i="2" a="1"/>
  <c r="S20" i="2" s="1"/>
  <c r="R20" i="2" a="1"/>
  <c r="R20" i="2" s="1"/>
  <c r="P20" i="2" a="1"/>
  <c r="P20" i="2" s="1"/>
  <c r="O20" i="2" a="1"/>
  <c r="O20" i="2" s="1"/>
  <c r="N20" i="2" a="1"/>
  <c r="N20" i="2"/>
  <c r="M20" i="2" a="1"/>
  <c r="M20" i="2" s="1"/>
  <c r="L20" i="2" a="1"/>
  <c r="L20" i="2" s="1"/>
  <c r="K20" i="2" a="1"/>
  <c r="K20" i="2" s="1"/>
  <c r="J20" i="2" a="1"/>
  <c r="J20" i="2" s="1"/>
  <c r="I20" i="2" a="1"/>
  <c r="I20" i="2" s="1"/>
  <c r="H20" i="2" a="1"/>
  <c r="H20" i="2" s="1"/>
  <c r="G20" i="2" a="1"/>
  <c r="G20" i="2" s="1"/>
  <c r="E20" i="2" a="1"/>
  <c r="E20" i="2" s="1"/>
  <c r="D20" i="2" a="1"/>
  <c r="D20" i="2" s="1"/>
  <c r="C20" i="2" a="1"/>
  <c r="C20" i="2" s="1"/>
  <c r="Z19" i="2" a="1"/>
  <c r="Z19" i="2" s="1"/>
  <c r="Y19" i="2" a="1"/>
  <c r="Y19" i="2" s="1"/>
  <c r="X19" i="2" a="1"/>
  <c r="X19" i="2" s="1"/>
  <c r="W19" i="2" a="1"/>
  <c r="W19" i="2" s="1"/>
  <c r="V19" i="2" a="1"/>
  <c r="V19" i="2"/>
  <c r="U19" i="2" a="1"/>
  <c r="U19" i="2" s="1"/>
  <c r="T19" i="2" a="1"/>
  <c r="T19" i="2" s="1"/>
  <c r="S19" i="2" a="1"/>
  <c r="S19" i="2" s="1"/>
  <c r="R19" i="2" a="1"/>
  <c r="R19" i="2" s="1"/>
  <c r="P19" i="2" a="1"/>
  <c r="P19" i="2"/>
  <c r="O19" i="2" a="1"/>
  <c r="O19" i="2" s="1"/>
  <c r="N19" i="2" a="1"/>
  <c r="N19" i="2" s="1"/>
  <c r="M19" i="2" a="1"/>
  <c r="M19" i="2" s="1"/>
  <c r="L19" i="2" a="1"/>
  <c r="L19" i="2" s="1"/>
  <c r="K19" i="2" a="1"/>
  <c r="K19" i="2" s="1"/>
  <c r="J19" i="2" a="1"/>
  <c r="J19" i="2" s="1"/>
  <c r="H19" i="2" a="1"/>
  <c r="H19" i="2" s="1"/>
  <c r="G19" i="2" a="1"/>
  <c r="G19" i="2" s="1"/>
  <c r="F19" i="2" a="1"/>
  <c r="F19" i="2" s="1"/>
  <c r="E19" i="2" a="1"/>
  <c r="E19" i="2"/>
  <c r="D19" i="2" a="1"/>
  <c r="D19" i="2" s="1"/>
  <c r="Z18" i="2" a="1"/>
  <c r="Z18" i="2" s="1"/>
  <c r="Y18" i="2" a="1"/>
  <c r="Y18" i="2" s="1"/>
  <c r="X18" i="2" a="1"/>
  <c r="X18" i="2"/>
  <c r="W18" i="2" a="1"/>
  <c r="W18" i="2" s="1"/>
  <c r="V18" i="2" a="1"/>
  <c r="V18" i="2" s="1"/>
  <c r="U18" i="2" a="1"/>
  <c r="U18" i="2" s="1"/>
  <c r="T18" i="2" a="1"/>
  <c r="T18" i="2" s="1"/>
  <c r="S18" i="2" a="1"/>
  <c r="S18" i="2" s="1"/>
  <c r="R18" i="2" a="1"/>
  <c r="R18" i="2" s="1"/>
  <c r="P18" i="2" a="1"/>
  <c r="P18" i="2" s="1"/>
  <c r="O18" i="2" a="1"/>
  <c r="O18" i="2" s="1"/>
  <c r="N18" i="2" a="1"/>
  <c r="N18" i="2" s="1"/>
  <c r="M18" i="2" a="1"/>
  <c r="M18" i="2" s="1"/>
  <c r="K18" i="2" a="1"/>
  <c r="K18" i="2" s="1"/>
  <c r="J18" i="2" a="1"/>
  <c r="J18" i="2" s="1"/>
  <c r="H18" i="2" a="1"/>
  <c r="H18" i="2" s="1"/>
  <c r="F18" i="2" a="1"/>
  <c r="F18" i="2" s="1"/>
  <c r="E18" i="2" a="1"/>
  <c r="E18" i="2" s="1"/>
  <c r="D18" i="2" a="1"/>
  <c r="D18" i="2" s="1"/>
  <c r="C18" i="2" a="1"/>
  <c r="C18" i="2" s="1"/>
  <c r="Z17" i="2" a="1"/>
  <c r="Z17" i="2" s="1"/>
  <c r="Y17" i="2" a="1"/>
  <c r="Y17" i="2" s="1"/>
  <c r="X17" i="2" a="1"/>
  <c r="X17" i="2" s="1"/>
  <c r="W17" i="2" a="1"/>
  <c r="W17" i="2" s="1"/>
  <c r="V17" i="2" a="1"/>
  <c r="V17" i="2" s="1"/>
  <c r="U17" i="2" a="1"/>
  <c r="U17" i="2" s="1"/>
  <c r="T17" i="2" a="1"/>
  <c r="T17" i="2"/>
  <c r="S17" i="2" a="1"/>
  <c r="S17" i="2" s="1"/>
  <c r="R17" i="2" a="1"/>
  <c r="R17" i="2" s="1"/>
  <c r="P17" i="2" a="1"/>
  <c r="P17" i="2" s="1"/>
  <c r="O17" i="2" a="1"/>
  <c r="O17" i="2" s="1"/>
  <c r="N17" i="2" a="1"/>
  <c r="N17" i="2"/>
  <c r="M17" i="2" a="1"/>
  <c r="M17" i="2" s="1"/>
  <c r="L17" i="2" a="1"/>
  <c r="L17" i="2" s="1"/>
  <c r="K17" i="2" a="1"/>
  <c r="K17" i="2" s="1"/>
  <c r="J17" i="2" a="1"/>
  <c r="J17" i="2" s="1"/>
  <c r="I17" i="2" a="1"/>
  <c r="I17" i="2" s="1"/>
  <c r="H17" i="2" a="1"/>
  <c r="H17" i="2" s="1"/>
  <c r="G17" i="2" a="1"/>
  <c r="G17" i="2" s="1"/>
  <c r="F17" i="2" a="1"/>
  <c r="F17" i="2" s="1"/>
  <c r="E17" i="2" a="1"/>
  <c r="E17" i="2" s="1"/>
  <c r="D17" i="2" a="1"/>
  <c r="D17" i="2" s="1"/>
  <c r="C17" i="2" a="1"/>
  <c r="C17" i="2"/>
  <c r="Z16" i="2" a="1"/>
  <c r="Z16" i="2" s="1"/>
  <c r="Y16" i="2" a="1"/>
  <c r="Y16" i="2" s="1"/>
  <c r="X16" i="2" a="1"/>
  <c r="X16" i="2" s="1"/>
  <c r="W16" i="2" a="1"/>
  <c r="W16" i="2"/>
  <c r="V16" i="2" a="1"/>
  <c r="V16" i="2"/>
  <c r="U16" i="2" a="1"/>
  <c r="U16" i="2"/>
  <c r="T16" i="2" a="1"/>
  <c r="T16" i="2" s="1"/>
  <c r="S16" i="2" a="1"/>
  <c r="S16" i="2" s="1"/>
  <c r="R16" i="2" a="1"/>
  <c r="R16" i="2"/>
  <c r="P16" i="2" a="1"/>
  <c r="P16" i="2" s="1"/>
  <c r="O16" i="2" a="1"/>
  <c r="O16" i="2" s="1"/>
  <c r="N16" i="2" a="1"/>
  <c r="N16" i="2"/>
  <c r="M16" i="2" a="1"/>
  <c r="M16" i="2"/>
  <c r="L16" i="2" a="1"/>
  <c r="L16" i="2" s="1"/>
  <c r="K16" i="2" a="1"/>
  <c r="K16" i="2"/>
  <c r="J16" i="2" a="1"/>
  <c r="J16" i="2"/>
  <c r="I16" i="2" a="1"/>
  <c r="I16" i="2"/>
  <c r="H16" i="2" a="1"/>
  <c r="H16" i="2" s="1"/>
  <c r="G16" i="2" a="1"/>
  <c r="G16" i="2" s="1"/>
  <c r="F16" i="2" a="1"/>
  <c r="F16" i="2"/>
  <c r="E16" i="2" a="1"/>
  <c r="E16" i="2"/>
  <c r="D16" i="2" a="1"/>
  <c r="D16" i="2"/>
  <c r="C16" i="2" a="1"/>
  <c r="C16" i="2"/>
  <c r="Z15" i="2" a="1"/>
  <c r="Z15" i="2"/>
  <c r="Y15" i="2" a="1"/>
  <c r="Y15" i="2"/>
  <c r="X15" i="2" a="1"/>
  <c r="X15" i="2"/>
  <c r="W15" i="2" a="1"/>
  <c r="W15" i="2"/>
  <c r="V15" i="2" a="1"/>
  <c r="V15" i="2"/>
  <c r="U15" i="2" a="1"/>
  <c r="U15" i="2"/>
  <c r="T15" i="2" a="1"/>
  <c r="T15" i="2"/>
  <c r="S15" i="2" a="1"/>
  <c r="S15" i="2"/>
  <c r="R15" i="2" a="1"/>
  <c r="R15" i="2"/>
  <c r="P15" i="2" a="1"/>
  <c r="P15" i="2"/>
  <c r="O15" i="2" a="1"/>
  <c r="O15" i="2"/>
  <c r="N15" i="2" a="1"/>
  <c r="N15" i="2"/>
  <c r="M15" i="2" a="1"/>
  <c r="M15" i="2"/>
  <c r="L15" i="2" a="1"/>
  <c r="L15" i="2"/>
  <c r="K15" i="2" a="1"/>
  <c r="K15" i="2"/>
  <c r="J15" i="2" a="1"/>
  <c r="J15" i="2" s="1"/>
  <c r="I15" i="2" a="1"/>
  <c r="I15" i="2"/>
  <c r="H15" i="2" a="1"/>
  <c r="H15" i="2"/>
  <c r="G15" i="2" a="1"/>
  <c r="G15" i="2"/>
  <c r="F15" i="2" a="1"/>
  <c r="F15" i="2" s="1"/>
  <c r="E15" i="2" a="1"/>
  <c r="E15" i="2"/>
  <c r="D15" i="2" a="1"/>
  <c r="D15" i="2"/>
  <c r="C15" i="2" a="1"/>
  <c r="C15" i="2" s="1"/>
  <c r="Z14" i="2" a="1"/>
  <c r="Z14" i="2"/>
  <c r="Y14" i="2" a="1"/>
  <c r="Y14" i="2"/>
  <c r="X14" i="2" a="1"/>
  <c r="X14" i="2"/>
  <c r="W14" i="2" a="1"/>
  <c r="W14" i="2"/>
  <c r="V14" i="2" a="1"/>
  <c r="V14" i="2"/>
  <c r="U14" i="2" a="1"/>
  <c r="U14" i="2"/>
  <c r="T14" i="2" a="1"/>
  <c r="T14" i="2"/>
  <c r="S14" i="2" a="1"/>
  <c r="S14" i="2"/>
  <c r="R14" i="2" a="1"/>
  <c r="R14" i="2"/>
  <c r="P14" i="2" a="1"/>
  <c r="P14" i="2"/>
  <c r="O14" i="2" a="1"/>
  <c r="O14" i="2"/>
  <c r="N14" i="2" a="1"/>
  <c r="N14" i="2"/>
  <c r="M14" i="2" a="1"/>
  <c r="M14" i="2"/>
  <c r="L14" i="2" a="1"/>
  <c r="L14" i="2" s="1"/>
  <c r="K14" i="2" a="1"/>
  <c r="K14" i="2"/>
  <c r="J14" i="2" a="1"/>
  <c r="J14" i="2"/>
  <c r="I14" i="2" a="1"/>
  <c r="I14" i="2"/>
  <c r="G14" i="2" a="1"/>
  <c r="G14" i="2" s="1"/>
  <c r="F14" i="2" a="1"/>
  <c r="F14" i="2"/>
  <c r="E14" i="2" a="1"/>
  <c r="E14" i="2"/>
  <c r="D14" i="2" a="1"/>
  <c r="D14" i="2"/>
  <c r="Z13" i="2" a="1"/>
  <c r="Z13" i="2"/>
  <c r="Y13" i="2" a="1"/>
  <c r="Y13" i="2"/>
  <c r="X13" i="2" a="1"/>
  <c r="X13" i="2"/>
  <c r="W13" i="2" a="1"/>
  <c r="W13" i="2"/>
  <c r="V13" i="2" a="1"/>
  <c r="V13" i="2"/>
  <c r="U13" i="2" a="1"/>
  <c r="U13" i="2"/>
  <c r="T13" i="2" a="1"/>
  <c r="T13" i="2"/>
  <c r="S13" i="2" a="1"/>
  <c r="S13" i="2"/>
  <c r="R13" i="2" a="1"/>
  <c r="R13" i="2"/>
  <c r="P13" i="2" a="1"/>
  <c r="P13" i="2"/>
  <c r="O13" i="2" a="1"/>
  <c r="O13" i="2"/>
  <c r="N13" i="2" a="1"/>
  <c r="N13" i="2"/>
  <c r="M13" i="2" a="1"/>
  <c r="M13" i="2"/>
  <c r="K13" i="2" a="1"/>
  <c r="K13" i="2"/>
  <c r="J13" i="2" a="1"/>
  <c r="J13" i="2"/>
  <c r="I13" i="2" a="1"/>
  <c r="I13" i="2" s="1"/>
  <c r="H13" i="2" a="1"/>
  <c r="H13" i="2"/>
  <c r="E13" i="2" a="1"/>
  <c r="E13" i="2"/>
  <c r="D13" i="2" a="1"/>
  <c r="D13" i="2"/>
  <c r="C13" i="2" a="1"/>
  <c r="C13" i="2" s="1"/>
  <c r="Z12" i="2" a="1"/>
  <c r="Z12" i="2"/>
  <c r="Y12" i="2" a="1"/>
  <c r="Y12" i="2"/>
  <c r="X12" i="2" a="1"/>
  <c r="X12" i="2"/>
  <c r="W12" i="2" a="1"/>
  <c r="W12" i="2"/>
  <c r="V12" i="2" a="1"/>
  <c r="V12" i="2"/>
  <c r="U12" i="2" a="1"/>
  <c r="U12" i="2"/>
  <c r="T12" i="2" a="1"/>
  <c r="T12" i="2"/>
  <c r="S12" i="2" a="1"/>
  <c r="S12" i="2"/>
  <c r="R12" i="2" a="1"/>
  <c r="R12" i="2"/>
  <c r="P12" i="2" a="1"/>
  <c r="P12" i="2"/>
  <c r="O12" i="2" a="1"/>
  <c r="O12" i="2"/>
  <c r="N12" i="2" a="1"/>
  <c r="N12" i="2"/>
  <c r="M12" i="2" a="1"/>
  <c r="M12" i="2"/>
  <c r="K12" i="2" a="1"/>
  <c r="K12" i="2"/>
  <c r="J12" i="2" a="1"/>
  <c r="J12" i="2"/>
  <c r="H12" i="2" a="1"/>
  <c r="H12" i="2"/>
  <c r="G12" i="2" a="1"/>
  <c r="G12" i="2"/>
  <c r="F12" i="2" a="1"/>
  <c r="F12" i="2" s="1"/>
  <c r="E12" i="2" a="1"/>
  <c r="E12" i="2"/>
  <c r="D12" i="2" a="1"/>
  <c r="D12" i="2"/>
  <c r="C12" i="2" a="1"/>
  <c r="C12" i="2"/>
  <c r="Z11" i="2" a="1"/>
  <c r="Z11" i="2"/>
  <c r="Y11" i="2" a="1"/>
  <c r="Y11" i="2"/>
  <c r="X11" i="2" a="1"/>
  <c r="X11" i="2"/>
  <c r="W11" i="2" a="1"/>
  <c r="W11" i="2"/>
  <c r="V11" i="2" a="1"/>
  <c r="V11" i="2"/>
  <c r="U11" i="2" a="1"/>
  <c r="U11" i="2"/>
  <c r="T11" i="2" a="1"/>
  <c r="T11" i="2"/>
  <c r="S11" i="2" a="1"/>
  <c r="S11" i="2"/>
  <c r="R11" i="2" a="1"/>
  <c r="R11" i="2" s="1"/>
  <c r="P11" i="2" a="1"/>
  <c r="P11" i="2"/>
  <c r="O11" i="2" a="1"/>
  <c r="O11" i="2"/>
  <c r="N11" i="2" a="1"/>
  <c r="N11" i="2"/>
  <c r="M11" i="2" a="1"/>
  <c r="M11" i="2" s="1"/>
  <c r="L11" i="2" a="1"/>
  <c r="L11" i="2" s="1"/>
  <c r="K11" i="2" a="1"/>
  <c r="K11" i="2"/>
  <c r="J11" i="2" a="1"/>
  <c r="J11" i="2"/>
  <c r="G11" i="2" a="1"/>
  <c r="G11" i="2" s="1"/>
  <c r="E11" i="2" a="1"/>
  <c r="E11" i="2" s="1"/>
  <c r="D11" i="2" a="1"/>
  <c r="D11" i="2"/>
  <c r="C11" i="2" a="1"/>
  <c r="C11" i="2" s="1"/>
  <c r="Z10" i="2" a="1"/>
  <c r="Z10" i="2"/>
  <c r="Y10" i="2" a="1"/>
  <c r="Y10" i="2" s="1"/>
  <c r="X10" i="2" a="1"/>
  <c r="X10" i="2"/>
  <c r="W10" i="2" a="1"/>
  <c r="W10" i="2"/>
  <c r="V10" i="2" a="1"/>
  <c r="V10" i="2"/>
  <c r="U10" i="2" a="1"/>
  <c r="U10" i="2" s="1"/>
  <c r="T10" i="2" a="1"/>
  <c r="T10" i="2"/>
  <c r="S10" i="2" a="1"/>
  <c r="S10" i="2"/>
  <c r="R10" i="2" a="1"/>
  <c r="R10" i="2"/>
  <c r="P10" i="2" a="1"/>
  <c r="P10" i="2" s="1"/>
  <c r="O10" i="2" a="1"/>
  <c r="O10" i="2"/>
  <c r="N10" i="2" a="1"/>
  <c r="N10" i="2"/>
  <c r="M10" i="2" a="1"/>
  <c r="M10" i="2"/>
  <c r="K10" i="2" a="1"/>
  <c r="K10" i="2"/>
  <c r="J10" i="2" a="1"/>
  <c r="J10" i="2" s="1"/>
  <c r="H10" i="2" a="1"/>
  <c r="H10" i="2" s="1"/>
  <c r="G10" i="2" a="1"/>
  <c r="G10" i="2" s="1"/>
  <c r="F10" i="2" a="1"/>
  <c r="F10" i="2" s="1"/>
  <c r="E10" i="2" a="1"/>
  <c r="E10" i="2"/>
  <c r="D10" i="2" a="1"/>
  <c r="D10" i="2" s="1"/>
  <c r="C10" i="2" a="1"/>
  <c r="C10" i="2" s="1"/>
  <c r="Z9" i="2" a="1"/>
  <c r="Z9" i="2"/>
  <c r="Y9" i="2" a="1"/>
  <c r="Y9" i="2"/>
  <c r="X9" i="2" a="1"/>
  <c r="X9" i="2" s="1"/>
  <c r="W9" i="2" a="1"/>
  <c r="W9" i="2"/>
  <c r="V9" i="2" a="1"/>
  <c r="V9" i="2"/>
  <c r="U9" i="2" a="1"/>
  <c r="U9" i="2"/>
  <c r="T9" i="2" a="1"/>
  <c r="T9" i="2" s="1"/>
  <c r="S9" i="2" a="1"/>
  <c r="S9" i="2"/>
  <c r="R9" i="2" a="1"/>
  <c r="R9" i="2"/>
  <c r="P9" i="2" a="1"/>
  <c r="P9" i="2"/>
  <c r="O9" i="2" a="1"/>
  <c r="O9" i="2" s="1"/>
  <c r="N9" i="2" a="1"/>
  <c r="N9" i="2"/>
  <c r="M9" i="2" a="1"/>
  <c r="M9" i="2"/>
  <c r="L9" i="2" a="1"/>
  <c r="L9" i="2" s="1"/>
  <c r="K9" i="2" a="1"/>
  <c r="K9" i="2" s="1"/>
  <c r="J9" i="2" a="1"/>
  <c r="J9" i="2" s="1"/>
  <c r="I9" i="2" a="1"/>
  <c r="I9" i="2"/>
  <c r="H9" i="2" a="1"/>
  <c r="H9" i="2"/>
  <c r="G9" i="2" a="1"/>
  <c r="G9" i="2" s="1"/>
  <c r="F9" i="2" a="1"/>
  <c r="F9" i="2" s="1"/>
  <c r="E9" i="2" a="1"/>
  <c r="E9" i="2"/>
  <c r="D9" i="2" a="1"/>
  <c r="D9" i="2"/>
  <c r="C9" i="2" a="1"/>
  <c r="C9" i="2" s="1"/>
  <c r="Z8" i="2" a="1"/>
  <c r="Z8" i="2"/>
  <c r="Y8" i="2" a="1"/>
  <c r="Y8" i="2"/>
  <c r="X8" i="2" a="1"/>
  <c r="X8" i="2"/>
  <c r="W8" i="2" a="1"/>
  <c r="W8" i="2" s="1"/>
  <c r="V8" i="2" a="1"/>
  <c r="V8" i="2"/>
  <c r="U8" i="2" a="1"/>
  <c r="U8" i="2"/>
  <c r="T8" i="2" a="1"/>
  <c r="T8" i="2"/>
  <c r="S8" i="2" a="1"/>
  <c r="S8" i="2" s="1"/>
  <c r="R8" i="2" a="1"/>
  <c r="R8" i="2"/>
  <c r="P8" i="2" a="1"/>
  <c r="P8" i="2"/>
  <c r="O8" i="2" a="1"/>
  <c r="O8" i="2"/>
  <c r="N8" i="2" a="1"/>
  <c r="N8" i="2" s="1"/>
  <c r="M8" i="2" a="1"/>
  <c r="M8" i="2"/>
  <c r="L8" i="2" a="1"/>
  <c r="L8" i="2"/>
  <c r="K8" i="2" a="1"/>
  <c r="K8" i="2"/>
  <c r="J8" i="2" a="1"/>
  <c r="J8" i="2" s="1"/>
  <c r="I8" i="2" a="1"/>
  <c r="I8" i="2"/>
  <c r="H8" i="2" a="1"/>
  <c r="H8" i="2" s="1"/>
  <c r="G8" i="2" a="1"/>
  <c r="G8" i="2"/>
  <c r="F8" i="2" a="1"/>
  <c r="F8" i="2" s="1"/>
  <c r="E8" i="2" a="1"/>
  <c r="E8" i="2"/>
  <c r="D8" i="2" a="1"/>
  <c r="D8" i="2"/>
  <c r="C8" i="2" a="1"/>
  <c r="C8" i="2"/>
  <c r="Z7" i="2" a="1"/>
  <c r="Z7" i="2" s="1"/>
  <c r="Y7" i="2" a="1"/>
  <c r="Y7" i="2"/>
  <c r="X7" i="2" a="1"/>
  <c r="X7" i="2"/>
  <c r="W7" i="2" a="1"/>
  <c r="W7" i="2"/>
  <c r="V7" i="2" a="1"/>
  <c r="V7" i="2" s="1"/>
  <c r="U7" i="2" a="1"/>
  <c r="U7" i="2"/>
  <c r="T7" i="2" a="1"/>
  <c r="T7" i="2"/>
  <c r="S7" i="2" a="1"/>
  <c r="S7" i="2"/>
  <c r="R7" i="2" a="1"/>
  <c r="R7" i="2" s="1"/>
  <c r="P7" i="2" a="1"/>
  <c r="P7" i="2"/>
  <c r="O7" i="2" a="1"/>
  <c r="O7" i="2"/>
  <c r="N7" i="2" a="1"/>
  <c r="N7" i="2"/>
  <c r="M7" i="2" a="1"/>
  <c r="M7" i="2" s="1"/>
  <c r="L7" i="2" a="1"/>
  <c r="L7" i="2"/>
  <c r="K7" i="2" a="1"/>
  <c r="K7" i="2"/>
  <c r="J7" i="2" a="1"/>
  <c r="J7" i="2"/>
  <c r="I7" i="2" a="1"/>
  <c r="I7" i="2" s="1"/>
  <c r="H7" i="2" a="1"/>
  <c r="H7" i="2" s="1"/>
  <c r="G7" i="2" a="1"/>
  <c r="G7" i="2"/>
  <c r="F7" i="2" a="1"/>
  <c r="F7" i="2" s="1"/>
  <c r="E7" i="2" a="1"/>
  <c r="E7" i="2" s="1"/>
  <c r="D7" i="2" a="1"/>
  <c r="D7" i="2"/>
  <c r="C7" i="2" a="1"/>
  <c r="C7" i="2"/>
  <c r="Z6" i="2" a="1"/>
  <c r="Z6" i="2"/>
  <c r="Y6" i="2" a="1"/>
  <c r="Y6" i="2" s="1"/>
  <c r="X6" i="2" a="1"/>
  <c r="X6" i="2"/>
  <c r="W6" i="2" a="1"/>
  <c r="W6" i="2"/>
  <c r="V6" i="2" a="1"/>
  <c r="V6" i="2"/>
  <c r="U6" i="2" a="1"/>
  <c r="U6" i="2" s="1"/>
  <c r="T6" i="2" a="1"/>
  <c r="T6" i="2"/>
  <c r="S6" i="2" a="1"/>
  <c r="S6" i="2"/>
  <c r="R6" i="2" a="1"/>
  <c r="R6" i="2"/>
  <c r="P6" i="2" a="1"/>
  <c r="P6" i="2" s="1"/>
  <c r="O6" i="2" a="1"/>
  <c r="O6" i="2"/>
  <c r="N6" i="2" a="1"/>
  <c r="N6" i="2"/>
  <c r="M6" i="2" a="1"/>
  <c r="M6" i="2"/>
  <c r="K6" i="2" a="1"/>
  <c r="K6" i="2"/>
  <c r="J6" i="2" a="1"/>
  <c r="J6" i="2" s="1"/>
  <c r="I6" i="2" a="1"/>
  <c r="I6" i="2" s="1"/>
  <c r="G6" i="2" a="1"/>
  <c r="G6" i="2"/>
  <c r="F6" i="2" a="1"/>
  <c r="F6" i="2" s="1"/>
  <c r="E6" i="2" a="1"/>
  <c r="E6" i="2"/>
  <c r="D6" i="2" a="1"/>
  <c r="D6" i="2" s="1"/>
  <c r="Z5" i="2" a="1"/>
  <c r="Z5" i="2"/>
  <c r="Y5" i="2" a="1"/>
  <c r="Y5" i="2"/>
  <c r="X5" i="2" a="1"/>
  <c r="X5" i="2" s="1"/>
  <c r="W5" i="2" a="1"/>
  <c r="W5" i="2"/>
  <c r="V5" i="2" a="1"/>
  <c r="V5" i="2"/>
  <c r="U5" i="2" a="1"/>
  <c r="U5" i="2"/>
  <c r="T5" i="2" a="1"/>
  <c r="T5" i="2" s="1"/>
  <c r="S5" i="2" a="1"/>
  <c r="S5" i="2"/>
  <c r="R5" i="2" a="1"/>
  <c r="R5" i="2"/>
  <c r="P5" i="2" a="1"/>
  <c r="P5" i="2"/>
  <c r="O5" i="2" a="1"/>
  <c r="O5" i="2" s="1"/>
  <c r="N5" i="2" a="1"/>
  <c r="N5" i="2"/>
  <c r="M5" i="2" a="1"/>
  <c r="M5" i="2"/>
  <c r="L5" i="2" a="1"/>
  <c r="L5" i="2"/>
  <c r="K5" i="2" a="1"/>
  <c r="K5" i="2" s="1"/>
  <c r="I5" i="2" a="1"/>
  <c r="I5" i="2" s="1"/>
  <c r="H5" i="2" a="1"/>
  <c r="H5" i="2"/>
  <c r="F5" i="2" a="1"/>
  <c r="F5" i="2" s="1"/>
  <c r="E5" i="2" a="1"/>
  <c r="E5" i="2"/>
  <c r="D5" i="2" a="1"/>
  <c r="D5" i="2"/>
  <c r="C5" i="2" a="1"/>
  <c r="C5" i="2" s="1"/>
  <c r="Z4" i="2" a="1"/>
  <c r="Z4" i="2"/>
  <c r="Y4" i="2" a="1"/>
  <c r="Y4" i="2"/>
  <c r="X4" i="2" a="1"/>
  <c r="X4" i="2"/>
  <c r="W4" i="2" a="1"/>
  <c r="W4" i="2" s="1"/>
  <c r="V4" i="2" a="1"/>
  <c r="V4" i="2"/>
  <c r="U4" i="2" a="1"/>
  <c r="U4" i="2"/>
  <c r="T4" i="2" a="1"/>
  <c r="T4" i="2"/>
  <c r="S4" i="2" a="1"/>
  <c r="S4" i="2" s="1"/>
  <c r="R4" i="2" a="1"/>
  <c r="R4" i="2"/>
  <c r="P4" i="2" a="1"/>
  <c r="P4" i="2"/>
  <c r="O4" i="2" a="1"/>
  <c r="O4" i="2"/>
  <c r="N4" i="2" a="1"/>
  <c r="N4" i="2" s="1"/>
  <c r="M4" i="2" a="1"/>
  <c r="M4" i="2"/>
  <c r="K4" i="2" a="1"/>
  <c r="K4" i="2"/>
  <c r="I4" i="2" a="1"/>
  <c r="I4" i="2"/>
  <c r="G4" i="2" a="1"/>
  <c r="G4" i="2" s="1"/>
  <c r="F4" i="2" a="1"/>
  <c r="F4" i="2" s="1"/>
  <c r="E4" i="2" a="1"/>
  <c r="E4" i="2"/>
  <c r="D4" i="2" a="1"/>
  <c r="D4" i="2"/>
  <c r="C4" i="2" a="1"/>
  <c r="C4" i="2"/>
  <c r="Z3" i="2" a="1"/>
  <c r="Z3" i="2" s="1"/>
  <c r="Y3" i="2" a="1"/>
  <c r="Y3" i="2"/>
  <c r="X3" i="2" a="1"/>
  <c r="X3" i="2"/>
  <c r="W3" i="2" a="1"/>
  <c r="W3" i="2"/>
  <c r="V3" i="2" a="1"/>
  <c r="V3" i="2" s="1"/>
  <c r="U3" i="2" a="1"/>
  <c r="U3" i="2"/>
  <c r="T3" i="2" a="1"/>
  <c r="T3" i="2"/>
  <c r="S3" i="2" a="1"/>
  <c r="S3" i="2"/>
  <c r="R3" i="2" a="1"/>
  <c r="R3" i="2" s="1"/>
  <c r="P3" i="2" a="1"/>
  <c r="P3" i="2"/>
  <c r="O3" i="2" a="1"/>
  <c r="O3" i="2"/>
  <c r="N3" i="2" a="1"/>
  <c r="N3" i="2"/>
  <c r="M3" i="2" a="1"/>
  <c r="M3" i="2" s="1"/>
  <c r="L3" i="2" a="1"/>
  <c r="L3" i="2"/>
  <c r="K3" i="2" a="1"/>
  <c r="K3" i="2"/>
  <c r="J3" i="2" a="1"/>
  <c r="J3" i="2"/>
  <c r="I3" i="2" a="1"/>
  <c r="I3" i="2" s="1"/>
  <c r="G3" i="2" a="1"/>
  <c r="G3" i="2" s="1"/>
  <c r="E3" i="2" a="1"/>
  <c r="E3" i="2" s="1"/>
  <c r="D3" i="2" a="1"/>
  <c r="D3" i="2"/>
  <c r="C3" i="2" a="1"/>
  <c r="C3" i="2"/>
  <c r="Z2" i="2" a="1"/>
  <c r="Z2" i="2"/>
  <c r="Y2" i="2" a="1"/>
  <c r="Y2" i="2" s="1"/>
  <c r="X2" i="2" a="1"/>
  <c r="X2" i="2"/>
  <c r="W2" i="2" a="1"/>
  <c r="W2" i="2"/>
  <c r="V2" i="2" a="1"/>
  <c r="V2" i="2"/>
  <c r="U2" i="2" a="1"/>
  <c r="U2" i="2" s="1"/>
  <c r="T2" i="2" a="1"/>
  <c r="T2" i="2"/>
  <c r="S2" i="2" a="1"/>
  <c r="S2" i="2"/>
  <c r="R2" i="2" a="1"/>
  <c r="R2" i="2"/>
  <c r="P2" i="2" a="1"/>
  <c r="P2" i="2" s="1"/>
  <c r="O2" i="2" a="1"/>
  <c r="O2" i="2"/>
  <c r="N2" i="2" a="1"/>
  <c r="N2" i="2"/>
  <c r="M2" i="2" a="1"/>
  <c r="M2" i="2"/>
  <c r="K2" i="2" a="1"/>
  <c r="K2" i="2"/>
  <c r="J2" i="2" a="1"/>
  <c r="J2" i="2" s="1"/>
  <c r="H2" i="2" a="1"/>
  <c r="H2" i="2" s="1"/>
  <c r="G2" i="2" a="1"/>
  <c r="G2" i="2" s="1"/>
  <c r="F2" i="2" a="1"/>
  <c r="F2" i="2" s="1"/>
  <c r="E2" i="2" a="1"/>
  <c r="E2" i="2"/>
  <c r="D2" i="2" a="1"/>
  <c r="D2" i="2" s="1"/>
  <c r="C2" i="2" a="1"/>
  <c r="C2" i="2"/>
  <c r="X65" i="4" l="1"/>
  <c r="Z65" i="4"/>
  <c r="R65" i="4"/>
  <c r="V65" i="4"/>
  <c r="Y65" i="4"/>
  <c r="S65" i="4"/>
  <c r="W65" i="4"/>
  <c r="T65" i="4"/>
  <c r="U65" i="4"/>
  <c r="M66" i="4" a="1"/>
  <c r="M66" i="4" s="1"/>
  <c r="D66" i="4" a="1"/>
  <c r="D66" i="4" s="1"/>
  <c r="V66" i="4" a="1"/>
  <c r="V66" i="4" s="1"/>
  <c r="T66" i="4" a="1"/>
  <c r="T66" i="4" s="1"/>
  <c r="K66" i="4" a="1"/>
  <c r="K66" i="4" s="1"/>
  <c r="X66" i="4" a="1"/>
  <c r="X66" i="4" s="1"/>
  <c r="N66" i="4" a="1"/>
  <c r="N66" i="4" s="1"/>
  <c r="W66" i="4" a="1"/>
  <c r="W66" i="4" s="1"/>
  <c r="E66" i="4" a="1"/>
  <c r="E66" i="4" s="1"/>
  <c r="U66" i="4" a="1"/>
  <c r="U66" i="4" s="1"/>
  <c r="O66" i="4" a="1"/>
  <c r="O66" i="4" s="1"/>
  <c r="S66" i="4" a="1"/>
  <c r="S66" i="4" s="1"/>
  <c r="Z66" i="4" a="1"/>
  <c r="Z66" i="4" s="1"/>
  <c r="R66" i="4" a="1"/>
  <c r="R66" i="4" s="1"/>
  <c r="P66" i="4" a="1"/>
  <c r="P66" i="4" s="1"/>
  <c r="Y66" i="4" a="1"/>
  <c r="Y66" i="4" s="1"/>
  <c r="Y66" i="2" a="1"/>
  <c r="Y66" i="2" s="1"/>
  <c r="Y65" i="2" a="1"/>
  <c r="Y65" i="2" s="1"/>
  <c r="U66" i="2" a="1"/>
  <c r="U66" i="2" s="1"/>
  <c r="U65" i="2" a="1"/>
  <c r="U65" i="2" s="1"/>
  <c r="P66" i="2" a="1"/>
  <c r="P66" i="2" s="1"/>
  <c r="P65" i="2" a="1"/>
  <c r="P65" i="2" s="1"/>
  <c r="D66" i="2" a="1"/>
  <c r="D66" i="2" s="1"/>
  <c r="D65" i="2" a="1"/>
  <c r="D65" i="2" s="1"/>
  <c r="Z66" i="2" a="1"/>
  <c r="Z66" i="2" s="1"/>
  <c r="Z65" i="2" a="1"/>
  <c r="Z65" i="2" s="1"/>
  <c r="R66" i="2" a="1"/>
  <c r="R66" i="2" s="1"/>
  <c r="R65" i="2" a="1"/>
  <c r="R65" i="2" s="1"/>
  <c r="N66" i="2" a="1"/>
  <c r="N66" i="2" s="1"/>
  <c r="N65" i="2" a="1"/>
  <c r="N65" i="2" s="1"/>
  <c r="S66" i="2" a="1"/>
  <c r="S66" i="2" s="1"/>
  <c r="S65" i="2" a="1"/>
  <c r="S65" i="2" s="1"/>
  <c r="W66" i="2" a="1"/>
  <c r="W66" i="2" s="1"/>
  <c r="W65" i="2" a="1"/>
  <c r="W65" i="2" s="1"/>
  <c r="E66" i="2" a="1"/>
  <c r="E66" i="2" s="1"/>
  <c r="E65" i="2" a="1"/>
  <c r="E65" i="2" s="1"/>
  <c r="M66" i="2" a="1"/>
  <c r="M66" i="2" s="1"/>
  <c r="M65" i="2" a="1"/>
  <c r="M65" i="2" s="1"/>
  <c r="V66" i="2" a="1"/>
  <c r="V66" i="2" s="1"/>
  <c r="V65" i="2" a="1"/>
  <c r="V65" i="2" s="1"/>
  <c r="K66" i="2" a="1"/>
  <c r="K66" i="2" s="1"/>
  <c r="K65" i="2" a="1"/>
  <c r="K65" i="2" s="1"/>
  <c r="O66" i="2" a="1"/>
  <c r="O66" i="2" s="1"/>
  <c r="O65" i="2" a="1"/>
  <c r="O65" i="2" s="1"/>
  <c r="T66" i="2" a="1"/>
  <c r="T66" i="2" s="1"/>
  <c r="T65" i="2" a="1"/>
  <c r="T65" i="2" s="1"/>
  <c r="X66" i="2" a="1"/>
  <c r="X66" i="2" s="1"/>
  <c r="X65" i="2" a="1"/>
  <c r="X6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<sst xmlns="http://schemas.openxmlformats.org/spreadsheetml/2006/main" count="103" uniqueCount="28">
  <si>
    <t>GDP(SA) True</t>
  </si>
  <si>
    <t>DFM</t>
  </si>
  <si>
    <t>BEM1</t>
  </si>
  <si>
    <t>BEM2</t>
  </si>
  <si>
    <t>BEM3</t>
  </si>
  <si>
    <t>LBVAR</t>
  </si>
  <si>
    <t>TFM</t>
  </si>
  <si>
    <t>T-M</t>
  </si>
  <si>
    <t>VAR</t>
  </si>
  <si>
    <t>SVR-KNN</t>
  </si>
  <si>
    <t>CRNN</t>
  </si>
  <si>
    <t>RF-DVS</t>
  </si>
  <si>
    <t>S-XGB</t>
  </si>
  <si>
    <t>LQR</t>
  </si>
  <si>
    <t>OptimARIMA</t>
  </si>
  <si>
    <t>Avg</t>
  </si>
  <si>
    <t>Med</t>
  </si>
  <si>
    <t>AdaMSM</t>
  </si>
  <si>
    <t>DQS</t>
  </si>
  <si>
    <t>BMA</t>
  </si>
  <si>
    <t>DMA</t>
  </si>
  <si>
    <t>LOP</t>
  </si>
  <si>
    <t>AFTER</t>
  </si>
  <si>
    <t>DQS_Mk2</t>
  </si>
  <si>
    <t>.</t>
  </si>
  <si>
    <t>MAE</t>
  </si>
  <si>
    <t>전기간(08~22)</t>
  </si>
  <si>
    <t>GFC(08~09)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</si>
</sst>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2" x14ac:knownFonts="1">
    <font>
      <sz val="10"/>
      <color indexed="8"/>
      <name val="Arial"/>
    </font>
    <font>
      <sz val="8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31">
    <xf numFmtId="0" fontId="0" fillId="0" borderId="0" xfId="0"/>
    <xf numFmtId="0" fontId="0" fillId="0" borderId="0" xfId="0" applyNumberFormat="1"/>
    <xf numFmtId="0" fontId="0" fillId="2" borderId="1" xfId="0" applyFill="1" applyBorder="1"/>
    <xf numFmtId="49" fontId="0" fillId="3" borderId="2" xfId="0" applyNumberFormat="1" applyFill="1" applyBorder="1"/>
    <xf numFmtId="49" fontId="0" fillId="4" borderId="3" xfId="0" applyNumberFormat="1" applyFill="1" applyBorder="1"/>
    <xf numFmtId="49" fontId="0" fillId="4" borderId="4" xfId="0" applyNumberFormat="1" applyFill="1" applyBorder="1"/>
    <xf numFmtId="0" fontId="0" fillId="4" borderId="4" xfId="0" applyFill="1" applyBorder="1"/>
    <xf numFmtId="49" fontId="0" fillId="4" borderId="4" xfId="0" applyNumberFormat="1" applyFill="1" applyBorder="1" applyAlignment="1">
      <alignment vertical="center"/>
    </xf>
    <xf numFmtId="14" fontId="0" fillId="2" borderId="5" xfId="0" applyNumberFormat="1" applyFill="1" applyBorder="1"/>
    <xf numFmtId="0" fontId="0" fillId="3" borderId="5" xfId="0" applyNumberFormat="1" applyFill="1" applyBorder="1"/>
    <xf numFmtId="0" fontId="0" fillId="4" borderId="4" xfId="0" applyNumberFormat="1" applyFill="1" applyBorder="1"/>
    <xf numFmtId="14" fontId="0" fillId="2" borderId="4" xfId="0" applyNumberFormat="1" applyFill="1" applyBorder="1"/>
    <xf numFmtId="0" fontId="0" fillId="3" borderId="4" xfId="0" applyNumberFormat="1" applyFill="1" applyBorder="1"/>
    <xf numFmtId="14" fontId="0" fillId="2" borderId="6" xfId="0" applyNumberFormat="1" applyFill="1" applyBorder="1"/>
    <xf numFmtId="0" fontId="0" fillId="3" borderId="6" xfId="0" applyNumberFormat="1" applyFill="1" applyBorder="1"/>
    <xf numFmtId="14" fontId="0" fillId="2" borderId="7" xfId="0" applyNumberFormat="1" applyFill="1" applyBorder="1"/>
    <xf numFmtId="0" fontId="0" fillId="3" borderId="8" xfId="0" applyNumberFormat="1" applyFill="1" applyBorder="1"/>
    <xf numFmtId="0" fontId="0" fillId="4" borderId="4" xfId="0" applyNumberFormat="1" applyFill="1" applyBorder="1" applyAlignment="1">
      <alignment vertical="center"/>
    </xf>
    <xf numFmtId="176" fontId="0" fillId="4" borderId="3" xfId="0" applyNumberFormat="1" applyFill="1" applyBorder="1"/>
    <xf numFmtId="176" fontId="0" fillId="4" borderId="4" xfId="0" applyNumberFormat="1" applyFill="1" applyBorder="1"/>
    <xf numFmtId="0" fontId="0" fillId="4" borderId="5" xfId="0" applyFill="1" applyBorder="1"/>
    <xf numFmtId="0" fontId="0" fillId="4" borderId="3" xfId="0" applyNumberFormat="1" applyFill="1" applyBorder="1"/>
    <xf numFmtId="0" fontId="0" fillId="4" borderId="6" xfId="0" applyFill="1" applyBorder="1"/>
    <xf numFmtId="49" fontId="0" fillId="5" borderId="7" xfId="0" applyNumberFormat="1" applyFill="1" applyBorder="1"/>
    <xf numFmtId="0" fontId="0" fillId="4" borderId="3" xfId="0" applyFill="1" applyBorder="1"/>
    <xf numFmtId="49" fontId="0" fillId="6" borderId="7" xfId="0" applyNumberFormat="1" applyFill="1" applyBorder="1"/>
    <xf numFmtId="0" fontId="0" fillId="4" borderId="9" xfId="0" applyNumberFormat="1" applyFill="1" applyBorder="1"/>
    <xf numFmtId="0" fontId="0" fillId="5" borderId="8" xfId="0" applyNumberFormat="1" applyFill="1" applyBorder="1"/>
    <xf numFmtId="49" fontId="0" fillId="6" borderId="10" xfId="0" applyNumberFormat="1" applyFill="1" applyBorder="1"/>
    <xf numFmtId="0" fontId="0" fillId="5" borderId="11" xfId="0" applyNumberFormat="1" applyFill="1" applyBorder="1"/>
    <xf numFmtId="0" fontId="0" fillId="7" borderId="4" xfId="0" applyNumberFormat="1" applyFill="1" applyBorder="1"/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9DAF8"/>
      <rgbColor rgb="FFAAAAAA"/>
      <rgbColor rgb="FFEFEFEF"/>
      <rgbColor rgb="FFFFFFFF"/>
      <rgbColor rgb="FFFFFF00"/>
      <rgbColor rgb="FFF7964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6"/>
  <sheetViews>
    <sheetView showGridLines="0" workbookViewId="0">
      <selection activeCell="J2" sqref="J2"/>
    </sheetView>
  </sheetViews>
  <sheetFormatPr defaultColWidth="10.44140625" defaultRowHeight="15.75" customHeight="1" x14ac:dyDescent="0.25"/>
  <cols>
    <col min="1" max="27" width="10.44140625" style="1" customWidth="1"/>
    <col min="28" max="16384" width="10.44140625" style="1"/>
  </cols>
  <sheetData>
    <row r="1" spans="1:26" ht="15.45" customHeight="1" x14ac:dyDescent="0.25">
      <c r="A1" s="2"/>
      <c r="B1" s="3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6"/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</row>
    <row r="2" spans="1:26" ht="15.45" customHeight="1" x14ac:dyDescent="0.25">
      <c r="A2" s="8">
        <v>39142</v>
      </c>
      <c r="B2" s="9">
        <v>1.8</v>
      </c>
      <c r="C2" s="6" t="e">
        <f>NA()</f>
        <v>#N/A</v>
      </c>
      <c r="D2" s="10">
        <v>1.04850396456957</v>
      </c>
      <c r="E2" s="10">
        <v>1.11859909539671</v>
      </c>
      <c r="F2" s="6" t="e">
        <f>NA()</f>
        <v>#N/A</v>
      </c>
      <c r="G2" s="6" t="e">
        <f>NA()</f>
        <v>#N/A</v>
      </c>
      <c r="H2" s="6" t="e">
        <f>NA()</f>
        <v>#N/A</v>
      </c>
      <c r="I2" s="6" t="e">
        <f>NA()</f>
        <v>#N/A</v>
      </c>
      <c r="J2" s="6" t="e">
        <f>NA()</f>
        <v>#N/A</v>
      </c>
      <c r="K2" s="10">
        <v>1.6376398183967</v>
      </c>
      <c r="L2" s="6" t="e">
        <f>NA()</f>
        <v>#N/A</v>
      </c>
      <c r="M2" s="10">
        <v>1.3805339118664199</v>
      </c>
      <c r="N2" s="10">
        <v>1.3003065586090099</v>
      </c>
      <c r="O2" s="10">
        <v>1.1019913657412199</v>
      </c>
      <c r="P2" s="10">
        <v>3.18772810423871</v>
      </c>
      <c r="Q2" s="6"/>
      <c r="R2" s="10">
        <v>1.5393289741169101</v>
      </c>
      <c r="S2" s="10">
        <v>1.3003065586090099</v>
      </c>
      <c r="T2" s="10">
        <v>1.5393289741169101</v>
      </c>
      <c r="U2" s="10">
        <v>1.3003065586090099</v>
      </c>
      <c r="V2" s="10">
        <v>1.5393289741169101</v>
      </c>
      <c r="W2" s="10">
        <v>1.5393289741169101</v>
      </c>
      <c r="X2" s="10">
        <v>1.5393289741169101</v>
      </c>
      <c r="Y2" s="10">
        <v>1.5393289741169101</v>
      </c>
      <c r="Z2" s="10">
        <v>1.5393289741169101</v>
      </c>
    </row>
    <row r="3" spans="1:26" ht="15.45" customHeight="1" x14ac:dyDescent="0.25">
      <c r="A3" s="11">
        <v>39234</v>
      </c>
      <c r="B3" s="12">
        <v>1.7</v>
      </c>
      <c r="C3" s="6" t="e">
        <f>NA()</f>
        <v>#N/A</v>
      </c>
      <c r="D3" s="10">
        <v>1.4101225660583701</v>
      </c>
      <c r="E3" s="10">
        <v>1.10731096588754</v>
      </c>
      <c r="F3" s="6" t="e">
        <f>NA()</f>
        <v>#N/A</v>
      </c>
      <c r="G3" s="6" t="e">
        <f>NA()</f>
        <v>#N/A</v>
      </c>
      <c r="H3" s="6" t="e">
        <f>NA()</f>
        <v>#N/A</v>
      </c>
      <c r="I3" s="6" t="e">
        <f>NA()</f>
        <v>#N/A</v>
      </c>
      <c r="J3" s="6" t="e">
        <f>NA()</f>
        <v>#N/A</v>
      </c>
      <c r="K3" s="10">
        <v>1.3036866294917699</v>
      </c>
      <c r="L3" s="6" t="e">
        <f>NA()</f>
        <v>#N/A</v>
      </c>
      <c r="M3" s="10">
        <v>1.38992504038626</v>
      </c>
      <c r="N3" s="10">
        <v>1.34529149532318</v>
      </c>
      <c r="O3" s="10">
        <v>0.74539514069824497</v>
      </c>
      <c r="P3" s="10">
        <v>1.52310061250387</v>
      </c>
      <c r="Q3" s="6"/>
      <c r="R3" s="10">
        <v>1.2606903500498901</v>
      </c>
      <c r="S3" s="10">
        <v>1.34529149532318</v>
      </c>
      <c r="T3" s="10">
        <v>1.2606903500498901</v>
      </c>
      <c r="U3" s="10">
        <v>1.34529149532318</v>
      </c>
      <c r="V3" s="10">
        <v>1.2606903500498901</v>
      </c>
      <c r="W3" s="10">
        <v>1.2606903500498901</v>
      </c>
      <c r="X3" s="10">
        <v>1.2606903500498901</v>
      </c>
      <c r="Y3" s="10">
        <v>1.2606903500498901</v>
      </c>
      <c r="Z3" s="10">
        <v>1.2606903500498901</v>
      </c>
    </row>
    <row r="4" spans="1:26" ht="15.45" customHeight="1" x14ac:dyDescent="0.25">
      <c r="A4" s="11">
        <v>39326</v>
      </c>
      <c r="B4" s="12">
        <v>1.2</v>
      </c>
      <c r="C4" s="6" t="e">
        <f>NA()</f>
        <v>#N/A</v>
      </c>
      <c r="D4" s="10">
        <v>1.1866527349203799</v>
      </c>
      <c r="E4" s="10">
        <v>1.1438283919577701</v>
      </c>
      <c r="F4" s="6" t="e">
        <f>NA()</f>
        <v>#N/A</v>
      </c>
      <c r="G4" s="6" t="e">
        <f>NA()</f>
        <v>#N/A</v>
      </c>
      <c r="H4" s="6" t="e">
        <f>NA()</f>
        <v>#N/A</v>
      </c>
      <c r="I4" s="6" t="e">
        <f>NA()</f>
        <v>#N/A</v>
      </c>
      <c r="J4" s="6" t="e">
        <f>NA()</f>
        <v>#N/A</v>
      </c>
      <c r="K4" s="10">
        <v>1.29238477392337</v>
      </c>
      <c r="L4" s="6" t="e">
        <f>NA()</f>
        <v>#N/A</v>
      </c>
      <c r="M4" s="10">
        <v>1.17288451790564</v>
      </c>
      <c r="N4" s="10">
        <v>1.38642477989197</v>
      </c>
      <c r="O4" s="10">
        <v>0.95089590389864997</v>
      </c>
      <c r="P4" s="10">
        <v>1.09815840238468</v>
      </c>
      <c r="Q4" s="6"/>
      <c r="R4" s="10">
        <v>1.17588992926892</v>
      </c>
      <c r="S4" s="10">
        <v>1.17288451790564</v>
      </c>
      <c r="T4" s="10">
        <v>1.17588992926892</v>
      </c>
      <c r="U4" s="10">
        <v>1.17288451790564</v>
      </c>
      <c r="V4" s="10">
        <v>1.17588992926892</v>
      </c>
      <c r="W4" s="10">
        <v>1.17588992926892</v>
      </c>
      <c r="X4" s="10">
        <v>1.17588992926892</v>
      </c>
      <c r="Y4" s="10">
        <v>1.17588992926892</v>
      </c>
      <c r="Z4" s="10">
        <v>1.17588992926892</v>
      </c>
    </row>
    <row r="5" spans="1:26" ht="15.45" customHeight="1" x14ac:dyDescent="0.25">
      <c r="A5" s="13">
        <v>39417</v>
      </c>
      <c r="B5" s="14">
        <v>2</v>
      </c>
      <c r="C5" s="6" t="e">
        <f>NA()</f>
        <v>#N/A</v>
      </c>
      <c r="D5" s="10">
        <v>1.0176757475571601</v>
      </c>
      <c r="E5" s="10">
        <v>0.92840886012961499</v>
      </c>
      <c r="F5" s="6" t="e">
        <f>NA()</f>
        <v>#N/A</v>
      </c>
      <c r="G5" s="6" t="e">
        <f>NA()</f>
        <v>#N/A</v>
      </c>
      <c r="H5" s="6" t="e">
        <f>NA()</f>
        <v>#N/A</v>
      </c>
      <c r="I5" s="6" t="e">
        <f>NA()</f>
        <v>#N/A</v>
      </c>
      <c r="J5" s="6" t="e">
        <f>NA()</f>
        <v>#N/A</v>
      </c>
      <c r="K5" s="10">
        <v>1.34131183522435</v>
      </c>
      <c r="L5" s="6" t="e">
        <f>NA()</f>
        <v>#N/A</v>
      </c>
      <c r="M5" s="10">
        <v>1.0484643965524501</v>
      </c>
      <c r="N5" s="10">
        <v>1.3644819259643599</v>
      </c>
      <c r="O5" s="10">
        <v>2.5942174291014202</v>
      </c>
      <c r="P5" s="10">
        <v>1.44545012583067</v>
      </c>
      <c r="Q5" s="6"/>
      <c r="R5" s="10">
        <v>1.39143004576572</v>
      </c>
      <c r="S5" s="10">
        <v>1.34131183522435</v>
      </c>
      <c r="T5" s="10">
        <v>1.39143004576572</v>
      </c>
      <c r="U5" s="10">
        <v>1.4167419312130101</v>
      </c>
      <c r="V5" s="10">
        <v>1.39143004576572</v>
      </c>
      <c r="W5" s="10">
        <v>1.39143004576572</v>
      </c>
      <c r="X5" s="10">
        <v>1.39143004576572</v>
      </c>
      <c r="Y5" s="10">
        <v>1.39143004576572</v>
      </c>
      <c r="Z5" s="10">
        <v>1.39143004576572</v>
      </c>
    </row>
    <row r="6" spans="1:26" ht="15.45" customHeight="1" x14ac:dyDescent="0.25">
      <c r="A6" s="15">
        <v>39508</v>
      </c>
      <c r="B6" s="16">
        <v>0.8</v>
      </c>
      <c r="C6" s="6" t="e">
        <f>NA()</f>
        <v>#N/A</v>
      </c>
      <c r="D6" s="10">
        <v>1.19474019677082</v>
      </c>
      <c r="E6" s="10">
        <v>1.24565759081232</v>
      </c>
      <c r="F6" s="6" t="e">
        <f>NA()</f>
        <v>#N/A</v>
      </c>
      <c r="G6" s="6" t="e">
        <f>NA()</f>
        <v>#N/A</v>
      </c>
      <c r="H6" s="6" t="e">
        <f>NA()</f>
        <v>#N/A</v>
      </c>
      <c r="I6" s="6" t="e">
        <f>NA()</f>
        <v>#N/A</v>
      </c>
      <c r="J6" s="6" t="e">
        <f>NA()</f>
        <v>#N/A</v>
      </c>
      <c r="K6" s="10">
        <v>1.04577682730954</v>
      </c>
      <c r="L6" s="6" t="e">
        <f>NA()</f>
        <v>#N/A</v>
      </c>
      <c r="M6" s="10">
        <v>1.5564030079067199</v>
      </c>
      <c r="N6" s="10">
        <v>1.4444938898086599</v>
      </c>
      <c r="O6" s="10">
        <v>1.19610491223947</v>
      </c>
      <c r="P6" s="10">
        <v>1.06118232929756</v>
      </c>
      <c r="Q6" s="6"/>
      <c r="R6" s="17">
        <v>1.2491941077350099</v>
      </c>
      <c r="S6" s="17">
        <v>1.19610491223947</v>
      </c>
      <c r="T6" s="17">
        <v>1.4444938898086599</v>
      </c>
      <c r="U6" s="17">
        <v>1.19610491223947</v>
      </c>
      <c r="V6" s="17">
        <v>1.16837552357184</v>
      </c>
      <c r="W6" s="17">
        <v>1.17447745283044</v>
      </c>
      <c r="X6" s="17">
        <v>1.254048418077</v>
      </c>
      <c r="Y6" s="17">
        <v>1.2564374879196401</v>
      </c>
      <c r="Z6" s="17">
        <v>1.19610491223947</v>
      </c>
    </row>
    <row r="7" spans="1:26" ht="15.45" customHeight="1" x14ac:dyDescent="0.25">
      <c r="A7" s="15">
        <v>39600</v>
      </c>
      <c r="B7" s="16">
        <v>0.4</v>
      </c>
      <c r="C7" s="6" t="e">
        <f>NA()</f>
        <v>#N/A</v>
      </c>
      <c r="D7" s="10">
        <v>0.64868950959713301</v>
      </c>
      <c r="E7" s="10">
        <v>0.69556961792773797</v>
      </c>
      <c r="F7" s="6" t="e">
        <f>NA()</f>
        <v>#N/A</v>
      </c>
      <c r="G7" s="6" t="e">
        <f>NA()</f>
        <v>#N/A</v>
      </c>
      <c r="H7" s="6" t="e">
        <f>NA()</f>
        <v>#N/A</v>
      </c>
      <c r="I7" s="6" t="e">
        <f>NA()</f>
        <v>#N/A</v>
      </c>
      <c r="J7" s="6" t="e">
        <f>NA()</f>
        <v>#N/A</v>
      </c>
      <c r="K7" s="10">
        <v>1.39104007927076</v>
      </c>
      <c r="L7" s="6" t="e">
        <f>NA()</f>
        <v>#N/A</v>
      </c>
      <c r="M7" s="10">
        <v>0.82049323663713303</v>
      </c>
      <c r="N7" s="10">
        <v>1.36721467971802</v>
      </c>
      <c r="O7" s="10">
        <v>1.4113269844507099</v>
      </c>
      <c r="P7" s="10">
        <v>2.42874573375722</v>
      </c>
      <c r="Q7" s="6"/>
      <c r="R7" s="17">
        <v>1.2518685487655301</v>
      </c>
      <c r="S7" s="17">
        <v>1.36721467971802</v>
      </c>
      <c r="T7" s="17">
        <v>1.39104007927076</v>
      </c>
      <c r="U7" s="17">
        <v>1.4109397832775299</v>
      </c>
      <c r="V7" s="17">
        <v>2.3039829159952601</v>
      </c>
      <c r="W7" s="17">
        <v>2.2862086441889899</v>
      </c>
      <c r="X7" s="17">
        <v>1.5331288427680201</v>
      </c>
      <c r="Y7" s="17">
        <v>1.30437209485237</v>
      </c>
      <c r="Z7" s="17">
        <v>1.39104007927076</v>
      </c>
    </row>
    <row r="8" spans="1:26" ht="15.45" customHeight="1" x14ac:dyDescent="0.25">
      <c r="A8" s="15">
        <v>39692</v>
      </c>
      <c r="B8" s="16">
        <v>0.7</v>
      </c>
      <c r="C8" s="6" t="e">
        <f>NA()</f>
        <v>#N/A</v>
      </c>
      <c r="D8" s="10">
        <v>1.1391835693801899</v>
      </c>
      <c r="E8" s="10">
        <v>0.93274087488595103</v>
      </c>
      <c r="F8" s="6" t="e">
        <f>NA()</f>
        <v>#N/A</v>
      </c>
      <c r="G8" s="6" t="e">
        <f>NA()</f>
        <v>#N/A</v>
      </c>
      <c r="H8" s="6" t="e">
        <f>NA()</f>
        <v>#N/A</v>
      </c>
      <c r="I8" s="6" t="e">
        <f>NA()</f>
        <v>#N/A</v>
      </c>
      <c r="J8" s="6" t="e">
        <f>NA()</f>
        <v>#N/A</v>
      </c>
      <c r="K8" s="10">
        <v>1.0273118612727301</v>
      </c>
      <c r="L8" s="6" t="e">
        <f>NA()</f>
        <v>#N/A</v>
      </c>
      <c r="M8" s="10">
        <v>1.0254845842996001</v>
      </c>
      <c r="N8" s="10">
        <v>1.3194888830184901</v>
      </c>
      <c r="O8" s="10">
        <v>0.204281684299053</v>
      </c>
      <c r="P8" s="10">
        <v>2.14285967887449</v>
      </c>
      <c r="Q8" s="6"/>
      <c r="R8" s="17">
        <v>1.1130501622900699</v>
      </c>
      <c r="S8" s="17">
        <v>1.0273118612727301</v>
      </c>
      <c r="T8" s="17">
        <v>1.0273118612727301</v>
      </c>
      <c r="U8" s="17">
        <v>1.0273118612727301</v>
      </c>
      <c r="V8" s="17">
        <v>0.95521226745001198</v>
      </c>
      <c r="W8" s="17">
        <v>0.95481296494148904</v>
      </c>
      <c r="X8" s="17">
        <v>1.00902090523009</v>
      </c>
      <c r="Y8" s="17">
        <v>1.0301068346466999</v>
      </c>
      <c r="Z8" s="17">
        <v>1.0273118612727301</v>
      </c>
    </row>
    <row r="9" spans="1:26" ht="15.45" customHeight="1" x14ac:dyDescent="0.25">
      <c r="A9" s="15">
        <v>39783</v>
      </c>
      <c r="B9" s="16">
        <v>-3.4</v>
      </c>
      <c r="C9" s="6" t="e">
        <f>NA()</f>
        <v>#N/A</v>
      </c>
      <c r="D9" s="10">
        <v>1.0015323860599801</v>
      </c>
      <c r="E9" s="10">
        <v>1.40106161205491</v>
      </c>
      <c r="F9" s="6" t="e">
        <f>NA()</f>
        <v>#N/A</v>
      </c>
      <c r="G9" s="6" t="e">
        <f>NA()</f>
        <v>#N/A</v>
      </c>
      <c r="H9" s="6" t="e">
        <f>NA()</f>
        <v>#N/A</v>
      </c>
      <c r="I9" s="6" t="e">
        <f>NA()</f>
        <v>#N/A</v>
      </c>
      <c r="J9" s="6" t="e">
        <f>NA()</f>
        <v>#N/A</v>
      </c>
      <c r="K9" s="10">
        <v>0.386686348559166</v>
      </c>
      <c r="L9" s="6" t="e">
        <f>NA()</f>
        <v>#N/A</v>
      </c>
      <c r="M9" s="10">
        <v>0.70541630860779603</v>
      </c>
      <c r="N9" s="10">
        <v>1.2847210168838501</v>
      </c>
      <c r="O9" s="10">
        <v>-4.5791404990967397</v>
      </c>
      <c r="P9" s="10">
        <v>-1.8814784012138499</v>
      </c>
      <c r="Q9" s="6"/>
      <c r="R9" s="17">
        <v>-0.24017160402069801</v>
      </c>
      <c r="S9" s="17">
        <v>0.70541630860779603</v>
      </c>
      <c r="T9" s="17">
        <v>1.0015323860599801</v>
      </c>
      <c r="U9" s="17">
        <v>-4.5791404990967397</v>
      </c>
      <c r="V9" s="17">
        <v>6.3719427245744795E-2</v>
      </c>
      <c r="W9" s="17">
        <v>5.7896507869749897E-2</v>
      </c>
      <c r="X9" s="17">
        <v>1.43232127862897E-2</v>
      </c>
      <c r="Y9" s="17">
        <v>-3.7768374469355701E-2</v>
      </c>
      <c r="Z9" s="17">
        <v>-4.5791404990967397</v>
      </c>
    </row>
    <row r="10" spans="1:26" ht="15.45" customHeight="1" x14ac:dyDescent="0.25">
      <c r="A10" s="15">
        <v>39873</v>
      </c>
      <c r="B10" s="16">
        <v>0.3</v>
      </c>
      <c r="C10" s="6" t="e">
        <f>NA()</f>
        <v>#N/A</v>
      </c>
      <c r="D10" s="10">
        <v>0.81367566878487496</v>
      </c>
      <c r="E10" s="10">
        <v>3.5150608504238798</v>
      </c>
      <c r="F10" s="6" t="e">
        <f>NA()</f>
        <v>#N/A</v>
      </c>
      <c r="G10" s="6" t="e">
        <f>NA()</f>
        <v>#N/A</v>
      </c>
      <c r="H10" s="6" t="e">
        <f>NA()</f>
        <v>#N/A</v>
      </c>
      <c r="I10" s="6" t="e">
        <f>NA()</f>
        <v>#N/A</v>
      </c>
      <c r="J10" s="6" t="e">
        <f>NA()</f>
        <v>#N/A</v>
      </c>
      <c r="K10" s="10">
        <v>0.134462437555666</v>
      </c>
      <c r="L10" s="6" t="e">
        <f>NA()</f>
        <v>#N/A</v>
      </c>
      <c r="M10" s="10">
        <v>0.364238146962025</v>
      </c>
      <c r="N10" s="10">
        <v>0.15965162217616999</v>
      </c>
      <c r="O10" s="10">
        <v>-0.35120519708786702</v>
      </c>
      <c r="P10" s="10">
        <v>0.460651372040984</v>
      </c>
      <c r="Q10" s="6"/>
      <c r="R10" s="17">
        <v>0.728076414407962</v>
      </c>
      <c r="S10" s="17">
        <v>0.364238146962025</v>
      </c>
      <c r="T10" s="17">
        <v>0.134462437555666</v>
      </c>
      <c r="U10" s="17">
        <v>0.364238146962025</v>
      </c>
      <c r="V10" s="17">
        <v>0.56894140286644301</v>
      </c>
      <c r="W10" s="17">
        <v>0.57711645894998198</v>
      </c>
      <c r="X10" s="17">
        <v>0.21474349169208301</v>
      </c>
      <c r="Y10" s="17">
        <v>-0.146285397542399</v>
      </c>
      <c r="Z10" s="17">
        <v>0.364238146962025</v>
      </c>
    </row>
    <row r="11" spans="1:26" ht="15.45" customHeight="1" x14ac:dyDescent="0.25">
      <c r="A11" s="15">
        <v>39965</v>
      </c>
      <c r="B11" s="16">
        <v>1.4</v>
      </c>
      <c r="C11" s="6" t="e">
        <f>NA()</f>
        <v>#N/A</v>
      </c>
      <c r="D11" s="10">
        <v>3.7425846832068301</v>
      </c>
      <c r="E11" s="10">
        <v>1.89062784878455</v>
      </c>
      <c r="F11" s="6" t="e">
        <f>NA()</f>
        <v>#N/A</v>
      </c>
      <c r="G11" s="6" t="e">
        <f>NA()</f>
        <v>#N/A</v>
      </c>
      <c r="H11" s="6" t="e">
        <f>NA()</f>
        <v>#N/A</v>
      </c>
      <c r="I11" s="6" t="e">
        <f>NA()</f>
        <v>#N/A</v>
      </c>
      <c r="J11" s="6" t="e">
        <f>NA()</f>
        <v>#N/A</v>
      </c>
      <c r="K11" s="10">
        <v>2.4907174871255999</v>
      </c>
      <c r="L11" s="6" t="e">
        <f>NA()</f>
        <v>#N/A</v>
      </c>
      <c r="M11" s="10">
        <v>1.4522384869716001</v>
      </c>
      <c r="N11" s="10">
        <v>1.2717133760452299</v>
      </c>
      <c r="O11" s="10">
        <v>2.37905556613459</v>
      </c>
      <c r="P11" s="10">
        <v>3.0218193611764299</v>
      </c>
      <c r="Q11" s="6"/>
      <c r="R11" s="17">
        <v>2.3212509727778299</v>
      </c>
      <c r="S11" s="17">
        <v>2.37905556613459</v>
      </c>
      <c r="T11" s="17">
        <v>2.37905556613459</v>
      </c>
      <c r="U11" s="17">
        <v>2.37905556613459</v>
      </c>
      <c r="V11" s="17">
        <v>2.3674380656959899</v>
      </c>
      <c r="W11" s="17">
        <v>2.3652370124401498</v>
      </c>
      <c r="X11" s="17">
        <v>2.4298610095823698</v>
      </c>
      <c r="Y11" s="17">
        <v>2.4937861626408799</v>
      </c>
      <c r="Z11" s="17">
        <v>2.37905556613459</v>
      </c>
    </row>
    <row r="12" spans="1:26" ht="15.45" customHeight="1" x14ac:dyDescent="0.25">
      <c r="A12" s="15">
        <v>40057</v>
      </c>
      <c r="B12" s="16">
        <v>3.1</v>
      </c>
      <c r="C12" s="6" t="e">
        <f>NA()</f>
        <v>#N/A</v>
      </c>
      <c r="D12" s="10">
        <v>3.4755381107334702</v>
      </c>
      <c r="E12" s="10">
        <v>1.90142731115159</v>
      </c>
      <c r="F12" s="6" t="e">
        <f>NA()</f>
        <v>#N/A</v>
      </c>
      <c r="G12" s="6" t="e">
        <f>NA()</f>
        <v>#N/A</v>
      </c>
      <c r="H12" s="6" t="e">
        <f>NA()</f>
        <v>#N/A</v>
      </c>
      <c r="I12" s="6" t="e">
        <f>NA()</f>
        <v>#N/A</v>
      </c>
      <c r="J12" s="6" t="e">
        <f>NA()</f>
        <v>#N/A</v>
      </c>
      <c r="K12" s="10">
        <v>1.7312035897128699</v>
      </c>
      <c r="L12" s="6" t="e">
        <f>NA()</f>
        <v>#N/A</v>
      </c>
      <c r="M12" s="10">
        <v>1.3394018610306599</v>
      </c>
      <c r="N12" s="10">
        <v>1.2703278064727801</v>
      </c>
      <c r="O12" s="10">
        <v>1.1996163617120501</v>
      </c>
      <c r="P12" s="10">
        <v>1.75688389458901</v>
      </c>
      <c r="Q12" s="6"/>
      <c r="R12" s="17">
        <v>1.8106284193432001</v>
      </c>
      <c r="S12" s="17">
        <v>1.7312035897128699</v>
      </c>
      <c r="T12" s="17">
        <v>1.3394018610306599</v>
      </c>
      <c r="U12" s="17">
        <v>1.7312035897128699</v>
      </c>
      <c r="V12" s="17">
        <v>1.7548263231474801</v>
      </c>
      <c r="W12" s="17">
        <v>1.7576416490161499</v>
      </c>
      <c r="X12" s="17">
        <v>1.5309012244409399</v>
      </c>
      <c r="Y12" s="17">
        <v>1.3650825074889901</v>
      </c>
      <c r="Z12" s="17">
        <v>1.7312035897128699</v>
      </c>
    </row>
    <row r="13" spans="1:26" ht="15.45" customHeight="1" x14ac:dyDescent="0.25">
      <c r="A13" s="15">
        <v>40148</v>
      </c>
      <c r="B13" s="16">
        <v>0.7</v>
      </c>
      <c r="C13" s="6" t="e">
        <f>NA()</f>
        <v>#N/A</v>
      </c>
      <c r="D13" s="10">
        <v>3.1672885573845702</v>
      </c>
      <c r="E13" s="10">
        <v>3.2175471089665599</v>
      </c>
      <c r="F13" s="6" t="e">
        <f>NA()</f>
        <v>#N/A</v>
      </c>
      <c r="G13" s="6" t="e">
        <f>NA()</f>
        <v>#N/A</v>
      </c>
      <c r="H13" s="6" t="e">
        <f>NA()</f>
        <v>#N/A</v>
      </c>
      <c r="I13" s="6" t="e">
        <f>NA()</f>
        <v>#N/A</v>
      </c>
      <c r="J13" s="6" t="e">
        <f>NA()</f>
        <v>#N/A</v>
      </c>
      <c r="K13" s="10">
        <v>1.99359727379095</v>
      </c>
      <c r="L13" s="6" t="e">
        <f>NA()</f>
        <v>#N/A</v>
      </c>
      <c r="M13" s="10">
        <v>1.84206446652314</v>
      </c>
      <c r="N13" s="10">
        <v>1.36756038665772</v>
      </c>
      <c r="O13" s="10">
        <v>0.72123798808750095</v>
      </c>
      <c r="P13" s="10">
        <v>1.4138470521027799</v>
      </c>
      <c r="Q13" s="6"/>
      <c r="R13" s="17">
        <v>1.9604489762161701</v>
      </c>
      <c r="S13" s="17">
        <v>1.84206446652314</v>
      </c>
      <c r="T13" s="17">
        <v>1.4138470521027799</v>
      </c>
      <c r="U13" s="17">
        <v>2.6829217649955499</v>
      </c>
      <c r="V13" s="17">
        <v>1.8396348287958499</v>
      </c>
      <c r="W13" s="17">
        <v>1.84565503097692</v>
      </c>
      <c r="X13" s="17">
        <v>1.53944084743147</v>
      </c>
      <c r="Y13" s="17">
        <v>1.1051009537444201</v>
      </c>
      <c r="Z13" s="17">
        <v>1.84206446652314</v>
      </c>
    </row>
    <row r="14" spans="1:26" ht="15.45" customHeight="1" x14ac:dyDescent="0.25">
      <c r="A14" s="15">
        <v>40238</v>
      </c>
      <c r="B14" s="16">
        <v>2.2999999999999998</v>
      </c>
      <c r="C14" s="6" t="e">
        <f>NA()</f>
        <v>#N/A</v>
      </c>
      <c r="D14" s="10">
        <v>2.3588161281606901</v>
      </c>
      <c r="E14" s="10">
        <v>1.4992842491732701</v>
      </c>
      <c r="F14" s="6" t="e">
        <f>NA()</f>
        <v>#N/A</v>
      </c>
      <c r="G14" s="6" t="e">
        <f>NA()</f>
        <v>#N/A</v>
      </c>
      <c r="H14" s="6" t="e">
        <f>NA()</f>
        <v>#N/A</v>
      </c>
      <c r="I14" s="6" t="e">
        <f>NA()</f>
        <v>#N/A</v>
      </c>
      <c r="J14" s="6" t="e">
        <f>NA()</f>
        <v>#N/A</v>
      </c>
      <c r="K14" s="10">
        <v>1.73651405910934</v>
      </c>
      <c r="L14" s="6" t="e">
        <f>NA()</f>
        <v>#N/A</v>
      </c>
      <c r="M14" s="10">
        <v>1.23007823643363</v>
      </c>
      <c r="N14" s="10">
        <v>1.34926605224609</v>
      </c>
      <c r="O14" s="10">
        <v>0.54546543492800503</v>
      </c>
      <c r="P14" s="10">
        <v>2.0529230646932302</v>
      </c>
      <c r="Q14" s="6"/>
      <c r="R14" s="17">
        <v>1.5389067463920401</v>
      </c>
      <c r="S14" s="17">
        <v>1.4992842491732701</v>
      </c>
      <c r="T14" s="17">
        <v>1.23007823643363</v>
      </c>
      <c r="U14" s="17">
        <v>1.4992842491732701</v>
      </c>
      <c r="V14" s="17">
        <v>1.48965789414012</v>
      </c>
      <c r="W14" s="17">
        <v>1.4919092490749899</v>
      </c>
      <c r="X14" s="17">
        <v>1.45221380232104</v>
      </c>
      <c r="Y14" s="17">
        <v>1.41129353263532</v>
      </c>
      <c r="Z14" s="17">
        <v>1.4919092490749899</v>
      </c>
    </row>
    <row r="15" spans="1:26" ht="15.45" customHeight="1" x14ac:dyDescent="0.25">
      <c r="A15" s="15">
        <v>40330</v>
      </c>
      <c r="B15" s="16">
        <v>1.6</v>
      </c>
      <c r="C15" s="6" t="e">
        <f>NA()</f>
        <v>#N/A</v>
      </c>
      <c r="D15" s="10">
        <v>2.1329528801302899</v>
      </c>
      <c r="E15" s="10">
        <v>1.70690076263185</v>
      </c>
      <c r="F15" s="6" t="e">
        <f>NA()</f>
        <v>#N/A</v>
      </c>
      <c r="G15" s="6" t="e">
        <f>NA()</f>
        <v>#N/A</v>
      </c>
      <c r="H15" s="6" t="e">
        <f>NA()</f>
        <v>#N/A</v>
      </c>
      <c r="I15" s="6" t="e">
        <f>NA()</f>
        <v>#N/A</v>
      </c>
      <c r="J15" s="6" t="e">
        <f>NA()</f>
        <v>#N/A</v>
      </c>
      <c r="K15" s="10">
        <v>1.5411940519812799</v>
      </c>
      <c r="L15" s="6" t="e">
        <f>NA()</f>
        <v>#N/A</v>
      </c>
      <c r="M15" s="10">
        <v>1.39470755825413</v>
      </c>
      <c r="N15" s="10">
        <v>0.94549232721328702</v>
      </c>
      <c r="O15" s="10">
        <v>2.1155103644315401</v>
      </c>
      <c r="P15" s="10">
        <v>2.1722120927338602</v>
      </c>
      <c r="Q15" s="6"/>
      <c r="R15" s="17">
        <v>1.7155671481966099</v>
      </c>
      <c r="S15" s="17">
        <v>1.70690076263185</v>
      </c>
      <c r="T15" s="17">
        <v>1.39470755825413</v>
      </c>
      <c r="U15" s="17">
        <v>1.70690076263185</v>
      </c>
      <c r="V15" s="17">
        <v>1.5939329253852099</v>
      </c>
      <c r="W15" s="17">
        <v>1.59828201218619</v>
      </c>
      <c r="X15" s="17">
        <v>1.6464408155571599</v>
      </c>
      <c r="Y15" s="17">
        <v>1.6078699769206</v>
      </c>
      <c r="Z15" s="17">
        <v>1.6464408155571599</v>
      </c>
    </row>
    <row r="16" spans="1:26" ht="15.45" customHeight="1" x14ac:dyDescent="0.25">
      <c r="A16" s="15">
        <v>40422</v>
      </c>
      <c r="B16" s="16">
        <v>1</v>
      </c>
      <c r="C16" s="6" t="e">
        <f>NA()</f>
        <v>#N/A</v>
      </c>
      <c r="D16" s="10">
        <v>1.3204276615835999</v>
      </c>
      <c r="E16" s="10">
        <v>1.3183401784486299</v>
      </c>
      <c r="F16" s="6" t="e">
        <f>NA()</f>
        <v>#N/A</v>
      </c>
      <c r="G16" s="6" t="e">
        <f>NA()</f>
        <v>#N/A</v>
      </c>
      <c r="H16" s="6" t="e">
        <f>NA()</f>
        <v>#N/A</v>
      </c>
      <c r="I16" s="6" t="e">
        <f>NA()</f>
        <v>#N/A</v>
      </c>
      <c r="J16" s="6" t="e">
        <f>NA()</f>
        <v>#N/A</v>
      </c>
      <c r="K16" s="10">
        <v>1.60352820963149</v>
      </c>
      <c r="L16" s="6" t="e">
        <f>NA()</f>
        <v>#N/A</v>
      </c>
      <c r="M16" s="10">
        <v>1.48332186690792</v>
      </c>
      <c r="N16" s="10">
        <v>1.5210446119308501</v>
      </c>
      <c r="O16" s="10">
        <v>0.32820360341676003</v>
      </c>
      <c r="P16" s="10">
        <v>0.49221941634093702</v>
      </c>
      <c r="Q16" s="6"/>
      <c r="R16" s="17">
        <v>1.1524407926086</v>
      </c>
      <c r="S16" s="17">
        <v>1.3204276615835999</v>
      </c>
      <c r="T16" s="17">
        <v>1.3204276615835999</v>
      </c>
      <c r="U16" s="17">
        <v>1.3200241137272299</v>
      </c>
      <c r="V16" s="17">
        <v>1.01987959867138</v>
      </c>
      <c r="W16" s="17">
        <v>1.0304990679621</v>
      </c>
      <c r="X16" s="17">
        <v>1.1033372777791099</v>
      </c>
      <c r="Y16" s="17">
        <v>1.1146718642245701</v>
      </c>
      <c r="Z16" s="17">
        <v>1.2960291011170399</v>
      </c>
    </row>
    <row r="17" spans="1:26" ht="15.45" customHeight="1" x14ac:dyDescent="0.25">
      <c r="A17" s="15">
        <v>40513</v>
      </c>
      <c r="B17" s="16">
        <v>1.4</v>
      </c>
      <c r="C17" s="6" t="e">
        <f>NA()</f>
        <v>#N/A</v>
      </c>
      <c r="D17" s="10">
        <v>1.25447873344893</v>
      </c>
      <c r="E17" s="10">
        <v>1.3306951817782</v>
      </c>
      <c r="F17" s="6" t="e">
        <f>NA()</f>
        <v>#N/A</v>
      </c>
      <c r="G17" s="6" t="e">
        <f>NA()</f>
        <v>#N/A</v>
      </c>
      <c r="H17" s="6" t="e">
        <f>NA()</f>
        <v>#N/A</v>
      </c>
      <c r="I17" s="6" t="e">
        <f>NA()</f>
        <v>#N/A</v>
      </c>
      <c r="J17" s="6" t="e">
        <f>NA()</f>
        <v>#N/A</v>
      </c>
      <c r="K17" s="10">
        <v>1.47458731618335</v>
      </c>
      <c r="L17" s="6" t="e">
        <f>NA()</f>
        <v>#N/A</v>
      </c>
      <c r="M17" s="10">
        <v>1.3243121576672501</v>
      </c>
      <c r="N17" s="10">
        <v>1.2558135986328101</v>
      </c>
      <c r="O17" s="10">
        <v>1.51048755730707</v>
      </c>
      <c r="P17" s="10">
        <v>1.18442965272701</v>
      </c>
      <c r="Q17" s="6"/>
      <c r="R17" s="17">
        <v>1.3335434568206599</v>
      </c>
      <c r="S17" s="17">
        <v>1.3243121576672501</v>
      </c>
      <c r="T17" s="17">
        <v>1.2558135986328101</v>
      </c>
      <c r="U17" s="17">
        <v>1.3243121576672501</v>
      </c>
      <c r="V17" s="17">
        <v>1.31429302798258</v>
      </c>
      <c r="W17" s="17">
        <v>1.31566777577717</v>
      </c>
      <c r="X17" s="17">
        <v>1.30523567303285</v>
      </c>
      <c r="Y17" s="17">
        <v>1.3233161161634901</v>
      </c>
      <c r="Z17" s="17">
        <v>1.3233161161634901</v>
      </c>
    </row>
    <row r="18" spans="1:26" ht="15.45" customHeight="1" x14ac:dyDescent="0.25">
      <c r="A18" s="15">
        <v>40603</v>
      </c>
      <c r="B18" s="16">
        <v>1</v>
      </c>
      <c r="C18" s="6" t="e">
        <f>NA()</f>
        <v>#N/A</v>
      </c>
      <c r="D18" s="10">
        <v>1.5218487392653299</v>
      </c>
      <c r="E18" s="10">
        <v>1.1108804593577699</v>
      </c>
      <c r="F18" s="6" t="e">
        <f>NA()</f>
        <v>#N/A</v>
      </c>
      <c r="G18" s="6" t="e">
        <f>NA()</f>
        <v>#N/A</v>
      </c>
      <c r="H18" s="6" t="e">
        <f>NA()</f>
        <v>#N/A</v>
      </c>
      <c r="I18" s="6" t="e">
        <f>NA()</f>
        <v>#N/A</v>
      </c>
      <c r="J18" s="6" t="e">
        <f>NA()</f>
        <v>#N/A</v>
      </c>
      <c r="K18" s="10">
        <v>1.2773260300591001</v>
      </c>
      <c r="L18" s="6" t="e">
        <f>NA()</f>
        <v>#N/A</v>
      </c>
      <c r="M18" s="10">
        <v>1.7906549672819101</v>
      </c>
      <c r="N18" s="10">
        <v>0.97791898250579801</v>
      </c>
      <c r="O18" s="10">
        <v>1.35320696258644</v>
      </c>
      <c r="P18" s="10">
        <v>2.8285237114781001</v>
      </c>
      <c r="Q18" s="6"/>
      <c r="R18" s="17">
        <v>1.5514799789334901</v>
      </c>
      <c r="S18" s="17">
        <v>1.35320696258644</v>
      </c>
      <c r="T18" s="17">
        <v>1.2773260300591001</v>
      </c>
      <c r="U18" s="17">
        <v>2.1444657757776202</v>
      </c>
      <c r="V18" s="17">
        <v>1.64890502879116</v>
      </c>
      <c r="W18" s="17">
        <v>1.6471711256206001</v>
      </c>
      <c r="X18" s="17">
        <v>1.61915987263429</v>
      </c>
      <c r="Y18" s="17">
        <v>1.5826311568523499</v>
      </c>
      <c r="Z18" s="17">
        <v>1.57091400624719</v>
      </c>
    </row>
    <row r="19" spans="1:26" ht="15.45" customHeight="1" x14ac:dyDescent="0.25">
      <c r="A19" s="15">
        <v>40695</v>
      </c>
      <c r="B19" s="16">
        <v>0.4</v>
      </c>
      <c r="C19" s="6" t="e">
        <f>NA()</f>
        <v>#N/A</v>
      </c>
      <c r="D19" s="10">
        <v>1.1107604898205301</v>
      </c>
      <c r="E19" s="10">
        <v>0.84021940586538302</v>
      </c>
      <c r="F19" s="6" t="e">
        <f>NA()</f>
        <v>#N/A</v>
      </c>
      <c r="G19" s="6" t="e">
        <f>NA()</f>
        <v>#N/A</v>
      </c>
      <c r="H19" s="6" t="e">
        <f>NA()</f>
        <v>#N/A</v>
      </c>
      <c r="I19" s="6" t="e">
        <f>NA()</f>
        <v>#N/A</v>
      </c>
      <c r="J19" s="6" t="e">
        <f>NA()</f>
        <v>#N/A</v>
      </c>
      <c r="K19" s="10">
        <v>1.21595718366695</v>
      </c>
      <c r="L19" s="6" t="e">
        <f>NA()</f>
        <v>#N/A</v>
      </c>
      <c r="M19" s="10">
        <v>1.09112361526294</v>
      </c>
      <c r="N19" s="10">
        <v>0.96934199333190896</v>
      </c>
      <c r="O19" s="10">
        <v>0.22600506046583499</v>
      </c>
      <c r="P19" s="10">
        <v>1.91370554300786</v>
      </c>
      <c r="Q19" s="6"/>
      <c r="R19" s="17">
        <v>1.05244475591734</v>
      </c>
      <c r="S19" s="17">
        <v>1.09112361526294</v>
      </c>
      <c r="T19" s="17">
        <v>0.96934199333190896</v>
      </c>
      <c r="U19" s="17">
        <v>1.09112361526294</v>
      </c>
      <c r="V19" s="17">
        <v>0.92874957794409296</v>
      </c>
      <c r="W19" s="17">
        <v>0.92882147242328295</v>
      </c>
      <c r="X19" s="17">
        <v>0.92118031334610695</v>
      </c>
      <c r="Y19" s="17">
        <v>0.98038304438445401</v>
      </c>
      <c r="Z19" s="17">
        <v>0.98038304438445401</v>
      </c>
    </row>
    <row r="20" spans="1:26" ht="15.45" customHeight="1" x14ac:dyDescent="0.25">
      <c r="A20" s="15">
        <v>40787</v>
      </c>
      <c r="B20" s="16">
        <v>0.5</v>
      </c>
      <c r="C20" s="6" t="e">
        <f>NA()</f>
        <v>#N/A</v>
      </c>
      <c r="D20" s="10">
        <v>1.1475603301814601</v>
      </c>
      <c r="E20" s="10">
        <v>1.0849061704755401</v>
      </c>
      <c r="F20" s="6" t="e">
        <f>NA()</f>
        <v>#N/A</v>
      </c>
      <c r="G20" s="6" t="e">
        <f>NA()</f>
        <v>#N/A</v>
      </c>
      <c r="H20" s="6" t="e">
        <f>NA()</f>
        <v>#N/A</v>
      </c>
      <c r="I20" s="6" t="e">
        <f>NA()</f>
        <v>#N/A</v>
      </c>
      <c r="J20" s="6" t="e">
        <f>NA()</f>
        <v>#N/A</v>
      </c>
      <c r="K20" s="10">
        <v>1.40235944840022</v>
      </c>
      <c r="L20" s="6" t="e">
        <f>NA()</f>
        <v>#N/A</v>
      </c>
      <c r="M20" s="10">
        <v>0.90094936071611798</v>
      </c>
      <c r="N20" s="10">
        <v>0.86733627319335904</v>
      </c>
      <c r="O20" s="10">
        <v>0.39102209948123501</v>
      </c>
      <c r="P20" s="10">
        <v>1.1442332745003001</v>
      </c>
      <c r="Q20" s="6"/>
      <c r="R20" s="17">
        <v>0.99119527956403297</v>
      </c>
      <c r="S20" s="17">
        <v>1.0849061704755401</v>
      </c>
      <c r="T20" s="17">
        <v>0.86733627319335904</v>
      </c>
      <c r="U20" s="17">
        <v>1.0849061704755401</v>
      </c>
      <c r="V20" s="17">
        <v>0.95287741189831099</v>
      </c>
      <c r="W20" s="17">
        <v>0.95388791428682695</v>
      </c>
      <c r="X20" s="17">
        <v>0.95174451392382098</v>
      </c>
      <c r="Y20" s="17">
        <v>0.96639504224842199</v>
      </c>
      <c r="Z20" s="17">
        <v>0.96624129501320599</v>
      </c>
    </row>
    <row r="21" spans="1:26" ht="15.45" customHeight="1" x14ac:dyDescent="0.25">
      <c r="A21" s="15">
        <v>40878</v>
      </c>
      <c r="B21" s="16">
        <v>0.7</v>
      </c>
      <c r="C21" s="6" t="e">
        <f>NA()</f>
        <v>#N/A</v>
      </c>
      <c r="D21" s="10">
        <v>1.05471969393758</v>
      </c>
      <c r="E21" s="10">
        <v>1.0190713100003601</v>
      </c>
      <c r="F21" s="6" t="e">
        <f>NA()</f>
        <v>#N/A</v>
      </c>
      <c r="G21" s="6" t="e">
        <f>NA()</f>
        <v>#N/A</v>
      </c>
      <c r="H21" s="6" t="e">
        <f>NA()</f>
        <v>#N/A</v>
      </c>
      <c r="I21" s="6" t="e">
        <f>NA()</f>
        <v>#N/A</v>
      </c>
      <c r="J21" s="6" t="e">
        <f>NA()</f>
        <v>#N/A</v>
      </c>
      <c r="K21" s="10">
        <v>0.29970111837392799</v>
      </c>
      <c r="L21" s="6" t="e">
        <f>NA()</f>
        <v>#N/A</v>
      </c>
      <c r="M21" s="10">
        <v>0.99284893332142898</v>
      </c>
      <c r="N21" s="10">
        <v>0.97809618711471602</v>
      </c>
      <c r="O21" s="10">
        <v>-3.21882990547879E-2</v>
      </c>
      <c r="P21" s="10">
        <v>4.50775969471841E-2</v>
      </c>
      <c r="Q21" s="6"/>
      <c r="R21" s="17">
        <v>0.62247522009148704</v>
      </c>
      <c r="S21" s="17">
        <v>0.97809618711471602</v>
      </c>
      <c r="T21" s="17">
        <v>0.97809618711471602</v>
      </c>
      <c r="U21" s="17">
        <v>0.62425310336658302</v>
      </c>
      <c r="V21" s="17">
        <v>0.68197929340457497</v>
      </c>
      <c r="W21" s="17">
        <v>0.68258432551405201</v>
      </c>
      <c r="X21" s="17">
        <v>0.46664823955795098</v>
      </c>
      <c r="Y21" s="17">
        <v>0.67747076546714802</v>
      </c>
      <c r="Z21" s="17">
        <v>0.66452780114727705</v>
      </c>
    </row>
    <row r="22" spans="1:26" ht="15.45" customHeight="1" x14ac:dyDescent="0.25">
      <c r="A22" s="15">
        <v>40969</v>
      </c>
      <c r="B22" s="16">
        <v>1</v>
      </c>
      <c r="C22" s="6" t="e">
        <f>NA()</f>
        <v>#N/A</v>
      </c>
      <c r="D22" s="10">
        <v>1.39190089707135</v>
      </c>
      <c r="E22" s="10">
        <v>1.29880557730306</v>
      </c>
      <c r="F22" s="6" t="e">
        <f>NA()</f>
        <v>#N/A</v>
      </c>
      <c r="G22" s="6" t="e">
        <f>NA()</f>
        <v>#N/A</v>
      </c>
      <c r="H22" s="6" t="e">
        <f>NA()</f>
        <v>#N/A</v>
      </c>
      <c r="I22" s="6" t="e">
        <f>NA()</f>
        <v>#N/A</v>
      </c>
      <c r="J22" s="6" t="e">
        <f>NA()</f>
        <v>#N/A</v>
      </c>
      <c r="K22" s="10">
        <v>1.7971592086649399</v>
      </c>
      <c r="L22" s="6" t="e">
        <f>NA()</f>
        <v>#N/A</v>
      </c>
      <c r="M22" s="10">
        <v>0.68172786435725796</v>
      </c>
      <c r="N22" s="10">
        <v>0.62495523691177401</v>
      </c>
      <c r="O22" s="10">
        <v>0.50450795142550398</v>
      </c>
      <c r="P22" s="10">
        <v>0.90044341135879502</v>
      </c>
      <c r="Q22" s="6"/>
      <c r="R22" s="17">
        <v>1.02850002101324</v>
      </c>
      <c r="S22" s="17">
        <v>0.90044341135879502</v>
      </c>
      <c r="T22" s="17">
        <v>0.62495523691177401</v>
      </c>
      <c r="U22" s="17">
        <v>0.90044341135879502</v>
      </c>
      <c r="V22" s="17">
        <v>0.99256702562396504</v>
      </c>
      <c r="W22" s="17">
        <v>0.99497308012131402</v>
      </c>
      <c r="X22" s="17">
        <v>0.93845029346596698</v>
      </c>
      <c r="Y22" s="17">
        <v>1.01322245605255</v>
      </c>
      <c r="Z22" s="17">
        <v>0.93845029346596698</v>
      </c>
    </row>
    <row r="23" spans="1:26" ht="15.45" customHeight="1" x14ac:dyDescent="0.25">
      <c r="A23" s="15">
        <v>41061</v>
      </c>
      <c r="B23" s="16">
        <v>0.4</v>
      </c>
      <c r="C23" s="6" t="e">
        <f>NA()</f>
        <v>#N/A</v>
      </c>
      <c r="D23" s="10">
        <v>1.3215173275618499</v>
      </c>
      <c r="E23" s="10">
        <v>1.1764390953633399</v>
      </c>
      <c r="F23" s="6" t="e">
        <f>NA()</f>
        <v>#N/A</v>
      </c>
      <c r="G23" s="6" t="e">
        <f>NA()</f>
        <v>#N/A</v>
      </c>
      <c r="H23" s="6" t="e">
        <f>NA()</f>
        <v>#N/A</v>
      </c>
      <c r="I23" s="6" t="e">
        <f>NA()</f>
        <v>#N/A</v>
      </c>
      <c r="J23" s="6" t="e">
        <f>NA()</f>
        <v>#N/A</v>
      </c>
      <c r="K23" s="10">
        <v>0.75956041822899001</v>
      </c>
      <c r="L23" s="6" t="e">
        <f>NA()</f>
        <v>#N/A</v>
      </c>
      <c r="M23" s="10">
        <v>0.50955803612103601</v>
      </c>
      <c r="N23" s="10">
        <v>0.64289474487304699</v>
      </c>
      <c r="O23" s="10">
        <v>3.0033694588323299E-2</v>
      </c>
      <c r="P23" s="10">
        <v>-2.9039888514606399E-2</v>
      </c>
      <c r="Q23" s="6"/>
      <c r="R23" s="17">
        <v>0.63013763260314004</v>
      </c>
      <c r="S23" s="17">
        <v>0.64289474487304699</v>
      </c>
      <c r="T23" s="17">
        <v>0.64289474487304699</v>
      </c>
      <c r="U23" s="17">
        <v>0.62624460858337805</v>
      </c>
      <c r="V23" s="17">
        <v>0.68407474983474104</v>
      </c>
      <c r="W23" s="17">
        <v>0.68513877091002595</v>
      </c>
      <c r="X23" s="17">
        <v>0.67634931517492303</v>
      </c>
      <c r="Y23" s="17">
        <v>0.66259148237063503</v>
      </c>
      <c r="Z23" s="17">
        <v>0.64289474487304699</v>
      </c>
    </row>
    <row r="24" spans="1:26" ht="15.45" customHeight="1" x14ac:dyDescent="0.25">
      <c r="A24" s="15">
        <v>41153</v>
      </c>
      <c r="B24" s="16">
        <v>0.4</v>
      </c>
      <c r="C24" s="6" t="e">
        <f>NA()</f>
        <v>#N/A</v>
      </c>
      <c r="D24" s="10">
        <v>1.0029829101766199</v>
      </c>
      <c r="E24" s="10">
        <v>1.1585045123595701</v>
      </c>
      <c r="F24" s="6" t="e">
        <f>NA()</f>
        <v>#N/A</v>
      </c>
      <c r="G24" s="6" t="e">
        <f>NA()</f>
        <v>#N/A</v>
      </c>
      <c r="H24" s="6" t="e">
        <f>NA()</f>
        <v>#N/A</v>
      </c>
      <c r="I24" s="6" t="e">
        <f>NA()</f>
        <v>#N/A</v>
      </c>
      <c r="J24" s="6" t="e">
        <f>NA()</f>
        <v>#N/A</v>
      </c>
      <c r="K24" s="10">
        <v>0.541200350417682</v>
      </c>
      <c r="L24" s="6" t="e">
        <f>NA()</f>
        <v>#N/A</v>
      </c>
      <c r="M24" s="10">
        <v>0.671068512780846</v>
      </c>
      <c r="N24" s="10">
        <v>0.63619804382324197</v>
      </c>
      <c r="O24" s="10">
        <v>-0.138502433414881</v>
      </c>
      <c r="P24" s="10">
        <v>0.31980698869129298</v>
      </c>
      <c r="Q24" s="6"/>
      <c r="R24" s="17">
        <v>0.59875126926205302</v>
      </c>
      <c r="S24" s="17">
        <v>0.63619804382324197</v>
      </c>
      <c r="T24" s="17">
        <v>0.63619804382324197</v>
      </c>
      <c r="U24" s="17">
        <v>0.63619804382324197</v>
      </c>
      <c r="V24" s="17">
        <v>0.64973672763960499</v>
      </c>
      <c r="W24" s="17">
        <v>0.64795952293578796</v>
      </c>
      <c r="X24" s="17">
        <v>0.59355868560655101</v>
      </c>
      <c r="Y24" s="17">
        <v>0.59124908460586101</v>
      </c>
      <c r="Z24" s="17">
        <v>0.63619804382324197</v>
      </c>
    </row>
    <row r="25" spans="1:26" ht="15.45" customHeight="1" x14ac:dyDescent="0.25">
      <c r="A25" s="15">
        <v>41244</v>
      </c>
      <c r="B25" s="16">
        <v>0.7</v>
      </c>
      <c r="C25" s="6" t="e">
        <f>NA()</f>
        <v>#N/A</v>
      </c>
      <c r="D25" s="10">
        <v>1.5721805454003199</v>
      </c>
      <c r="E25" s="10">
        <v>1.4749883870857501</v>
      </c>
      <c r="F25" s="6" t="e">
        <f>NA()</f>
        <v>#N/A</v>
      </c>
      <c r="G25" s="6" t="e">
        <f>NA()</f>
        <v>#N/A</v>
      </c>
      <c r="H25" s="6" t="e">
        <f>NA()</f>
        <v>#N/A</v>
      </c>
      <c r="I25" s="6" t="e">
        <f>NA()</f>
        <v>#N/A</v>
      </c>
      <c r="J25" s="6" t="e">
        <f>NA()</f>
        <v>#N/A</v>
      </c>
      <c r="K25" s="10">
        <v>0.82322217791644203</v>
      </c>
      <c r="L25" s="6" t="e">
        <f>NA()</f>
        <v>#N/A</v>
      </c>
      <c r="M25" s="10">
        <v>0.56261411691928498</v>
      </c>
      <c r="N25" s="10">
        <v>0.64412915706634499</v>
      </c>
      <c r="O25" s="10">
        <v>0.40341543933123802</v>
      </c>
      <c r="P25" s="10">
        <v>0.79320747541659098</v>
      </c>
      <c r="Q25" s="6"/>
      <c r="R25" s="17">
        <v>0.89625104273371003</v>
      </c>
      <c r="S25" s="17">
        <v>0.79320747541659098</v>
      </c>
      <c r="T25" s="17">
        <v>0.64412915706634499</v>
      </c>
      <c r="U25" s="17">
        <v>0.79484167525423699</v>
      </c>
      <c r="V25" s="17">
        <v>0.60037657909785702</v>
      </c>
      <c r="W25" s="17">
        <v>0.60215908622441805</v>
      </c>
      <c r="X25" s="17">
        <v>0.74429495016554803</v>
      </c>
      <c r="Y25" s="17">
        <v>0.86480294526377299</v>
      </c>
      <c r="Z25" s="17">
        <v>0.79320747541659098</v>
      </c>
    </row>
    <row r="26" spans="1:26" ht="15.45" customHeight="1" x14ac:dyDescent="0.25">
      <c r="A26" s="15">
        <v>41334</v>
      </c>
      <c r="B26" s="16">
        <v>0.8</v>
      </c>
      <c r="C26" s="6" t="e">
        <f>NA()</f>
        <v>#N/A</v>
      </c>
      <c r="D26" s="10">
        <v>1.71553161627838</v>
      </c>
      <c r="E26" s="10">
        <v>1.1576553314798199</v>
      </c>
      <c r="F26" s="6" t="e">
        <f>NA()</f>
        <v>#N/A</v>
      </c>
      <c r="G26" s="6" t="e">
        <f>NA()</f>
        <v>#N/A</v>
      </c>
      <c r="H26" s="6" t="e">
        <f>NA()</f>
        <v>#N/A</v>
      </c>
      <c r="I26" s="6" t="e">
        <f>NA()</f>
        <v>#N/A</v>
      </c>
      <c r="J26" s="6" t="e">
        <f>NA()</f>
        <v>#N/A</v>
      </c>
      <c r="K26" s="10">
        <v>0.89041797094394304</v>
      </c>
      <c r="L26" s="6" t="e">
        <f>NA()</f>
        <v>#N/A</v>
      </c>
      <c r="M26" s="10">
        <v>1.37940630156164</v>
      </c>
      <c r="N26" s="10">
        <v>1.2255744934082</v>
      </c>
      <c r="O26" s="10">
        <v>0.534048550993798</v>
      </c>
      <c r="P26" s="10">
        <v>0.97084740265198599</v>
      </c>
      <c r="Q26" s="6"/>
      <c r="R26" s="17">
        <v>1.12478309533111</v>
      </c>
      <c r="S26" s="17">
        <v>1.1576553314798199</v>
      </c>
      <c r="T26" s="17">
        <v>1.2255744934082</v>
      </c>
      <c r="U26" s="17">
        <v>1.1576553314798199</v>
      </c>
      <c r="V26" s="17">
        <v>1.13997587941759</v>
      </c>
      <c r="W26" s="17">
        <v>1.1361069591331701</v>
      </c>
      <c r="X26" s="17">
        <v>1.13164037708153</v>
      </c>
      <c r="Y26" s="17">
        <v>1.10329588290325</v>
      </c>
      <c r="Z26" s="17">
        <v>1.13997587941759</v>
      </c>
    </row>
    <row r="27" spans="1:26" ht="15.45" customHeight="1" x14ac:dyDescent="0.25">
      <c r="A27" s="15">
        <v>41426</v>
      </c>
      <c r="B27" s="16">
        <v>1.1000000000000001</v>
      </c>
      <c r="C27" s="6" t="e">
        <f>NA()</f>
        <v>#N/A</v>
      </c>
      <c r="D27" s="10">
        <v>1.2120206035010701</v>
      </c>
      <c r="E27" s="10">
        <v>1.2825566373619399</v>
      </c>
      <c r="F27" s="6" t="e">
        <f>NA()</f>
        <v>#N/A</v>
      </c>
      <c r="G27" s="6" t="e">
        <f>NA()</f>
        <v>#N/A</v>
      </c>
      <c r="H27" s="6" t="e">
        <f>NA()</f>
        <v>#N/A</v>
      </c>
      <c r="I27" s="6" t="e">
        <f>NA()</f>
        <v>#N/A</v>
      </c>
      <c r="J27" s="6" t="e">
        <f>NA()</f>
        <v>#N/A</v>
      </c>
      <c r="K27" s="10">
        <v>0.70997990639620001</v>
      </c>
      <c r="L27" s="6" t="e">
        <f>NA()</f>
        <v>#N/A</v>
      </c>
      <c r="M27" s="10">
        <v>0.75155327522184101</v>
      </c>
      <c r="N27" s="10">
        <v>1.43074238300324</v>
      </c>
      <c r="O27" s="10">
        <v>0.17427729767481601</v>
      </c>
      <c r="P27" s="10">
        <v>0.49825798112219</v>
      </c>
      <c r="Q27" s="6"/>
      <c r="R27" s="17">
        <v>0.86562686918304299</v>
      </c>
      <c r="S27" s="17">
        <v>0.75155327522184101</v>
      </c>
      <c r="T27" s="17">
        <v>0.70997990639620001</v>
      </c>
      <c r="U27" s="17">
        <v>0.74295112239597405</v>
      </c>
      <c r="V27" s="17">
        <v>0.75791464024955402</v>
      </c>
      <c r="W27" s="17">
        <v>0.75760043239891695</v>
      </c>
      <c r="X27" s="17">
        <v>0.77211010474243202</v>
      </c>
      <c r="Y27" s="17">
        <v>0.82344615880915095</v>
      </c>
      <c r="Z27" s="17">
        <v>0.75750387128134</v>
      </c>
    </row>
    <row r="28" spans="1:26" ht="15.45" customHeight="1" x14ac:dyDescent="0.25">
      <c r="A28" s="15">
        <v>41518</v>
      </c>
      <c r="B28" s="16">
        <v>1</v>
      </c>
      <c r="C28" s="6" t="e">
        <f>NA()</f>
        <v>#N/A</v>
      </c>
      <c r="D28" s="10">
        <v>1.3471961004755799</v>
      </c>
      <c r="E28" s="10">
        <v>1.51999297003957</v>
      </c>
      <c r="F28" s="6" t="e">
        <f>NA()</f>
        <v>#N/A</v>
      </c>
      <c r="G28" s="6" t="e">
        <f>NA()</f>
        <v>#N/A</v>
      </c>
      <c r="H28" s="6" t="e">
        <f>NA()</f>
        <v>#N/A</v>
      </c>
      <c r="I28" s="6" t="e">
        <f>NA()</f>
        <v>#N/A</v>
      </c>
      <c r="J28" s="6" t="e">
        <f>NA()</f>
        <v>#N/A</v>
      </c>
      <c r="K28" s="10">
        <v>0.75191402574828103</v>
      </c>
      <c r="L28" s="6" t="e">
        <f>NA()</f>
        <v>#N/A</v>
      </c>
      <c r="M28" s="10">
        <v>0.87172896831464397</v>
      </c>
      <c r="N28" s="10">
        <v>1.19877982139587</v>
      </c>
      <c r="O28" s="10">
        <v>-0.183815695643577</v>
      </c>
      <c r="P28" s="10">
        <v>0.38095592485303897</v>
      </c>
      <c r="Q28" s="6"/>
      <c r="R28" s="17">
        <v>0.84096458788334405</v>
      </c>
      <c r="S28" s="17">
        <v>0.87172896831464397</v>
      </c>
      <c r="T28" s="17">
        <v>0.75191402574828103</v>
      </c>
      <c r="U28" s="17">
        <v>0.80327545070320105</v>
      </c>
      <c r="V28" s="17">
        <v>0.80071500000752205</v>
      </c>
      <c r="W28" s="17">
        <v>0.80060808156617203</v>
      </c>
      <c r="X28" s="17">
        <v>0.80396489197847598</v>
      </c>
      <c r="Y28" s="17">
        <v>0.825148538993287</v>
      </c>
      <c r="Z28" s="17">
        <v>0.80396489197847598</v>
      </c>
    </row>
    <row r="29" spans="1:26" ht="15.45" customHeight="1" x14ac:dyDescent="0.25">
      <c r="A29" s="15">
        <v>41609</v>
      </c>
      <c r="B29" s="16">
        <v>0.9</v>
      </c>
      <c r="C29" s="6" t="e">
        <f>NA()</f>
        <v>#N/A</v>
      </c>
      <c r="D29" s="10">
        <v>1.5147071260237499</v>
      </c>
      <c r="E29" s="10">
        <v>1.2635798499683699</v>
      </c>
      <c r="F29" s="6" t="e">
        <f>NA()</f>
        <v>#N/A</v>
      </c>
      <c r="G29" s="6" t="e">
        <f>NA()</f>
        <v>#N/A</v>
      </c>
      <c r="H29" s="6" t="e">
        <f>NA()</f>
        <v>#N/A</v>
      </c>
      <c r="I29" s="6" t="e">
        <f>NA()</f>
        <v>#N/A</v>
      </c>
      <c r="J29" s="6" t="e">
        <f>NA()</f>
        <v>#N/A</v>
      </c>
      <c r="K29" s="10">
        <v>1.2340361934191599</v>
      </c>
      <c r="L29" s="6" t="e">
        <f>NA()</f>
        <v>#N/A</v>
      </c>
      <c r="M29" s="10">
        <v>1.51958705547662</v>
      </c>
      <c r="N29" s="10">
        <v>1.18990898132324</v>
      </c>
      <c r="O29" s="10">
        <v>0.43830557014426602</v>
      </c>
      <c r="P29" s="10">
        <v>0.96811719617519798</v>
      </c>
      <c r="Q29" s="6"/>
      <c r="R29" s="17">
        <v>1.1611774246472299</v>
      </c>
      <c r="S29" s="17">
        <v>1.2340361934191599</v>
      </c>
      <c r="T29" s="17">
        <v>1.2340361934191599</v>
      </c>
      <c r="U29" s="17">
        <v>1.2340361934191599</v>
      </c>
      <c r="V29" s="17">
        <v>1.2550431480387301</v>
      </c>
      <c r="W29" s="17">
        <v>1.2549522537139799</v>
      </c>
      <c r="X29" s="17">
        <v>1.2315792328009301</v>
      </c>
      <c r="Y29" s="17">
        <v>1.19127433111053</v>
      </c>
      <c r="Z29" s="17">
        <v>1.2340361934191599</v>
      </c>
    </row>
    <row r="30" spans="1:26" ht="15.45" customHeight="1" x14ac:dyDescent="0.25">
      <c r="A30" s="15">
        <v>41699</v>
      </c>
      <c r="B30" s="16">
        <v>0.8</v>
      </c>
      <c r="C30" s="6" t="e">
        <f>NA()</f>
        <v>#N/A</v>
      </c>
      <c r="D30" s="10">
        <v>1.5010498168436499</v>
      </c>
      <c r="E30" s="10">
        <v>1.1920110511608699</v>
      </c>
      <c r="F30" s="6" t="e">
        <f>NA()</f>
        <v>#N/A</v>
      </c>
      <c r="G30" s="6" t="e">
        <f>NA()</f>
        <v>#N/A</v>
      </c>
      <c r="H30" s="6" t="e">
        <f>NA()</f>
        <v>#N/A</v>
      </c>
      <c r="I30" s="6" t="e">
        <f>NA()</f>
        <v>#N/A</v>
      </c>
      <c r="J30" s="6" t="e">
        <f>NA()</f>
        <v>#N/A</v>
      </c>
      <c r="K30" s="10">
        <v>0.83898047083083704</v>
      </c>
      <c r="L30" s="6" t="e">
        <f>NA()</f>
        <v>#N/A</v>
      </c>
      <c r="M30" s="10">
        <v>0.73155938644031504</v>
      </c>
      <c r="N30" s="10">
        <v>0.91557914018631004</v>
      </c>
      <c r="O30" s="10">
        <v>0.43657235601975802</v>
      </c>
      <c r="P30" s="10">
        <v>0.68461441606526396</v>
      </c>
      <c r="Q30" s="6"/>
      <c r="R30" s="17">
        <v>0.900052376792429</v>
      </c>
      <c r="S30" s="17">
        <v>0.83898047083083704</v>
      </c>
      <c r="T30" s="17">
        <v>0.91557914018631004</v>
      </c>
      <c r="U30" s="17">
        <v>0.83898047083083704</v>
      </c>
      <c r="V30" s="17">
        <v>0.91041147209584306</v>
      </c>
      <c r="W30" s="17">
        <v>0.91110800718232599</v>
      </c>
      <c r="X30" s="17">
        <v>0.91511793528810603</v>
      </c>
      <c r="Y30" s="17">
        <v>0.91471081685154698</v>
      </c>
      <c r="Z30" s="17">
        <v>0.91039165148869705</v>
      </c>
    </row>
    <row r="31" spans="1:26" ht="15.45" customHeight="1" x14ac:dyDescent="0.25">
      <c r="A31" s="15">
        <v>41791</v>
      </c>
      <c r="B31" s="16">
        <v>0.9</v>
      </c>
      <c r="C31" s="6" t="e">
        <f>NA()</f>
        <v>#N/A</v>
      </c>
      <c r="D31" s="10">
        <v>1.27039657334471</v>
      </c>
      <c r="E31" s="10">
        <v>1.1513710817006</v>
      </c>
      <c r="F31" s="6" t="e">
        <f>NA()</f>
        <v>#N/A</v>
      </c>
      <c r="G31" s="6" t="e">
        <f>NA()</f>
        <v>#N/A</v>
      </c>
      <c r="H31" s="6" t="e">
        <f>NA()</f>
        <v>#N/A</v>
      </c>
      <c r="I31" s="6" t="e">
        <f>NA()</f>
        <v>#N/A</v>
      </c>
      <c r="J31" s="6" t="e">
        <f>NA()</f>
        <v>#N/A</v>
      </c>
      <c r="K31" s="10">
        <v>0.74148527396656005</v>
      </c>
      <c r="L31" s="6" t="e">
        <f>NA()</f>
        <v>#N/A</v>
      </c>
      <c r="M31" s="10">
        <v>0.90781490893346894</v>
      </c>
      <c r="N31" s="10">
        <v>0.91955405473709095</v>
      </c>
      <c r="O31" s="10">
        <v>-0.52200707232954502</v>
      </c>
      <c r="P31" s="10">
        <v>0.20911410879470799</v>
      </c>
      <c r="Q31" s="6"/>
      <c r="R31" s="17">
        <v>0.66824698987822795</v>
      </c>
      <c r="S31" s="17">
        <v>0.90781490893346894</v>
      </c>
      <c r="T31" s="17">
        <v>0.90781490893346894</v>
      </c>
      <c r="U31" s="17">
        <v>0.58703940301248103</v>
      </c>
      <c r="V31" s="17">
        <v>0.85821687075751796</v>
      </c>
      <c r="W31" s="17">
        <v>0.85780658745733496</v>
      </c>
      <c r="X31" s="17">
        <v>0.82195851263886899</v>
      </c>
      <c r="Y31" s="17">
        <v>0.73794760188630903</v>
      </c>
      <c r="Z31" s="17">
        <v>0.84685813524663001</v>
      </c>
    </row>
    <row r="32" spans="1:26" ht="15.45" customHeight="1" x14ac:dyDescent="0.25">
      <c r="A32" s="15">
        <v>41883</v>
      </c>
      <c r="B32" s="16">
        <v>0.3</v>
      </c>
      <c r="C32" s="6" t="e">
        <f>NA()</f>
        <v>#N/A</v>
      </c>
      <c r="D32" s="10">
        <v>1.2952675408596901</v>
      </c>
      <c r="E32" s="10">
        <v>1.2110620078271199</v>
      </c>
      <c r="F32" s="6" t="e">
        <f>NA()</f>
        <v>#N/A</v>
      </c>
      <c r="G32" s="6" t="e">
        <f>NA()</f>
        <v>#N/A</v>
      </c>
      <c r="H32" s="6" t="e">
        <f>NA()</f>
        <v>#N/A</v>
      </c>
      <c r="I32" s="6" t="e">
        <f>NA()</f>
        <v>#N/A</v>
      </c>
      <c r="J32" s="6" t="e">
        <f>NA()</f>
        <v>#N/A</v>
      </c>
      <c r="K32" s="10">
        <v>0.92736810752152699</v>
      </c>
      <c r="L32" s="6" t="e">
        <f>NA()</f>
        <v>#N/A</v>
      </c>
      <c r="M32" s="10">
        <v>0.70368702354134705</v>
      </c>
      <c r="N32" s="10">
        <v>0.91791230440139804</v>
      </c>
      <c r="O32" s="10">
        <v>0.62944496716585496</v>
      </c>
      <c r="P32" s="10">
        <v>0.750412643689782</v>
      </c>
      <c r="Q32" s="6"/>
      <c r="R32" s="17">
        <v>0.91930779928667405</v>
      </c>
      <c r="S32" s="17">
        <v>0.91791230440139804</v>
      </c>
      <c r="T32" s="17">
        <v>0.91791230440139804</v>
      </c>
      <c r="U32" s="17">
        <v>0.91791230440139804</v>
      </c>
      <c r="V32" s="17">
        <v>0.93228175039147998</v>
      </c>
      <c r="W32" s="17">
        <v>0.93338683791050603</v>
      </c>
      <c r="X32" s="17">
        <v>0.92109203709959897</v>
      </c>
      <c r="Y32" s="17">
        <v>0.93645183507663399</v>
      </c>
      <c r="Z32" s="17">
        <v>0.91930779928667405</v>
      </c>
    </row>
    <row r="33" spans="1:26" ht="15.45" customHeight="1" x14ac:dyDescent="0.25">
      <c r="A33" s="15">
        <v>41974</v>
      </c>
      <c r="B33" s="16">
        <v>0.5</v>
      </c>
      <c r="C33" s="6" t="e">
        <f>NA()</f>
        <v>#N/A</v>
      </c>
      <c r="D33" s="10">
        <v>0.977032914890685</v>
      </c>
      <c r="E33" s="10">
        <v>0.98513387787608797</v>
      </c>
      <c r="F33" s="6" t="e">
        <f>NA()</f>
        <v>#N/A</v>
      </c>
      <c r="G33" s="6" t="e">
        <f>NA()</f>
        <v>#N/A</v>
      </c>
      <c r="H33" s="6" t="e">
        <f>NA()</f>
        <v>#N/A</v>
      </c>
      <c r="I33" s="6" t="e">
        <f>NA()</f>
        <v>#N/A</v>
      </c>
      <c r="J33" s="6" t="e">
        <f>NA()</f>
        <v>#N/A</v>
      </c>
      <c r="K33" s="10">
        <v>1.2321064109939699</v>
      </c>
      <c r="L33" s="6" t="e">
        <f>NA()</f>
        <v>#N/A</v>
      </c>
      <c r="M33" s="10">
        <v>0.71640719202011305</v>
      </c>
      <c r="N33" s="10">
        <v>0.87230551242828402</v>
      </c>
      <c r="O33" s="10">
        <v>2.9198120517497901E-3</v>
      </c>
      <c r="P33" s="10">
        <v>0.67590210642328397</v>
      </c>
      <c r="Q33" s="6"/>
      <c r="R33" s="17">
        <v>0.78025826095488204</v>
      </c>
      <c r="S33" s="17">
        <v>0.87230551242828402</v>
      </c>
      <c r="T33" s="17">
        <v>0.87230551242828402</v>
      </c>
      <c r="U33" s="17">
        <v>0.83346940232007405</v>
      </c>
      <c r="V33" s="17">
        <v>0.90083233486400305</v>
      </c>
      <c r="W33" s="17">
        <v>0.89998888093231899</v>
      </c>
      <c r="X33" s="17">
        <v>0.86221871815315898</v>
      </c>
      <c r="Y33" s="17">
        <v>0.81519390797298197</v>
      </c>
      <c r="Z33" s="17">
        <v>0.87180226014656803</v>
      </c>
    </row>
    <row r="34" spans="1:26" ht="15.45" customHeight="1" x14ac:dyDescent="0.25">
      <c r="A34" s="15">
        <v>42064</v>
      </c>
      <c r="B34" s="16">
        <v>0.9</v>
      </c>
      <c r="C34" s="6" t="e">
        <f>NA()</f>
        <v>#N/A</v>
      </c>
      <c r="D34" s="10">
        <v>1.3673028820997899</v>
      </c>
      <c r="E34" s="10">
        <v>1.22050462739392</v>
      </c>
      <c r="F34" s="6" t="e">
        <f>NA()</f>
        <v>#N/A</v>
      </c>
      <c r="G34" s="6" t="e">
        <f>NA()</f>
        <v>#N/A</v>
      </c>
      <c r="H34" s="6" t="e">
        <f>NA()</f>
        <v>#N/A</v>
      </c>
      <c r="I34" s="6" t="e">
        <f>NA()</f>
        <v>#N/A</v>
      </c>
      <c r="J34" s="6" t="e">
        <f>NA()</f>
        <v>#N/A</v>
      </c>
      <c r="K34" s="10">
        <v>0.90742914126045404</v>
      </c>
      <c r="L34" s="6" t="e">
        <f>NA()</f>
        <v>#N/A</v>
      </c>
      <c r="M34" s="10">
        <v>0.61019106263980305</v>
      </c>
      <c r="N34" s="10">
        <v>1.1965746879577599</v>
      </c>
      <c r="O34" s="10">
        <v>0.48180389721071298</v>
      </c>
      <c r="P34" s="10">
        <v>0.83160716505870502</v>
      </c>
      <c r="Q34" s="6"/>
      <c r="R34" s="17">
        <v>0.94505906623159197</v>
      </c>
      <c r="S34" s="17">
        <v>0.90742914126045404</v>
      </c>
      <c r="T34" s="17">
        <v>0.83160716505870502</v>
      </c>
      <c r="U34" s="17">
        <v>0.90742914126045404</v>
      </c>
      <c r="V34" s="17">
        <v>0.79441454028704594</v>
      </c>
      <c r="W34" s="17">
        <v>0.80193327454083996</v>
      </c>
      <c r="X34" s="17">
        <v>0.84888186284529499</v>
      </c>
      <c r="Y34" s="17">
        <v>0.94450748554337105</v>
      </c>
      <c r="Z34" s="17">
        <v>0.90742914126045404</v>
      </c>
    </row>
    <row r="35" spans="1:26" ht="15.45" customHeight="1" x14ac:dyDescent="0.25">
      <c r="A35" s="15">
        <v>42156</v>
      </c>
      <c r="B35" s="16">
        <v>0.4</v>
      </c>
      <c r="C35" s="6" t="e">
        <f>NA()</f>
        <v>#N/A</v>
      </c>
      <c r="D35" s="10">
        <v>1.0626895335120099</v>
      </c>
      <c r="E35" s="10">
        <v>0.95433407917937496</v>
      </c>
      <c r="F35" s="6" t="e">
        <f>NA()</f>
        <v>#N/A</v>
      </c>
      <c r="G35" s="6" t="e">
        <f>NA()</f>
        <v>#N/A</v>
      </c>
      <c r="H35" s="6" t="e">
        <f>NA()</f>
        <v>#N/A</v>
      </c>
      <c r="I35" s="6" t="e">
        <f>NA()</f>
        <v>#N/A</v>
      </c>
      <c r="J35" s="6" t="e">
        <f>NA()</f>
        <v>#N/A</v>
      </c>
      <c r="K35" s="10">
        <v>0.55777259533185797</v>
      </c>
      <c r="L35" s="6" t="e">
        <f>NA()</f>
        <v>#N/A</v>
      </c>
      <c r="M35" s="10">
        <v>0.68349186667892603</v>
      </c>
      <c r="N35" s="10">
        <v>0.68220025300979603</v>
      </c>
      <c r="O35" s="10">
        <v>-0.24610561687756699</v>
      </c>
      <c r="P35" s="10">
        <v>0.36712211337301298</v>
      </c>
      <c r="Q35" s="6"/>
      <c r="R35" s="17">
        <v>0.58021497488677298</v>
      </c>
      <c r="S35" s="17">
        <v>0.68220025300979603</v>
      </c>
      <c r="T35" s="17">
        <v>0.68220025300979603</v>
      </c>
      <c r="U35" s="17">
        <v>0.65391213684906102</v>
      </c>
      <c r="V35" s="17">
        <v>0.64212619947102201</v>
      </c>
      <c r="W35" s="17">
        <v>0.64097684611110595</v>
      </c>
      <c r="X35" s="17">
        <v>0.63214770014841504</v>
      </c>
      <c r="Y35" s="17">
        <v>0.60857448344749498</v>
      </c>
      <c r="Z35" s="17">
        <v>0.64212619947102201</v>
      </c>
    </row>
    <row r="36" spans="1:26" ht="15.45" customHeight="1" x14ac:dyDescent="0.25">
      <c r="A36" s="15">
        <v>42248</v>
      </c>
      <c r="B36" s="16">
        <v>1.5</v>
      </c>
      <c r="C36" s="6" t="e">
        <f>NA()</f>
        <v>#N/A</v>
      </c>
      <c r="D36" s="10">
        <v>1.17405933865946</v>
      </c>
      <c r="E36" s="10">
        <v>1.16813438895189</v>
      </c>
      <c r="F36" s="6" t="e">
        <f>NA()</f>
        <v>#N/A</v>
      </c>
      <c r="G36" s="6" t="e">
        <f>NA()</f>
        <v>#N/A</v>
      </c>
      <c r="H36" s="6" t="e">
        <f>NA()</f>
        <v>#N/A</v>
      </c>
      <c r="I36" s="6" t="e">
        <f>NA()</f>
        <v>#N/A</v>
      </c>
      <c r="J36" s="6" t="e">
        <f>NA()</f>
        <v>#N/A</v>
      </c>
      <c r="K36" s="10">
        <v>0.68882052409161398</v>
      </c>
      <c r="L36" s="6" t="e">
        <f>NA()</f>
        <v>#N/A</v>
      </c>
      <c r="M36" s="10">
        <v>0.92082214074231195</v>
      </c>
      <c r="N36" s="10">
        <v>1.176713347435</v>
      </c>
      <c r="O36" s="10">
        <v>0.47849556145786298</v>
      </c>
      <c r="P36" s="10">
        <v>0.56675365342453599</v>
      </c>
      <c r="Q36" s="6"/>
      <c r="R36" s="17">
        <v>0.88197127925181096</v>
      </c>
      <c r="S36" s="17">
        <v>0.92082214074231195</v>
      </c>
      <c r="T36" s="17">
        <v>0.68882052409161398</v>
      </c>
      <c r="U36" s="17">
        <v>0.92082214074231195</v>
      </c>
      <c r="V36" s="17">
        <v>0.69832056930543696</v>
      </c>
      <c r="W36" s="17">
        <v>0.70357494160532397</v>
      </c>
      <c r="X36" s="17">
        <v>0.790543261885707</v>
      </c>
      <c r="Y36" s="17">
        <v>0.86350666362959805</v>
      </c>
      <c r="Z36" s="17">
        <v>0.86804433105245105</v>
      </c>
    </row>
    <row r="37" spans="1:26" ht="15.45" customHeight="1" x14ac:dyDescent="0.25">
      <c r="A37" s="15">
        <v>42339</v>
      </c>
      <c r="B37" s="16">
        <v>0.8</v>
      </c>
      <c r="C37" s="6" t="e">
        <f>NA()</f>
        <v>#N/A</v>
      </c>
      <c r="D37" s="10">
        <v>1.4537797970802999</v>
      </c>
      <c r="E37" s="10">
        <v>1.3268604836776301</v>
      </c>
      <c r="F37" s="6" t="e">
        <f>NA()</f>
        <v>#N/A</v>
      </c>
      <c r="G37" s="6" t="e">
        <f>NA()</f>
        <v>#N/A</v>
      </c>
      <c r="H37" s="6" t="e">
        <f>NA()</f>
        <v>#N/A</v>
      </c>
      <c r="I37" s="6" t="e">
        <f>NA()</f>
        <v>#N/A</v>
      </c>
      <c r="J37" s="6" t="e">
        <f>NA()</f>
        <v>#N/A</v>
      </c>
      <c r="K37" s="10">
        <v>0.80523548143813195</v>
      </c>
      <c r="L37" s="6" t="e">
        <f>NA()</f>
        <v>#N/A</v>
      </c>
      <c r="M37" s="10">
        <v>1.5372204463079899</v>
      </c>
      <c r="N37" s="10">
        <v>0.75382518768310502</v>
      </c>
      <c r="O37" s="10">
        <v>0.551633376456522</v>
      </c>
      <c r="P37" s="10">
        <v>0.74893733490720205</v>
      </c>
      <c r="Q37" s="6"/>
      <c r="R37" s="17">
        <v>1.0253560153644099</v>
      </c>
      <c r="S37" s="17">
        <v>0.80523548143813195</v>
      </c>
      <c r="T37" s="17">
        <v>0.75382518768310502</v>
      </c>
      <c r="U37" s="17">
        <v>0.90106284241600798</v>
      </c>
      <c r="V37" s="17">
        <v>0.96022079162075902</v>
      </c>
      <c r="W37" s="17">
        <v>0.97029683658719201</v>
      </c>
      <c r="X37" s="17">
        <v>1.06622042444499</v>
      </c>
      <c r="Y37" s="17">
        <v>1.0446593065840999</v>
      </c>
      <c r="Z37" s="17">
        <v>0.96219712632858101</v>
      </c>
    </row>
    <row r="38" spans="1:26" ht="15.45" customHeight="1" x14ac:dyDescent="0.25">
      <c r="A38" s="15">
        <v>42430</v>
      </c>
      <c r="B38" s="16">
        <v>0.3</v>
      </c>
      <c r="C38" s="18">
        <v>9.6765505327907994E-2</v>
      </c>
      <c r="D38" s="19">
        <v>0.19913700000000001</v>
      </c>
      <c r="E38" s="19">
        <v>9.3119999999999994E-2</v>
      </c>
      <c r="F38" s="19">
        <v>0.22593299999999999</v>
      </c>
      <c r="G38" s="19">
        <v>0.74709700000000001</v>
      </c>
      <c r="H38" s="19">
        <v>0.47644454369062</v>
      </c>
      <c r="I38" s="19">
        <v>0.819794793818172</v>
      </c>
      <c r="J38" s="19">
        <v>0.79816399999999998</v>
      </c>
      <c r="K38" s="19">
        <v>0.350113994728527</v>
      </c>
      <c r="L38" s="19">
        <v>-0.28277945999999998</v>
      </c>
      <c r="M38" s="19">
        <v>0.53618070178995603</v>
      </c>
      <c r="N38" s="19">
        <v>0.57159632444381703</v>
      </c>
      <c r="O38" s="19">
        <v>0.30369299999999999</v>
      </c>
      <c r="P38" s="19">
        <v>4.0466000000000002E-2</v>
      </c>
      <c r="Q38" s="19"/>
      <c r="R38" s="17">
        <v>0.29918671728032897</v>
      </c>
      <c r="S38" s="17">
        <v>0.30369299999999999</v>
      </c>
      <c r="T38" s="17">
        <v>0.350113994728527</v>
      </c>
      <c r="U38" s="17">
        <v>0.30369299999999999</v>
      </c>
      <c r="V38" s="17">
        <v>0.56475535812476896</v>
      </c>
      <c r="W38" s="17">
        <v>0.56236564366484598</v>
      </c>
      <c r="X38" s="17">
        <v>0.36604879059886902</v>
      </c>
      <c r="Y38" s="17">
        <v>0.30494874414012002</v>
      </c>
      <c r="Z38" s="17">
        <v>0.30494874414012002</v>
      </c>
    </row>
    <row r="39" spans="1:26" ht="15.45" customHeight="1" x14ac:dyDescent="0.25">
      <c r="A39" s="15">
        <v>42522</v>
      </c>
      <c r="B39" s="16">
        <v>1.2</v>
      </c>
      <c r="C39" s="18">
        <v>0.90968064813041705</v>
      </c>
      <c r="D39" s="19">
        <v>0.89207899999999996</v>
      </c>
      <c r="E39" s="19">
        <v>0.84811000000000003</v>
      </c>
      <c r="F39" s="19">
        <v>0.89196299999999995</v>
      </c>
      <c r="G39" s="19">
        <v>0.35142899999999999</v>
      </c>
      <c r="H39" s="19">
        <v>1.0633697542364999</v>
      </c>
      <c r="I39" s="19">
        <v>1.0686419834124401</v>
      </c>
      <c r="J39" s="19">
        <v>1.132944</v>
      </c>
      <c r="K39" s="19">
        <v>1.0512045206887899</v>
      </c>
      <c r="L39" s="19">
        <v>0.58187279999999997</v>
      </c>
      <c r="M39" s="19">
        <v>0.77269948359848295</v>
      </c>
      <c r="N39" s="19">
        <v>1.7542190551757799</v>
      </c>
      <c r="O39" s="19">
        <v>0.563998</v>
      </c>
      <c r="P39" s="19">
        <v>1.2665759999999999</v>
      </c>
      <c r="Q39" s="19"/>
      <c r="R39" s="17">
        <v>1.0212694370661499</v>
      </c>
      <c r="S39" s="17">
        <v>0.89207899999999996</v>
      </c>
      <c r="T39" s="17">
        <v>1.2665759999999999</v>
      </c>
      <c r="U39" s="17">
        <v>0.94617338254326</v>
      </c>
      <c r="V39" s="17">
        <v>1.7504381698684399</v>
      </c>
      <c r="W39" s="17">
        <v>1.74645509959565</v>
      </c>
      <c r="X39" s="17">
        <v>1.2342926086766901</v>
      </c>
      <c r="Y39" s="17">
        <v>1.0488224470632601</v>
      </c>
      <c r="Z39" s="17">
        <v>1.0503224357785601</v>
      </c>
    </row>
    <row r="40" spans="1:26" ht="15.45" customHeight="1" x14ac:dyDescent="0.25">
      <c r="A40" s="15">
        <v>42614</v>
      </c>
      <c r="B40" s="16">
        <v>0.4</v>
      </c>
      <c r="C40" s="18">
        <v>0.55010574653569599</v>
      </c>
      <c r="D40" s="19">
        <v>0.64195400000000002</v>
      </c>
      <c r="E40" s="19">
        <v>0.56389500000000004</v>
      </c>
      <c r="F40" s="19">
        <v>0.68477399999999999</v>
      </c>
      <c r="G40" s="19">
        <v>0.93662599999999996</v>
      </c>
      <c r="H40" s="19">
        <v>0.95351115778552198</v>
      </c>
      <c r="I40" s="19">
        <v>0.72645207283304303</v>
      </c>
      <c r="J40" s="19">
        <v>0.95010300000000003</v>
      </c>
      <c r="K40" s="19">
        <v>0.45401846422039999</v>
      </c>
      <c r="L40" s="19">
        <v>0.69687809999999994</v>
      </c>
      <c r="M40" s="19">
        <v>0.86391835914606196</v>
      </c>
      <c r="N40" s="19">
        <v>0.92820131778716997</v>
      </c>
      <c r="O40" s="19">
        <v>0.59265199999999996</v>
      </c>
      <c r="P40" s="19">
        <v>0.44287300000000002</v>
      </c>
      <c r="Q40" s="19"/>
      <c r="R40" s="17">
        <v>0.64107316302194695</v>
      </c>
      <c r="S40" s="17">
        <v>0.59265199999999996</v>
      </c>
      <c r="T40" s="17">
        <v>0.45401846422039999</v>
      </c>
      <c r="U40" s="17">
        <v>0.59265199999999996</v>
      </c>
      <c r="V40" s="17">
        <v>0.80299305224848605</v>
      </c>
      <c r="W40" s="17">
        <v>0.78570008135824698</v>
      </c>
      <c r="X40" s="17">
        <v>0.65525845205907696</v>
      </c>
      <c r="Y40" s="17">
        <v>0.64263729278563697</v>
      </c>
      <c r="Z40" s="17">
        <v>0.64107316302194695</v>
      </c>
    </row>
    <row r="41" spans="1:26" ht="15.45" customHeight="1" x14ac:dyDescent="0.25">
      <c r="A41" s="15">
        <v>42705</v>
      </c>
      <c r="B41" s="16">
        <v>0.6</v>
      </c>
      <c r="C41" s="18">
        <v>1.13103257066387</v>
      </c>
      <c r="D41" s="19">
        <v>0.69500799999999996</v>
      </c>
      <c r="E41" s="19">
        <v>0.64204499999999998</v>
      </c>
      <c r="F41" s="19">
        <v>0.712063</v>
      </c>
      <c r="G41" s="19">
        <v>0.57575399999999999</v>
      </c>
      <c r="H41" s="19">
        <v>1.0674276446148001</v>
      </c>
      <c r="I41" s="19">
        <v>0.87291484641943995</v>
      </c>
      <c r="J41" s="19">
        <v>1.0456209999999999</v>
      </c>
      <c r="K41" s="19">
        <v>1.28447570267855</v>
      </c>
      <c r="L41" s="19">
        <v>0.96055126000000002</v>
      </c>
      <c r="M41" s="19">
        <v>0.73464663977169298</v>
      </c>
      <c r="N41" s="19">
        <v>1.09948682785034</v>
      </c>
      <c r="O41" s="19">
        <v>0.76981599999999994</v>
      </c>
      <c r="P41" s="19">
        <v>1.336816</v>
      </c>
      <c r="Q41" s="19"/>
      <c r="R41" s="17">
        <v>0.93747059575722602</v>
      </c>
      <c r="S41" s="17">
        <v>0.76981599999999994</v>
      </c>
      <c r="T41" s="17">
        <v>1.28447570267855</v>
      </c>
      <c r="U41" s="17">
        <v>0.80613879121338095</v>
      </c>
      <c r="V41" s="17">
        <v>1.2997762725873401</v>
      </c>
      <c r="W41" s="17">
        <v>1.3000611762453</v>
      </c>
      <c r="X41" s="17">
        <v>1.2232967491214599</v>
      </c>
      <c r="Y41" s="17">
        <v>0.95287776271927005</v>
      </c>
      <c r="Z41" s="17">
        <v>1.2359258313935899</v>
      </c>
    </row>
    <row r="42" spans="1:26" ht="15.45" customHeight="1" x14ac:dyDescent="0.25">
      <c r="A42" s="15">
        <v>42795</v>
      </c>
      <c r="B42" s="16">
        <v>1</v>
      </c>
      <c r="C42" s="18">
        <v>1.07711623584131</v>
      </c>
      <c r="D42" s="19">
        <v>1.1199159999999999</v>
      </c>
      <c r="E42" s="19">
        <v>1.0978669999999999</v>
      </c>
      <c r="F42" s="19">
        <v>1.0544439999999999</v>
      </c>
      <c r="G42" s="19">
        <v>0.64759100000000003</v>
      </c>
      <c r="H42" s="19">
        <v>1.0670232493074401</v>
      </c>
      <c r="I42" s="19">
        <v>1.0479093779858599</v>
      </c>
      <c r="J42" s="19">
        <v>1.1133569999999999</v>
      </c>
      <c r="K42" s="19">
        <v>1.1047904706023</v>
      </c>
      <c r="L42" s="19">
        <v>1.2134948000000001</v>
      </c>
      <c r="M42" s="19">
        <v>0.81843315403258898</v>
      </c>
      <c r="N42" s="19">
        <v>0.89296567440033003</v>
      </c>
      <c r="O42" s="19">
        <v>1.0742160000000001</v>
      </c>
      <c r="P42" s="19">
        <v>1.447208</v>
      </c>
      <c r="Q42" s="19"/>
      <c r="R42" s="17">
        <v>1.0793423284335999</v>
      </c>
      <c r="S42" s="17">
        <v>1.0978669999999999</v>
      </c>
      <c r="T42" s="17">
        <v>1.1047904706023</v>
      </c>
      <c r="U42" s="17">
        <v>1.0978669999999999</v>
      </c>
      <c r="V42" s="17">
        <v>1.11267420348012</v>
      </c>
      <c r="W42" s="17">
        <v>1.1121503231055501</v>
      </c>
      <c r="X42" s="17">
        <v>1.0898468279493301</v>
      </c>
      <c r="Y42" s="17">
        <v>1.0808497855310899</v>
      </c>
      <c r="Z42" s="17">
        <v>1.0978669999999999</v>
      </c>
    </row>
    <row r="43" spans="1:26" ht="15.45" customHeight="1" x14ac:dyDescent="0.25">
      <c r="A43" s="15">
        <v>42887</v>
      </c>
      <c r="B43" s="16">
        <v>0.8</v>
      </c>
      <c r="C43" s="18">
        <v>0.50836077959724701</v>
      </c>
      <c r="D43" s="19">
        <v>1.108525</v>
      </c>
      <c r="E43" s="19">
        <v>1.1260520000000001</v>
      </c>
      <c r="F43" s="19">
        <v>1.015314</v>
      </c>
      <c r="G43" s="19">
        <v>0.68927899999999998</v>
      </c>
      <c r="H43" s="19">
        <v>0.932465718951488</v>
      </c>
      <c r="I43" s="19">
        <v>0.94488391622762902</v>
      </c>
      <c r="J43" s="19">
        <v>0.78698599999999996</v>
      </c>
      <c r="K43" s="19">
        <v>1.0296328384953199</v>
      </c>
      <c r="L43" s="19">
        <v>0.79233724000000005</v>
      </c>
      <c r="M43" s="19">
        <v>0.79498313781009999</v>
      </c>
      <c r="N43" s="19">
        <v>1.19161152839661</v>
      </c>
      <c r="O43" s="19">
        <v>0.945407</v>
      </c>
      <c r="P43" s="19">
        <v>1.284572</v>
      </c>
      <c r="Q43" s="19"/>
      <c r="R43" s="17">
        <v>1.06868335781458</v>
      </c>
      <c r="S43" s="17">
        <v>1.108525</v>
      </c>
      <c r="T43" s="17">
        <v>1.108525</v>
      </c>
      <c r="U43" s="17">
        <v>1.108525</v>
      </c>
      <c r="V43" s="17">
        <v>1.1191368807400599</v>
      </c>
      <c r="W43" s="17">
        <v>1.1187529702502299</v>
      </c>
      <c r="X43" s="17">
        <v>1.07190897743655</v>
      </c>
      <c r="Y43" s="17">
        <v>1.0659782848228001</v>
      </c>
      <c r="Z43" s="17">
        <v>1.108525</v>
      </c>
    </row>
    <row r="44" spans="1:26" ht="15.45" customHeight="1" x14ac:dyDescent="0.25">
      <c r="A44" s="15">
        <v>42979</v>
      </c>
      <c r="B44" s="16">
        <v>1.4</v>
      </c>
      <c r="C44" s="18">
        <v>0.73780532018760703</v>
      </c>
      <c r="D44" s="19">
        <v>0.28770099999999998</v>
      </c>
      <c r="E44" s="19">
        <v>0.27575300000000003</v>
      </c>
      <c r="F44" s="19">
        <v>0.39924100000000001</v>
      </c>
      <c r="G44" s="19">
        <v>0.96964099999999998</v>
      </c>
      <c r="H44" s="19">
        <v>0.743458949658657</v>
      </c>
      <c r="I44" s="19">
        <v>0.83473230119603903</v>
      </c>
      <c r="J44" s="19">
        <v>0.96013199999999999</v>
      </c>
      <c r="K44" s="19">
        <v>0.92132988772578295</v>
      </c>
      <c r="L44" s="19">
        <v>0.67590190000000006</v>
      </c>
      <c r="M44" s="19">
        <v>0.80045130359994998</v>
      </c>
      <c r="N44" s="19">
        <v>0.87996208667755105</v>
      </c>
      <c r="O44" s="19">
        <v>0.71237600000000001</v>
      </c>
      <c r="P44" s="19">
        <v>0.97380199999999995</v>
      </c>
      <c r="Q44" s="19"/>
      <c r="R44" s="17">
        <v>0.69305361114332598</v>
      </c>
      <c r="S44" s="17">
        <v>0.80045130359994998</v>
      </c>
      <c r="T44" s="17">
        <v>0.28770099999999998</v>
      </c>
      <c r="U44" s="17">
        <v>0.78854577580821905</v>
      </c>
      <c r="V44" s="17">
        <v>0.55517542257678298</v>
      </c>
      <c r="W44" s="17">
        <v>0.55052286059022904</v>
      </c>
      <c r="X44" s="17">
        <v>0.57918315625271999</v>
      </c>
      <c r="Y44" s="17">
        <v>0.67816134736153599</v>
      </c>
      <c r="Z44" s="17">
        <v>0.68662580052726696</v>
      </c>
    </row>
    <row r="45" spans="1:26" ht="15.45" customHeight="1" x14ac:dyDescent="0.25">
      <c r="A45" s="15">
        <v>43070</v>
      </c>
      <c r="B45" s="16">
        <v>-0.3</v>
      </c>
      <c r="C45" s="18">
        <v>0.71009688627299905</v>
      </c>
      <c r="D45" s="19">
        <v>0.95237899999999998</v>
      </c>
      <c r="E45" s="19">
        <v>0.67377100000000001</v>
      </c>
      <c r="F45" s="19">
        <v>0.89577799999999996</v>
      </c>
      <c r="G45" s="19">
        <v>1.387553</v>
      </c>
      <c r="H45" s="19">
        <v>0.872119604761599</v>
      </c>
      <c r="I45" s="19">
        <v>0.894160425082557</v>
      </c>
      <c r="J45" s="19">
        <v>0.69409500000000002</v>
      </c>
      <c r="K45" s="19">
        <v>0.512125292734122</v>
      </c>
      <c r="L45" s="19">
        <v>0.71935225000000003</v>
      </c>
      <c r="M45" s="19">
        <v>0.743252139180265</v>
      </c>
      <c r="N45" s="19">
        <v>0.79880201816558805</v>
      </c>
      <c r="O45" s="19">
        <v>0.35492800000000002</v>
      </c>
      <c r="P45" s="19">
        <v>0.47841400000000001</v>
      </c>
      <c r="Q45" s="19"/>
      <c r="R45" s="17">
        <v>0.64481020715428194</v>
      </c>
      <c r="S45" s="17">
        <v>0.67377100000000001</v>
      </c>
      <c r="T45" s="17">
        <v>0.512125292734122</v>
      </c>
      <c r="U45" s="17">
        <v>0.67377100000000001</v>
      </c>
      <c r="V45" s="17">
        <v>0.67328623596218895</v>
      </c>
      <c r="W45" s="17">
        <v>0.66885827580350599</v>
      </c>
      <c r="X45" s="17">
        <v>0.62847001998825802</v>
      </c>
      <c r="Y45" s="17">
        <v>0.63947284679220595</v>
      </c>
      <c r="Z45" s="17">
        <v>0.66885827580350599</v>
      </c>
    </row>
    <row r="46" spans="1:26" ht="15.45" customHeight="1" x14ac:dyDescent="0.25">
      <c r="A46" s="15">
        <v>43160</v>
      </c>
      <c r="B46" s="16">
        <v>1.3</v>
      </c>
      <c r="C46" s="18">
        <v>1.1079978385579801</v>
      </c>
      <c r="D46" s="19">
        <v>0.67872200000000005</v>
      </c>
      <c r="E46" s="19">
        <v>0.80809299999999995</v>
      </c>
      <c r="F46" s="19">
        <v>0.70968699999999996</v>
      </c>
      <c r="G46" s="19">
        <v>0.75348499999999996</v>
      </c>
      <c r="H46" s="19">
        <v>0.97752640103094701</v>
      </c>
      <c r="I46" s="19">
        <v>1.0054379576792001</v>
      </c>
      <c r="J46" s="19">
        <v>0.93706800000000001</v>
      </c>
      <c r="K46" s="19">
        <v>1.2140901645162101</v>
      </c>
      <c r="L46" s="19">
        <v>0.80441034</v>
      </c>
      <c r="M46" s="19">
        <v>1.11177728341795</v>
      </c>
      <c r="N46" s="19">
        <v>0.71219825744628895</v>
      </c>
      <c r="O46" s="19">
        <v>0.74432200000000004</v>
      </c>
      <c r="P46" s="19">
        <v>1.71661</v>
      </c>
      <c r="Q46" s="19"/>
      <c r="R46" s="17">
        <v>0.99797324362577799</v>
      </c>
      <c r="S46" s="17">
        <v>0.80809299999999995</v>
      </c>
      <c r="T46" s="17">
        <v>1.11177728341795</v>
      </c>
      <c r="U46" s="17">
        <v>0.89751485020555999</v>
      </c>
      <c r="V46" s="17">
        <v>1.07173080145281</v>
      </c>
      <c r="W46" s="17">
        <v>1.07513265128742</v>
      </c>
      <c r="X46" s="17">
        <v>1.04863760940085</v>
      </c>
      <c r="Y46" s="17">
        <v>1.02503893962015</v>
      </c>
      <c r="Z46" s="17">
        <v>1.03444878388255</v>
      </c>
    </row>
    <row r="47" spans="1:26" ht="15.45" customHeight="1" x14ac:dyDescent="0.25">
      <c r="A47" s="15">
        <v>43252</v>
      </c>
      <c r="B47" s="16">
        <v>0.7</v>
      </c>
      <c r="C47" s="18">
        <v>0.959595843543944</v>
      </c>
      <c r="D47" s="19">
        <v>0.71134299999999995</v>
      </c>
      <c r="E47" s="19">
        <v>0.55233600000000005</v>
      </c>
      <c r="F47" s="19">
        <v>0.70128800000000002</v>
      </c>
      <c r="G47" s="19">
        <v>0.31625999999999999</v>
      </c>
      <c r="H47" s="19">
        <v>0.56679146918486401</v>
      </c>
      <c r="I47" s="19">
        <v>0.54893017203459005</v>
      </c>
      <c r="J47" s="19">
        <v>0.83720099999999997</v>
      </c>
      <c r="K47" s="19">
        <v>0.57726226724400898</v>
      </c>
      <c r="L47" s="19">
        <v>0.63374090000000005</v>
      </c>
      <c r="M47" s="19">
        <v>0.49995840027745098</v>
      </c>
      <c r="N47" s="19">
        <v>1.31321680545807</v>
      </c>
      <c r="O47" s="19">
        <v>0.68789900000000004</v>
      </c>
      <c r="P47" s="19">
        <v>0.596387</v>
      </c>
      <c r="Q47" s="19"/>
      <c r="R47" s="17">
        <v>0.70548606756850396</v>
      </c>
      <c r="S47" s="17">
        <v>0.596387</v>
      </c>
      <c r="T47" s="17">
        <v>0.57726226724400898</v>
      </c>
      <c r="U47" s="17">
        <v>0.596387</v>
      </c>
      <c r="V47" s="17">
        <v>0.61496505199146101</v>
      </c>
      <c r="W47" s="17">
        <v>0.61727075683949195</v>
      </c>
      <c r="X47" s="17">
        <v>0.677128184187337</v>
      </c>
      <c r="Y47" s="17">
        <v>0.69572677553268603</v>
      </c>
      <c r="Z47" s="17">
        <v>0.61496505199146101</v>
      </c>
    </row>
    <row r="48" spans="1:26" ht="15.45" customHeight="1" x14ac:dyDescent="0.25">
      <c r="A48" s="15">
        <v>43344</v>
      </c>
      <c r="B48" s="16">
        <v>0.6</v>
      </c>
      <c r="C48" s="18">
        <v>0.97109739262780204</v>
      </c>
      <c r="D48" s="19">
        <v>0.52368800000000004</v>
      </c>
      <c r="E48" s="19">
        <v>0.47566599999999998</v>
      </c>
      <c r="F48" s="19">
        <v>0.57142400000000004</v>
      </c>
      <c r="G48" s="19">
        <v>0.36177799999999999</v>
      </c>
      <c r="H48" s="19">
        <v>1.0800162974086001</v>
      </c>
      <c r="I48" s="19">
        <v>1.0457687841899801</v>
      </c>
      <c r="J48" s="19">
        <v>0.701816</v>
      </c>
      <c r="K48" s="19">
        <v>0.60425636097022595</v>
      </c>
      <c r="L48" s="19">
        <v>0.34749292999999998</v>
      </c>
      <c r="M48" s="19">
        <v>0.58075629907049497</v>
      </c>
      <c r="N48" s="19">
        <v>0.68545734882354703</v>
      </c>
      <c r="O48" s="19">
        <v>0.67921299999999996</v>
      </c>
      <c r="P48" s="19">
        <v>0.320519</v>
      </c>
      <c r="Q48" s="19"/>
      <c r="R48" s="17">
        <v>0.55279371555203805</v>
      </c>
      <c r="S48" s="17">
        <v>0.58075629907049497</v>
      </c>
      <c r="T48" s="17">
        <v>0.60425636097022595</v>
      </c>
      <c r="U48" s="17">
        <v>0.58075629907049497</v>
      </c>
      <c r="V48" s="17">
        <v>0.52081455582424496</v>
      </c>
      <c r="W48" s="17">
        <v>0.52213095214124206</v>
      </c>
      <c r="X48" s="17">
        <v>0.54449227076525897</v>
      </c>
      <c r="Y48" s="17">
        <v>0.55131258496435298</v>
      </c>
      <c r="Z48" s="17">
        <v>0.55279371555203805</v>
      </c>
    </row>
    <row r="49" spans="1:26" ht="15.45" customHeight="1" x14ac:dyDescent="0.25">
      <c r="A49" s="15">
        <v>43435</v>
      </c>
      <c r="B49" s="16">
        <v>0.6</v>
      </c>
      <c r="C49" s="18">
        <v>0.265891526319186</v>
      </c>
      <c r="D49" s="19">
        <v>9.6939999999999998E-2</v>
      </c>
      <c r="E49" s="19">
        <v>-2.1690000000000001E-2</v>
      </c>
      <c r="F49" s="19">
        <v>0.245889</v>
      </c>
      <c r="G49" s="19">
        <v>0.74957399999999996</v>
      </c>
      <c r="H49" s="19">
        <v>0.35103274057990003</v>
      </c>
      <c r="I49" s="19">
        <v>0.66124605449810803</v>
      </c>
      <c r="J49" s="19">
        <v>0.70308300000000001</v>
      </c>
      <c r="K49" s="19">
        <v>0.45311827841385399</v>
      </c>
      <c r="L49" s="19">
        <v>5.6084156000000003E-2</v>
      </c>
      <c r="M49" s="19">
        <v>1.13997128534655</v>
      </c>
      <c r="N49" s="19">
        <v>0.72548359632492099</v>
      </c>
      <c r="O49" s="19">
        <v>0.11767900000000001</v>
      </c>
      <c r="P49" s="19">
        <v>0.41074699999999997</v>
      </c>
      <c r="Q49" s="19"/>
      <c r="R49" s="17">
        <v>0.41746416572647499</v>
      </c>
      <c r="S49" s="17">
        <v>0.41074699999999997</v>
      </c>
      <c r="T49" s="17">
        <v>0.45311827841385399</v>
      </c>
      <c r="U49" s="17">
        <v>0.245230671100436</v>
      </c>
      <c r="V49" s="17">
        <v>0.34390360839385598</v>
      </c>
      <c r="W49" s="17">
        <v>0.34514598855609402</v>
      </c>
      <c r="X49" s="17">
        <v>0.40246785653816802</v>
      </c>
      <c r="Y49" s="17">
        <v>0.41480533344793102</v>
      </c>
      <c r="Z49" s="17">
        <v>0.40927767917810198</v>
      </c>
    </row>
    <row r="50" spans="1:26" ht="15.45" customHeight="1" x14ac:dyDescent="0.25">
      <c r="A50" s="15">
        <v>43525</v>
      </c>
      <c r="B50" s="16">
        <v>-0.1</v>
      </c>
      <c r="C50" s="18">
        <v>0.118252665541146</v>
      </c>
      <c r="D50" s="19">
        <v>-7.2260000000000005E-2</v>
      </c>
      <c r="E50" s="19">
        <v>-0.32045000000000001</v>
      </c>
      <c r="F50" s="19">
        <v>0.15650500000000001</v>
      </c>
      <c r="G50" s="19">
        <v>0.75638000000000005</v>
      </c>
      <c r="H50" s="19">
        <v>0.51255534718245699</v>
      </c>
      <c r="I50" s="19">
        <v>0.60620221756519999</v>
      </c>
      <c r="J50" s="19">
        <v>0.361543</v>
      </c>
      <c r="K50" s="19">
        <v>-8.6190050984548294E-2</v>
      </c>
      <c r="L50" s="19">
        <v>0.71092299999999997</v>
      </c>
      <c r="M50" s="19">
        <v>0.61333592145004601</v>
      </c>
      <c r="N50" s="19">
        <v>0.68573641777038596</v>
      </c>
      <c r="O50" s="19">
        <v>-0.56797699999999995</v>
      </c>
      <c r="P50" s="19">
        <v>-0.21914</v>
      </c>
      <c r="Q50" s="19"/>
      <c r="R50" s="17">
        <v>4.72218403369768E-3</v>
      </c>
      <c r="S50" s="17">
        <v>-8.6190050984548294E-2</v>
      </c>
      <c r="T50" s="17">
        <v>-8.6190050984548294E-2</v>
      </c>
      <c r="U50" s="17">
        <v>-0.10822715825995199</v>
      </c>
      <c r="V50" s="17">
        <v>-8.6205924941700901E-2</v>
      </c>
      <c r="W50" s="17">
        <v>-8.6180344312451501E-2</v>
      </c>
      <c r="X50" s="17">
        <v>-4.9472713068414297E-2</v>
      </c>
      <c r="Y50" s="17">
        <v>1.9324714335295201E-3</v>
      </c>
      <c r="Z50" s="17">
        <v>-8.6190050984548294E-2</v>
      </c>
    </row>
    <row r="51" spans="1:26" ht="15.45" customHeight="1" x14ac:dyDescent="0.25">
      <c r="A51" s="15">
        <v>43617</v>
      </c>
      <c r="B51" s="16">
        <v>1.1000000000000001</v>
      </c>
      <c r="C51" s="18">
        <v>1.11156835276165</v>
      </c>
      <c r="D51" s="19">
        <v>0.85408499999999998</v>
      </c>
      <c r="E51" s="19">
        <v>0.83754200000000001</v>
      </c>
      <c r="F51" s="19">
        <v>0.80323800000000001</v>
      </c>
      <c r="G51" s="19">
        <v>1.2548760000000001</v>
      </c>
      <c r="H51" s="19">
        <v>1.0400166007435601</v>
      </c>
      <c r="I51" s="19">
        <v>0.99618244694705005</v>
      </c>
      <c r="J51" s="19">
        <v>0.88099099999999997</v>
      </c>
      <c r="K51" s="19">
        <v>0.87297945736976201</v>
      </c>
      <c r="L51" s="19">
        <v>0.51288880000000003</v>
      </c>
      <c r="M51" s="19">
        <v>0.86478390848617004</v>
      </c>
      <c r="N51" s="19">
        <v>1.30905508995056</v>
      </c>
      <c r="O51" s="19">
        <v>0.97299000000000002</v>
      </c>
      <c r="P51" s="19">
        <v>1.066703</v>
      </c>
      <c r="Q51" s="19"/>
      <c r="R51" s="17">
        <v>0.96830549368664198</v>
      </c>
      <c r="S51" s="17">
        <v>0.87297945736976201</v>
      </c>
      <c r="T51" s="17">
        <v>0.87297945736976201</v>
      </c>
      <c r="U51" s="17">
        <v>0.87297945736976201</v>
      </c>
      <c r="V51" s="17">
        <v>0.90486962116293901</v>
      </c>
      <c r="W51" s="17">
        <v>0.90681269673687404</v>
      </c>
      <c r="X51" s="17">
        <v>0.91518407077819197</v>
      </c>
      <c r="Y51" s="17">
        <v>0.96222259055997295</v>
      </c>
      <c r="Z51" s="17">
        <v>0.90486962116293901</v>
      </c>
    </row>
    <row r="52" spans="1:26" ht="15.45" customHeight="1" x14ac:dyDescent="0.25">
      <c r="A52" s="15">
        <v>43709</v>
      </c>
      <c r="B52" s="16">
        <v>0.4</v>
      </c>
      <c r="C52" s="18">
        <v>0.69987894239150905</v>
      </c>
      <c r="D52" s="19">
        <v>0.44980999999999999</v>
      </c>
      <c r="E52" s="19">
        <v>0.35154299999999999</v>
      </c>
      <c r="F52" s="19">
        <v>0.511463</v>
      </c>
      <c r="G52" s="19">
        <v>1.000116</v>
      </c>
      <c r="H52" s="19">
        <v>0.47887444895335102</v>
      </c>
      <c r="I52" s="19">
        <v>0.66429596497350896</v>
      </c>
      <c r="J52" s="19">
        <v>0.68031200000000003</v>
      </c>
      <c r="K52" s="19">
        <v>0.470158257943808</v>
      </c>
      <c r="L52" s="19">
        <v>1.1893855</v>
      </c>
      <c r="M52" s="19">
        <v>0.70446534471822098</v>
      </c>
      <c r="N52" s="19">
        <v>1.0148947238922099</v>
      </c>
      <c r="O52" s="19">
        <v>0.80779100000000004</v>
      </c>
      <c r="P52" s="19">
        <v>0.78579399999999999</v>
      </c>
      <c r="Q52" s="19"/>
      <c r="R52" s="17">
        <v>0.65492233236489095</v>
      </c>
      <c r="S52" s="17">
        <v>0.70446534471822098</v>
      </c>
      <c r="T52" s="17">
        <v>0.470158257943808</v>
      </c>
      <c r="U52" s="17">
        <v>0.69373944967546797</v>
      </c>
      <c r="V52" s="17">
        <v>0.53337429143900505</v>
      </c>
      <c r="W52" s="17">
        <v>0.53694156636177504</v>
      </c>
      <c r="X52" s="17">
        <v>0.59634852151752904</v>
      </c>
      <c r="Y52" s="17">
        <v>0.649945572603153</v>
      </c>
      <c r="Z52" s="17">
        <v>0.63558473500488799</v>
      </c>
    </row>
    <row r="53" spans="1:26" ht="15.45" customHeight="1" x14ac:dyDescent="0.25">
      <c r="A53" s="15">
        <v>43800</v>
      </c>
      <c r="B53" s="16">
        <v>1.2</v>
      </c>
      <c r="C53" s="18">
        <v>0.57590452552404003</v>
      </c>
      <c r="D53" s="19">
        <v>0.62098500000000001</v>
      </c>
      <c r="E53" s="19">
        <v>0.55467699999999998</v>
      </c>
      <c r="F53" s="19">
        <v>0.623506</v>
      </c>
      <c r="G53" s="19">
        <v>0.28878900000000002</v>
      </c>
      <c r="H53" s="19">
        <v>0.97552828624894505</v>
      </c>
      <c r="I53" s="19">
        <v>1.12461740811634</v>
      </c>
      <c r="J53" s="19">
        <v>0.85209199999999996</v>
      </c>
      <c r="K53" s="19">
        <v>0.89780159547483895</v>
      </c>
      <c r="L53" s="19">
        <v>0.87367225000000004</v>
      </c>
      <c r="M53" s="19">
        <v>0.70223249829823498</v>
      </c>
      <c r="N53" s="19">
        <v>7.7020831406116499E-2</v>
      </c>
      <c r="O53" s="19">
        <v>0.365954</v>
      </c>
      <c r="P53" s="19">
        <v>0.86751199999999995</v>
      </c>
      <c r="Q53" s="19"/>
      <c r="R53" s="17">
        <v>0.583740417882741</v>
      </c>
      <c r="S53" s="17">
        <v>0.62098500000000001</v>
      </c>
      <c r="T53" s="17">
        <v>0.86751199999999995</v>
      </c>
      <c r="U53" s="17">
        <v>0.61765564079099999</v>
      </c>
      <c r="V53" s="17">
        <v>0.88584388350490095</v>
      </c>
      <c r="W53" s="17">
        <v>0.88400559019292302</v>
      </c>
      <c r="X53" s="17">
        <v>0.76472342856607101</v>
      </c>
      <c r="Y53" s="17">
        <v>0.60083415371214999</v>
      </c>
      <c r="Z53" s="17">
        <v>0.63155233038394298</v>
      </c>
    </row>
    <row r="54" spans="1:26" ht="15.45" customHeight="1" x14ac:dyDescent="0.25">
      <c r="A54" s="15">
        <v>43891</v>
      </c>
      <c r="B54" s="16">
        <v>-1.3</v>
      </c>
      <c r="C54" s="18">
        <v>-3.9388748075635902E-2</v>
      </c>
      <c r="D54" s="19">
        <v>-4.7499999999999999E-3</v>
      </c>
      <c r="E54" s="19">
        <v>-0.14660999999999999</v>
      </c>
      <c r="F54" s="19">
        <v>0.180169</v>
      </c>
      <c r="G54" s="19">
        <v>0.27936699999999998</v>
      </c>
      <c r="H54" s="19">
        <v>-3.6016150026829702E-2</v>
      </c>
      <c r="I54" s="19">
        <v>0.62411612645148296</v>
      </c>
      <c r="J54" s="19">
        <v>0.839619</v>
      </c>
      <c r="K54" s="19">
        <v>0.23187380903572899</v>
      </c>
      <c r="L54" s="19">
        <v>-0.72131866</v>
      </c>
      <c r="M54" s="19">
        <v>5.7405847789575498E-2</v>
      </c>
      <c r="N54" s="19">
        <v>0.300211101770401</v>
      </c>
      <c r="O54" s="19">
        <v>-2.7806999999999998E-2</v>
      </c>
      <c r="P54" s="19">
        <v>3.2603E-2</v>
      </c>
      <c r="Q54" s="19"/>
      <c r="R54" s="17">
        <v>6.3275251227957893E-2</v>
      </c>
      <c r="S54" s="17">
        <v>3.2603E-2</v>
      </c>
      <c r="T54" s="17">
        <v>3.2603E-2</v>
      </c>
      <c r="U54" s="17">
        <v>3.2603E-2</v>
      </c>
      <c r="V54" s="17">
        <v>9.2166720185155204E-2</v>
      </c>
      <c r="W54" s="17">
        <v>8.8898311311143299E-2</v>
      </c>
      <c r="X54" s="17">
        <v>9.1108837142916205E-2</v>
      </c>
      <c r="Y54" s="17">
        <v>5.43263780560133E-2</v>
      </c>
      <c r="Z54" s="17">
        <v>5.43263780560133E-2</v>
      </c>
    </row>
    <row r="55" spans="1:26" ht="15.45" customHeight="1" x14ac:dyDescent="0.25">
      <c r="A55" s="15">
        <v>43983</v>
      </c>
      <c r="B55" s="16">
        <v>-3</v>
      </c>
      <c r="C55" s="18">
        <v>-0.54498243790643397</v>
      </c>
      <c r="D55" s="19">
        <v>-1.25403</v>
      </c>
      <c r="E55" s="19">
        <v>-1.1612100000000001</v>
      </c>
      <c r="F55" s="19">
        <v>-0.49188999999999999</v>
      </c>
      <c r="G55" s="19">
        <v>-7.8241300000000003</v>
      </c>
      <c r="H55" s="19">
        <v>-0.88084843909030297</v>
      </c>
      <c r="I55" s="19">
        <v>0.25335755703685803</v>
      </c>
      <c r="J55" s="19">
        <v>-1.4533</v>
      </c>
      <c r="K55" s="19">
        <v>-0.71690958653408299</v>
      </c>
      <c r="L55" s="19">
        <v>0.39227682000000003</v>
      </c>
      <c r="M55" s="19">
        <v>-0.98489901297098004</v>
      </c>
      <c r="N55" s="19">
        <v>-3.1644263267517099</v>
      </c>
      <c r="O55" s="19">
        <v>-2.5985870000000002</v>
      </c>
      <c r="P55" s="19">
        <v>-1.444183</v>
      </c>
      <c r="Q55" s="19"/>
      <c r="R55" s="17">
        <v>-1.6177492751795399</v>
      </c>
      <c r="S55" s="17">
        <v>-1.25403</v>
      </c>
      <c r="T55" s="17">
        <v>-1.1612100000000001</v>
      </c>
      <c r="U55" s="17">
        <v>-3.1644263267517099</v>
      </c>
      <c r="V55" s="17">
        <v>-1.2677311584349</v>
      </c>
      <c r="W55" s="17">
        <v>-1.27759321848232</v>
      </c>
      <c r="X55" s="17">
        <v>-1.48535035303342</v>
      </c>
      <c r="Y55" s="17">
        <v>-1.5145532560905199</v>
      </c>
      <c r="Z55" s="17">
        <v>-1.4875123586555801</v>
      </c>
    </row>
    <row r="56" spans="1:26" ht="15.45" customHeight="1" x14ac:dyDescent="0.25">
      <c r="A56" s="15">
        <v>44075</v>
      </c>
      <c r="B56" s="16">
        <v>2.2999999999999998</v>
      </c>
      <c r="C56" s="18">
        <v>1.60246672756077</v>
      </c>
      <c r="D56" s="19">
        <v>1.8537380000000001</v>
      </c>
      <c r="E56" s="19">
        <v>2.3472930000000001</v>
      </c>
      <c r="F56" s="19">
        <v>1.0726469999999999</v>
      </c>
      <c r="G56" s="19">
        <v>4.3465109999999996</v>
      </c>
      <c r="H56" s="19">
        <v>2.42209649954335</v>
      </c>
      <c r="I56" s="19">
        <v>1.65097270109683</v>
      </c>
      <c r="J56" s="19">
        <v>1.2140820000000001</v>
      </c>
      <c r="K56" s="19">
        <v>2.2233262368167499</v>
      </c>
      <c r="L56" s="19">
        <v>1.4095112999999999</v>
      </c>
      <c r="M56" s="19">
        <v>0.93949163060637797</v>
      </c>
      <c r="N56" s="19">
        <v>1.49724900722504</v>
      </c>
      <c r="O56" s="19">
        <v>0.82290399999999997</v>
      </c>
      <c r="P56" s="19">
        <v>2.8647969999999998</v>
      </c>
      <c r="Q56" s="19"/>
      <c r="R56" s="17">
        <v>1.7926855535211701</v>
      </c>
      <c r="S56" s="17">
        <v>1.8537380000000001</v>
      </c>
      <c r="T56" s="17">
        <v>1.49724900722504</v>
      </c>
      <c r="U56" s="17">
        <v>1.8537380000000001</v>
      </c>
      <c r="V56" s="17">
        <v>1.3894473119008699</v>
      </c>
      <c r="W56" s="17">
        <v>1.41475774375152</v>
      </c>
      <c r="X56" s="17">
        <v>1.6898162619089701</v>
      </c>
      <c r="Y56" s="17">
        <v>1.6995834893620001</v>
      </c>
      <c r="Z56" s="17">
        <v>1.6995834893620001</v>
      </c>
    </row>
    <row r="57" spans="1:26" ht="15.45" customHeight="1" x14ac:dyDescent="0.25">
      <c r="A57" s="15">
        <v>44166</v>
      </c>
      <c r="B57" s="16">
        <v>1.3</v>
      </c>
      <c r="C57" s="18">
        <v>0.837722193812514</v>
      </c>
      <c r="D57" s="19">
        <v>1.517258</v>
      </c>
      <c r="E57" s="19">
        <v>1.5588500000000001</v>
      </c>
      <c r="F57" s="19">
        <v>1.4894259999999999</v>
      </c>
      <c r="G57" s="19">
        <v>3.3954909999999998</v>
      </c>
      <c r="H57" s="19">
        <v>1.86171729420527</v>
      </c>
      <c r="I57" s="19">
        <v>1.27764809867339</v>
      </c>
      <c r="J57" s="19">
        <v>0.65826799999999996</v>
      </c>
      <c r="K57" s="19">
        <v>1.4660299525018401</v>
      </c>
      <c r="L57" s="19">
        <v>0.26395336000000003</v>
      </c>
      <c r="M57" s="19">
        <v>0.90888906682285797</v>
      </c>
      <c r="N57" s="19">
        <v>1.2552896738052399</v>
      </c>
      <c r="O57" s="19">
        <v>1.9463729999999999</v>
      </c>
      <c r="P57" s="19">
        <v>1.520173</v>
      </c>
      <c r="Q57" s="19"/>
      <c r="R57" s="17">
        <v>1.45326609901856</v>
      </c>
      <c r="S57" s="17">
        <v>1.517258</v>
      </c>
      <c r="T57" s="17">
        <v>1.520173</v>
      </c>
      <c r="U57" s="17">
        <v>1.517258</v>
      </c>
      <c r="V57" s="17">
        <v>1.5441934008898199</v>
      </c>
      <c r="W57" s="17">
        <v>1.5429192055618499</v>
      </c>
      <c r="X57" s="17">
        <v>1.4862383851474401</v>
      </c>
      <c r="Y57" s="17">
        <v>1.5011718400615901</v>
      </c>
      <c r="Z57" s="17">
        <v>1.517258</v>
      </c>
    </row>
    <row r="58" spans="1:26" ht="15.45" customHeight="1" x14ac:dyDescent="0.25">
      <c r="A58" s="15">
        <v>44256</v>
      </c>
      <c r="B58" s="16">
        <v>1.8</v>
      </c>
      <c r="C58" s="18">
        <v>0.708796485088936</v>
      </c>
      <c r="D58" s="19">
        <v>1.135054</v>
      </c>
      <c r="E58" s="19">
        <v>1.1258600000000001</v>
      </c>
      <c r="F58" s="19">
        <v>1.0571839999999999</v>
      </c>
      <c r="G58" s="19">
        <v>3.3540770000000002</v>
      </c>
      <c r="H58" s="19">
        <v>1.7043653697562</v>
      </c>
      <c r="I58" s="19">
        <v>0.97637374991209802</v>
      </c>
      <c r="J58" s="19">
        <v>1.226291</v>
      </c>
      <c r="K58" s="19">
        <v>1.8441018892240499</v>
      </c>
      <c r="L58" s="19">
        <v>1.3949053</v>
      </c>
      <c r="M58" s="19">
        <v>0.78378479607371898</v>
      </c>
      <c r="N58" s="19">
        <v>1.41016113758087</v>
      </c>
      <c r="O58" s="19">
        <v>1.8200959999999999</v>
      </c>
      <c r="P58" s="19">
        <v>1.897805</v>
      </c>
      <c r="Q58" s="19"/>
      <c r="R58" s="17">
        <v>1.4309804032683799</v>
      </c>
      <c r="S58" s="17">
        <v>1.41016113758087</v>
      </c>
      <c r="T58" s="17">
        <v>1.41016113758087</v>
      </c>
      <c r="U58" s="17">
        <v>1.3348737399301001</v>
      </c>
      <c r="V58" s="17">
        <v>1.48574292892437</v>
      </c>
      <c r="W58" s="17">
        <v>1.48500029712586</v>
      </c>
      <c r="X58" s="17">
        <v>1.4547884708641801</v>
      </c>
      <c r="Y58" s="17">
        <v>1.4636327728287899</v>
      </c>
      <c r="Z58" s="17">
        <v>1.43010396672242</v>
      </c>
    </row>
    <row r="59" spans="1:26" ht="15.45" customHeight="1" x14ac:dyDescent="0.25">
      <c r="A59" s="15">
        <v>44348</v>
      </c>
      <c r="B59" s="16">
        <v>0.9</v>
      </c>
      <c r="C59" s="18">
        <v>0.79660713618197898</v>
      </c>
      <c r="D59" s="19">
        <v>1.0532140000000001</v>
      </c>
      <c r="E59" s="19">
        <v>0.91615400000000002</v>
      </c>
      <c r="F59" s="19">
        <v>0.93946799999999997</v>
      </c>
      <c r="G59" s="19">
        <v>1.6572530000000001</v>
      </c>
      <c r="H59" s="19">
        <v>1.9715396532201599</v>
      </c>
      <c r="I59" s="19">
        <v>1.1789284373726701</v>
      </c>
      <c r="J59" s="19">
        <v>1.3111060000000001</v>
      </c>
      <c r="K59" s="19">
        <v>1.0689834303457399</v>
      </c>
      <c r="L59" s="19">
        <v>1.5954638999999999</v>
      </c>
      <c r="M59" s="19">
        <v>0.82049007112575101</v>
      </c>
      <c r="N59" s="19">
        <v>1.31070899963379</v>
      </c>
      <c r="O59" s="19">
        <v>0.772235</v>
      </c>
      <c r="P59" s="19">
        <v>1.253916</v>
      </c>
      <c r="Q59" s="19"/>
      <c r="R59" s="17">
        <v>1.0279573573007501</v>
      </c>
      <c r="S59" s="17">
        <v>1.0532140000000001</v>
      </c>
      <c r="T59" s="17">
        <v>1.253916</v>
      </c>
      <c r="U59" s="17">
        <v>1.0532140000000001</v>
      </c>
      <c r="V59" s="17">
        <v>1.13342474446035</v>
      </c>
      <c r="W59" s="17">
        <v>1.12814910395718</v>
      </c>
      <c r="X59" s="17">
        <v>1.13111401091437</v>
      </c>
      <c r="Y59" s="17">
        <v>1.08018373365748</v>
      </c>
      <c r="Z59" s="17">
        <v>1.0689834303457399</v>
      </c>
    </row>
    <row r="60" spans="1:26" ht="15.45" customHeight="1" x14ac:dyDescent="0.25">
      <c r="A60" s="15">
        <v>44440</v>
      </c>
      <c r="B60" s="16">
        <v>0.1</v>
      </c>
      <c r="C60" s="18">
        <v>1.5832175181652199</v>
      </c>
      <c r="D60" s="19">
        <v>0.57208599999999998</v>
      </c>
      <c r="E60" s="19">
        <v>0.509077</v>
      </c>
      <c r="F60" s="19">
        <v>0.59174499999999997</v>
      </c>
      <c r="G60" s="19">
        <v>-8.5339999999999999E-2</v>
      </c>
      <c r="H60" s="19">
        <v>1.1361075598983501</v>
      </c>
      <c r="I60" s="19">
        <v>0.83216766361269301</v>
      </c>
      <c r="J60" s="19">
        <v>0.94798700000000002</v>
      </c>
      <c r="K60" s="19">
        <v>1.0444527374421</v>
      </c>
      <c r="L60" s="19">
        <v>0.33896959999999998</v>
      </c>
      <c r="M60" s="19">
        <v>0.86006889859059998</v>
      </c>
      <c r="N60" s="19">
        <v>0.90601950883865401</v>
      </c>
      <c r="O60" s="19">
        <v>0.58193799999999996</v>
      </c>
      <c r="P60" s="19">
        <v>1.3136000000000001</v>
      </c>
      <c r="Q60" s="19"/>
      <c r="R60" s="17">
        <v>0.82674887783876505</v>
      </c>
      <c r="S60" s="17">
        <v>0.86006889859059998</v>
      </c>
      <c r="T60" s="17">
        <v>1.0444527374421</v>
      </c>
      <c r="U60" s="17">
        <v>0.83478494416834403</v>
      </c>
      <c r="V60" s="17">
        <v>0.91273052350391704</v>
      </c>
      <c r="W60" s="17">
        <v>0.90969361700593598</v>
      </c>
      <c r="X60" s="17">
        <v>0.97701750314870295</v>
      </c>
      <c r="Y60" s="17">
        <v>0.84587471498881905</v>
      </c>
      <c r="Z60" s="17">
        <v>0.86006889859059998</v>
      </c>
    </row>
    <row r="61" spans="1:26" ht="15.45" customHeight="1" x14ac:dyDescent="0.25">
      <c r="A61" s="15">
        <v>44531</v>
      </c>
      <c r="B61" s="16">
        <v>1.4</v>
      </c>
      <c r="C61" s="18">
        <v>0.67052347367387199</v>
      </c>
      <c r="D61" s="19">
        <v>1.296681</v>
      </c>
      <c r="E61" s="19">
        <v>1.352924</v>
      </c>
      <c r="F61" s="19">
        <v>1.212161</v>
      </c>
      <c r="G61" s="19">
        <v>1.2603390000000001</v>
      </c>
      <c r="H61" s="19">
        <v>0.57351377397625602</v>
      </c>
      <c r="I61" s="19">
        <v>0.72086801551575197</v>
      </c>
      <c r="J61" s="19">
        <v>1.6957310000000001</v>
      </c>
      <c r="K61" s="19">
        <v>1.3173996118717599</v>
      </c>
      <c r="L61" s="19">
        <v>0.67769425999999999</v>
      </c>
      <c r="M61" s="19">
        <v>0.74615812276216698</v>
      </c>
      <c r="N61" s="19">
        <v>0.95430064201355003</v>
      </c>
      <c r="O61" s="19">
        <v>1.7357689999999999</v>
      </c>
      <c r="P61" s="19">
        <v>1.7450129999999999</v>
      </c>
      <c r="Q61" s="19"/>
      <c r="R61" s="17">
        <v>1.30689219666393</v>
      </c>
      <c r="S61" s="17">
        <v>1.3173996118717599</v>
      </c>
      <c r="T61" s="17">
        <v>1.352924</v>
      </c>
      <c r="U61" s="17">
        <v>1.3217710154986899</v>
      </c>
      <c r="V61" s="17">
        <v>1.48641058930903</v>
      </c>
      <c r="W61" s="17">
        <v>1.47806621265743</v>
      </c>
      <c r="X61" s="17">
        <v>1.34554784038367</v>
      </c>
      <c r="Y61" s="17">
        <v>1.31697054617735</v>
      </c>
      <c r="Z61" s="17">
        <v>1.32213512149901</v>
      </c>
    </row>
    <row r="62" spans="1:26" ht="15.45" customHeight="1" x14ac:dyDescent="0.25">
      <c r="A62" s="15">
        <v>44621</v>
      </c>
      <c r="B62" s="16">
        <v>0.7</v>
      </c>
      <c r="C62" s="18">
        <v>1.23484862610723</v>
      </c>
      <c r="D62" s="19">
        <v>0.84420700000000004</v>
      </c>
      <c r="E62" s="19">
        <v>0.83652899999999997</v>
      </c>
      <c r="F62" s="19">
        <v>0.87666999999999995</v>
      </c>
      <c r="G62" s="19">
        <v>0.97516000000000003</v>
      </c>
      <c r="H62" s="19">
        <v>0.86985559481695496</v>
      </c>
      <c r="I62" s="19">
        <v>0.86538675668013598</v>
      </c>
      <c r="J62" s="19">
        <v>1.517371</v>
      </c>
      <c r="K62" s="19">
        <v>0.70775848202720204</v>
      </c>
      <c r="L62" s="19">
        <v>0.31368905000000002</v>
      </c>
      <c r="M62" s="19">
        <v>0.71986165738117502</v>
      </c>
      <c r="N62" s="19">
        <v>0.92264759540557895</v>
      </c>
      <c r="O62" s="19">
        <v>0.89302099999999995</v>
      </c>
      <c r="P62" s="19">
        <v>0.95853299999999997</v>
      </c>
      <c r="Q62" s="19"/>
      <c r="R62" s="17">
        <v>0.84036539068770799</v>
      </c>
      <c r="S62" s="17">
        <v>0.84420700000000004</v>
      </c>
      <c r="T62" s="17">
        <v>0.83652899999999997</v>
      </c>
      <c r="U62" s="17">
        <v>0.84420700000000004</v>
      </c>
      <c r="V62" s="17">
        <v>0.872338141846562</v>
      </c>
      <c r="W62" s="17">
        <v>0.87086404743453805</v>
      </c>
      <c r="X62" s="17">
        <v>0.84969844952495599</v>
      </c>
      <c r="Y62" s="17">
        <v>0.84199897921301403</v>
      </c>
      <c r="Z62" s="17">
        <v>0.84420700000000004</v>
      </c>
    </row>
    <row r="63" spans="1:26" ht="15.45" customHeight="1" x14ac:dyDescent="0.25">
      <c r="A63" s="15">
        <v>44713</v>
      </c>
      <c r="B63" s="16">
        <v>0.8</v>
      </c>
      <c r="C63" s="18">
        <v>0.38313601279117498</v>
      </c>
      <c r="D63" s="19">
        <v>0.37376300000000001</v>
      </c>
      <c r="E63" s="19">
        <v>0.39195000000000002</v>
      </c>
      <c r="F63" s="19">
        <v>0.449743</v>
      </c>
      <c r="G63" s="19">
        <v>1.116168</v>
      </c>
      <c r="H63" s="19">
        <v>0.75994199042972299</v>
      </c>
      <c r="I63" s="19">
        <v>0.88283035926354703</v>
      </c>
      <c r="J63" s="19">
        <v>1.2723690000000001</v>
      </c>
      <c r="K63" s="19">
        <v>0.48348105970583799</v>
      </c>
      <c r="L63" s="19">
        <v>0.71954452999999996</v>
      </c>
      <c r="M63" s="19">
        <v>0.18567691054649499</v>
      </c>
      <c r="N63" s="19">
        <v>0.63478404283523604</v>
      </c>
      <c r="O63" s="19">
        <v>0.26861099999999999</v>
      </c>
      <c r="P63" s="19">
        <v>0.56914100000000001</v>
      </c>
      <c r="Q63" s="19"/>
      <c r="R63" s="17">
        <v>0.41534385901250997</v>
      </c>
      <c r="S63" s="17">
        <v>0.39195000000000002</v>
      </c>
      <c r="T63" s="17">
        <v>0.37376300000000001</v>
      </c>
      <c r="U63" s="17">
        <v>0.39159721405544201</v>
      </c>
      <c r="V63" s="17">
        <v>0.36901513404374597</v>
      </c>
      <c r="W63" s="17">
        <v>0.36827661758019897</v>
      </c>
      <c r="X63" s="17">
        <v>0.38173233099735598</v>
      </c>
      <c r="Y63" s="17">
        <v>0.40638352388458698</v>
      </c>
      <c r="Z63" s="17">
        <v>0.391591645645816</v>
      </c>
    </row>
    <row r="64" spans="1:26" ht="15.45" customHeight="1" x14ac:dyDescent="0.25">
      <c r="A64" s="15">
        <v>44805</v>
      </c>
      <c r="B64" s="16">
        <v>0.2</v>
      </c>
      <c r="C64" s="18">
        <v>-3.5182086148525499E-2</v>
      </c>
      <c r="D64" s="19">
        <v>0.19992799999999999</v>
      </c>
      <c r="E64" s="19">
        <v>9.5254000000000005E-2</v>
      </c>
      <c r="F64" s="19">
        <v>0.34061900000000001</v>
      </c>
      <c r="G64" s="19">
        <v>1.0411699999999999</v>
      </c>
      <c r="H64" s="19">
        <v>0.28993776927535703</v>
      </c>
      <c r="I64" s="19">
        <v>0.422397806308413</v>
      </c>
      <c r="J64" s="19">
        <v>0.873112</v>
      </c>
      <c r="K64" s="19">
        <v>0.62004694232161495</v>
      </c>
      <c r="L64" s="19">
        <v>0.68461346999999995</v>
      </c>
      <c r="M64" s="19">
        <v>0.10286103469973799</v>
      </c>
      <c r="N64" s="19">
        <v>0.64097625017166104</v>
      </c>
      <c r="O64" s="19">
        <v>0.58890699999999996</v>
      </c>
      <c r="P64" s="19">
        <v>0.59603799999999996</v>
      </c>
      <c r="Q64" s="19"/>
      <c r="R64" s="17">
        <v>0.40628731817043101</v>
      </c>
      <c r="S64" s="17">
        <v>0.58890699999999996</v>
      </c>
      <c r="T64" s="17">
        <v>0.19992799999999999</v>
      </c>
      <c r="U64" s="17">
        <v>0.55798273688432198</v>
      </c>
      <c r="V64" s="17">
        <v>0.15790609233189001</v>
      </c>
      <c r="W64" s="17">
        <v>0.162711635399829</v>
      </c>
      <c r="X64" s="17">
        <v>0.33469945539116902</v>
      </c>
      <c r="Y64" s="17">
        <v>0.39674794330059099</v>
      </c>
      <c r="Z64" s="17">
        <v>0.221749756640925</v>
      </c>
    </row>
    <row r="65" spans="1:26" ht="15.45" customHeight="1" x14ac:dyDescent="0.25">
      <c r="A65" s="15">
        <v>44896</v>
      </c>
      <c r="B65" s="16">
        <v>-0.3</v>
      </c>
      <c r="C65" s="18">
        <v>-0.80932658317772899</v>
      </c>
      <c r="D65" s="19">
        <v>-0.78486</v>
      </c>
      <c r="E65" s="19">
        <v>-0.93252999999999997</v>
      </c>
      <c r="F65" s="19">
        <v>-0.55035999999999996</v>
      </c>
      <c r="G65" s="19">
        <v>-3.764E-2</v>
      </c>
      <c r="H65" s="19">
        <v>4.3073870182066499E-3</v>
      </c>
      <c r="I65" s="19">
        <v>0.45885565076943302</v>
      </c>
      <c r="J65" s="19">
        <v>-0.43845000000000001</v>
      </c>
      <c r="K65" s="19">
        <v>4.5649433528709003E-2</v>
      </c>
      <c r="L65" s="19">
        <v>-0.58131604999999997</v>
      </c>
      <c r="M65" s="19">
        <v>0.154930060308236</v>
      </c>
      <c r="N65" s="19">
        <v>0.28175333142280601</v>
      </c>
      <c r="O65" s="19">
        <v>-0.714974</v>
      </c>
      <c r="P65" s="19">
        <v>-0.43512099999999998</v>
      </c>
      <c r="Q65" s="19"/>
      <c r="R65" s="17">
        <v>-0.34073602496289301</v>
      </c>
      <c r="S65" s="17">
        <v>-0.43512099999999998</v>
      </c>
      <c r="T65" s="17">
        <v>-0.78486</v>
      </c>
      <c r="U65" s="17">
        <v>-0.63194466604247901</v>
      </c>
      <c r="V65" s="17">
        <v>-0.86153551366324799</v>
      </c>
      <c r="W65" s="17">
        <v>-0.81073761323242599</v>
      </c>
      <c r="X65" s="17">
        <v>-0.46786763383247298</v>
      </c>
      <c r="Y65" s="17">
        <v>-0.35269365991497598</v>
      </c>
      <c r="Z65" s="17">
        <v>-0.48237347333070701</v>
      </c>
    </row>
    <row r="66" spans="1:26" ht="15.45" customHeight="1" x14ac:dyDescent="0.25">
      <c r="A66" s="20"/>
      <c r="B66" s="20"/>
      <c r="C66" s="5" t="s">
        <v>24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</sheetData>
  <phoneticPr fontId="1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6"/>
  <sheetViews>
    <sheetView showGridLines="0" topLeftCell="A36" workbookViewId="0"/>
  </sheetViews>
  <sheetFormatPr defaultColWidth="7.44140625" defaultRowHeight="15.45" customHeight="1" x14ac:dyDescent="0.25"/>
  <cols>
    <col min="1" max="1" width="11.6640625" style="1" customWidth="1"/>
    <col min="2" max="27" width="7.44140625" style="1" customWidth="1"/>
    <col min="28" max="16384" width="7.44140625" style="1"/>
  </cols>
  <sheetData>
    <row r="1" spans="1:26" ht="13.8" customHeight="1" x14ac:dyDescent="0.25">
      <c r="A1" s="2"/>
      <c r="B1" s="3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6"/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</row>
    <row r="2" spans="1:26" ht="13.8" customHeight="1" x14ac:dyDescent="0.25">
      <c r="A2" s="15">
        <v>39508</v>
      </c>
      <c r="B2" s="16">
        <v>0.8</v>
      </c>
      <c r="C2" s="21" t="e" cm="1">
        <f t="array" ref="C2">ABS(pred_GDP_now!C6-pred_GDP_now!$B6)</f>
        <v>#N/A</v>
      </c>
      <c r="D2" s="10" cm="1">
        <f t="array" ref="D2">ABS(pred_GDP_now!D6-pred_GDP_now!$B6)</f>
        <v>0.39474019677081995</v>
      </c>
      <c r="E2" s="10" cm="1">
        <f t="array" ref="E2">ABS(pred_GDP_now!E6-pred_GDP_now!$B6)</f>
        <v>0.44565759081231993</v>
      </c>
      <c r="F2" s="10" t="e" cm="1">
        <f t="array" ref="F2">ABS(pred_GDP_now!F6-pred_GDP_now!$B6)</f>
        <v>#N/A</v>
      </c>
      <c r="G2" s="10" t="e" cm="1">
        <f t="array" ref="G2">ABS(pred_GDP_now!G6-pred_GDP_now!$B6)</f>
        <v>#N/A</v>
      </c>
      <c r="H2" s="10" t="e" cm="1">
        <f t="array" ref="H2">ABS(pred_GDP_now!H6-pred_GDP_now!$B6)</f>
        <v>#N/A</v>
      </c>
      <c r="I2" s="10" t="e" cm="1">
        <f t="array" ref="I2">ABS(pred_GDP_now!I6-pred_GDP_now!$B6)</f>
        <v>#N/A</v>
      </c>
      <c r="J2" s="10" t="e" cm="1">
        <f t="array" ref="J2">ABS(pred_GDP_now!J6-pred_GDP_now!$B6)</f>
        <v>#N/A</v>
      </c>
      <c r="K2" s="10" cm="1">
        <f t="array" ref="K2">ABS(pred_GDP_now!K6-pred_GDP_now!$B6)</f>
        <v>0.24577682730953998</v>
      </c>
      <c r="L2" s="10" t="e" cm="1">
        <f t="array" ref="L2">ABS(pred_GDP_now!L6-pred_GDP_now!$B6)</f>
        <v>#N/A</v>
      </c>
      <c r="M2" s="10" cm="1">
        <f t="array" ref="M2">ABS(pred_GDP_now!M6-pred_GDP_now!$B6)</f>
        <v>0.75640300790671988</v>
      </c>
      <c r="N2" s="10" cm="1">
        <f t="array" ref="N2">ABS(pred_GDP_now!N6-pred_GDP_now!$B6)</f>
        <v>0.64449388980865985</v>
      </c>
      <c r="O2" s="10" cm="1">
        <f t="array" ref="O2">ABS(pred_GDP_now!O6-pred_GDP_now!$B6)</f>
        <v>0.39610491223946998</v>
      </c>
      <c r="P2" s="10" cm="1">
        <f t="array" ref="P2">ABS(pred_GDP_now!P6-pred_GDP_now!$B6)</f>
        <v>0.26118232929755991</v>
      </c>
      <c r="Q2" s="6"/>
      <c r="R2" s="10" cm="1">
        <f t="array" ref="R2">ABS(pred_GDP_now!R6-pred_GDP_now!$B6)</f>
        <v>0.4491941077350099</v>
      </c>
      <c r="S2" s="10" cm="1">
        <f t="array" ref="S2">ABS(pred_GDP_now!S6-pred_GDP_now!$B6)</f>
        <v>0.39610491223946998</v>
      </c>
      <c r="T2" s="10" cm="1">
        <f t="array" ref="T2">ABS(pred_GDP_now!T6-pred_GDP_now!$B6)</f>
        <v>0.64449388980865985</v>
      </c>
      <c r="U2" s="10" cm="1">
        <f t="array" ref="U2">ABS(pred_GDP_now!U6-pred_GDP_now!$B6)</f>
        <v>0.39610491223946998</v>
      </c>
      <c r="V2" s="10" cm="1">
        <f t="array" ref="V2">ABS(pred_GDP_now!V6-pred_GDP_now!$B6)</f>
        <v>0.36837552357184</v>
      </c>
      <c r="W2" s="10" cm="1">
        <f t="array" ref="W2">ABS(pred_GDP_now!W6-pred_GDP_now!$B6)</f>
        <v>0.37447745283043998</v>
      </c>
      <c r="X2" s="10" cm="1">
        <f t="array" ref="X2">ABS(pred_GDP_now!X6-pred_GDP_now!$B6)</f>
        <v>0.45404841807699992</v>
      </c>
      <c r="Y2" s="10" cm="1">
        <f t="array" ref="Y2">ABS(pred_GDP_now!Y6-pred_GDP_now!$B6)</f>
        <v>0.45643748791964001</v>
      </c>
      <c r="Z2" s="10" cm="1">
        <f t="array" ref="Z2">ABS(pred_GDP_now!Z6-pred_GDP_now!$B6)</f>
        <v>0.39610491223946998</v>
      </c>
    </row>
    <row r="3" spans="1:26" ht="13.8" customHeight="1" x14ac:dyDescent="0.25">
      <c r="A3" s="15">
        <v>39600</v>
      </c>
      <c r="B3" s="16">
        <v>0.4</v>
      </c>
      <c r="C3" s="21" t="e" cm="1">
        <f t="array" ref="C3">ABS(pred_GDP_now!C7-pred_GDP_now!$B7)</f>
        <v>#N/A</v>
      </c>
      <c r="D3" s="10" cm="1">
        <f t="array" ref="D3">ABS(pred_GDP_now!D7-pred_GDP_now!$B7)</f>
        <v>0.24868950959713298</v>
      </c>
      <c r="E3" s="10" cm="1">
        <f t="array" ref="E3">ABS(pred_GDP_now!E7-pred_GDP_now!$B7)</f>
        <v>0.29556961792773795</v>
      </c>
      <c r="F3" s="10" t="e" cm="1">
        <f t="array" ref="F3">ABS(pred_GDP_now!F7-pred_GDP_now!$B7)</f>
        <v>#N/A</v>
      </c>
      <c r="G3" s="10" t="e" cm="1">
        <f t="array" ref="G3">ABS(pred_GDP_now!G7-pred_GDP_now!$B7)</f>
        <v>#N/A</v>
      </c>
      <c r="H3" s="10" t="e" cm="1">
        <f t="array" ref="H3">ABS(pred_GDP_now!H7-pred_GDP_now!$B7)</f>
        <v>#N/A</v>
      </c>
      <c r="I3" s="10" t="e" cm="1">
        <f t="array" ref="I3">ABS(pred_GDP_now!I7-pred_GDP_now!$B7)</f>
        <v>#N/A</v>
      </c>
      <c r="J3" s="10" t="e" cm="1">
        <f t="array" ref="J3">ABS(pred_GDP_now!J7-pred_GDP_now!$B7)</f>
        <v>#N/A</v>
      </c>
      <c r="K3" s="10" cm="1">
        <f t="array" ref="K3">ABS(pred_GDP_now!K7-pred_GDP_now!$B7)</f>
        <v>0.99104007927075999</v>
      </c>
      <c r="L3" s="10" t="e" cm="1">
        <f t="array" ref="L3">ABS(pred_GDP_now!L7-pred_GDP_now!$B7)</f>
        <v>#N/A</v>
      </c>
      <c r="M3" s="10" cm="1">
        <f t="array" ref="M3">ABS(pred_GDP_now!M7-pred_GDP_now!$B7)</f>
        <v>0.42049323663713301</v>
      </c>
      <c r="N3" s="10" cm="1">
        <f t="array" ref="N3">ABS(pred_GDP_now!N7-pred_GDP_now!$B7)</f>
        <v>0.96721467971802</v>
      </c>
      <c r="O3" s="10" cm="1">
        <f t="array" ref="O3">ABS(pred_GDP_now!O7-pred_GDP_now!$B7)</f>
        <v>1.0113269844507098</v>
      </c>
      <c r="P3" s="10" cm="1">
        <f t="array" ref="P3">ABS(pred_GDP_now!P7-pred_GDP_now!$B7)</f>
        <v>2.0287457337572201</v>
      </c>
      <c r="Q3" s="6"/>
      <c r="R3" s="10" cm="1">
        <f t="array" ref="R3">ABS(pred_GDP_now!R7-pred_GDP_now!$B7)</f>
        <v>0.85186854876553009</v>
      </c>
      <c r="S3" s="10" cm="1">
        <f t="array" ref="S3">ABS(pred_GDP_now!S7-pred_GDP_now!$B7)</f>
        <v>0.96721467971802</v>
      </c>
      <c r="T3" s="10" cm="1">
        <f t="array" ref="T3">ABS(pred_GDP_now!T7-pred_GDP_now!$B7)</f>
        <v>0.99104007927075999</v>
      </c>
      <c r="U3" s="10" cm="1">
        <f t="array" ref="U3">ABS(pred_GDP_now!U7-pred_GDP_now!$B7)</f>
        <v>1.01093978327753</v>
      </c>
      <c r="V3" s="10" cm="1">
        <f t="array" ref="V3">ABS(pred_GDP_now!V7-pred_GDP_now!$B7)</f>
        <v>1.9039829159952602</v>
      </c>
      <c r="W3" s="10" cm="1">
        <f t="array" ref="W3">ABS(pred_GDP_now!W7-pred_GDP_now!$B7)</f>
        <v>1.88620864418899</v>
      </c>
      <c r="X3" s="10" cm="1">
        <f t="array" ref="X3">ABS(pred_GDP_now!X7-pred_GDP_now!$B7)</f>
        <v>1.13312884276802</v>
      </c>
      <c r="Y3" s="10" cm="1">
        <f t="array" ref="Y3">ABS(pred_GDP_now!Y7-pred_GDP_now!$B7)</f>
        <v>0.90437209485237002</v>
      </c>
      <c r="Z3" s="10" cm="1">
        <f t="array" ref="Z3">ABS(pred_GDP_now!Z7-pred_GDP_now!$B7)</f>
        <v>0.99104007927075999</v>
      </c>
    </row>
    <row r="4" spans="1:26" ht="13.8" customHeight="1" x14ac:dyDescent="0.25">
      <c r="A4" s="15">
        <v>39692</v>
      </c>
      <c r="B4" s="16">
        <v>0.7</v>
      </c>
      <c r="C4" s="21" t="e" cm="1">
        <f t="array" ref="C4">ABS(pred_GDP_now!C8-pred_GDP_now!$B8)</f>
        <v>#N/A</v>
      </c>
      <c r="D4" s="10" cm="1">
        <f t="array" ref="D4">ABS(pred_GDP_now!D8-pred_GDP_now!$B8)</f>
        <v>0.43918356938018999</v>
      </c>
      <c r="E4" s="10" cm="1">
        <f t="array" ref="E4">ABS(pred_GDP_now!E8-pred_GDP_now!$B8)</f>
        <v>0.23274087488595108</v>
      </c>
      <c r="F4" s="10" t="e" cm="1">
        <f t="array" ref="F4">ABS(pred_GDP_now!F8-pred_GDP_now!$B8)</f>
        <v>#N/A</v>
      </c>
      <c r="G4" s="10" t="e" cm="1">
        <f t="array" ref="G4">ABS(pred_GDP_now!G8-pred_GDP_now!$B8)</f>
        <v>#N/A</v>
      </c>
      <c r="H4" s="10" t="e" cm="1">
        <f t="array" ref="H4">ABS(pred_GDP_now!H8-pred_GDP_now!$B8)</f>
        <v>#N/A</v>
      </c>
      <c r="I4" s="10" t="e" cm="1">
        <f t="array" ref="I4">ABS(pred_GDP_now!I8-pred_GDP_now!$B8)</f>
        <v>#N/A</v>
      </c>
      <c r="J4" s="10" t="e" cm="1">
        <f t="array" ref="J4">ABS(pred_GDP_now!J8-pred_GDP_now!$B8)</f>
        <v>#N/A</v>
      </c>
      <c r="K4" s="10" cm="1">
        <f t="array" ref="K4">ABS(pred_GDP_now!K8-pred_GDP_now!$B8)</f>
        <v>0.32731186127273015</v>
      </c>
      <c r="L4" s="10" t="e" cm="1">
        <f t="array" ref="L4">ABS(pred_GDP_now!L8-pred_GDP_now!$B8)</f>
        <v>#N/A</v>
      </c>
      <c r="M4" s="10" cm="1">
        <f t="array" ref="M4">ABS(pred_GDP_now!M8-pred_GDP_now!$B8)</f>
        <v>0.32548458429960014</v>
      </c>
      <c r="N4" s="10" cm="1">
        <f t="array" ref="N4">ABS(pred_GDP_now!N8-pred_GDP_now!$B8)</f>
        <v>0.61948888301849014</v>
      </c>
      <c r="O4" s="10" cm="1">
        <f t="array" ref="O4">ABS(pred_GDP_now!O8-pred_GDP_now!$B8)</f>
        <v>0.49571831570094693</v>
      </c>
      <c r="P4" s="10" cm="1">
        <f t="array" ref="P4">ABS(pred_GDP_now!P8-pred_GDP_now!$B8)</f>
        <v>1.4428596788744901</v>
      </c>
      <c r="Q4" s="6"/>
      <c r="R4" s="10" cm="1">
        <f t="array" ref="R4">ABS(pred_GDP_now!R8-pred_GDP_now!$B8)</f>
        <v>0.41305016229006997</v>
      </c>
      <c r="S4" s="10" cm="1">
        <f t="array" ref="S4">ABS(pred_GDP_now!S8-pred_GDP_now!$B8)</f>
        <v>0.32731186127273015</v>
      </c>
      <c r="T4" s="10" cm="1">
        <f t="array" ref="T4">ABS(pred_GDP_now!T8-pred_GDP_now!$B8)</f>
        <v>0.32731186127273015</v>
      </c>
      <c r="U4" s="10" cm="1">
        <f t="array" ref="U4">ABS(pred_GDP_now!U8-pred_GDP_now!$B8)</f>
        <v>0.32731186127273015</v>
      </c>
      <c r="V4" s="10" cm="1">
        <f t="array" ref="V4">ABS(pred_GDP_now!V8-pred_GDP_now!$B8)</f>
        <v>0.25521226745001202</v>
      </c>
      <c r="W4" s="10" cm="1">
        <f t="array" ref="W4">ABS(pred_GDP_now!W8-pred_GDP_now!$B8)</f>
        <v>0.25481296494148908</v>
      </c>
      <c r="X4" s="10" cm="1">
        <f t="array" ref="X4">ABS(pred_GDP_now!X8-pred_GDP_now!$B8)</f>
        <v>0.30902090523009007</v>
      </c>
      <c r="Y4" s="10" cm="1">
        <f t="array" ref="Y4">ABS(pred_GDP_now!Y8-pred_GDP_now!$B8)</f>
        <v>0.33010683464669999</v>
      </c>
      <c r="Z4" s="10" cm="1">
        <f t="array" ref="Z4">ABS(pred_GDP_now!Z8-pred_GDP_now!$B8)</f>
        <v>0.32731186127273015</v>
      </c>
    </row>
    <row r="5" spans="1:26" ht="13.8" customHeight="1" x14ac:dyDescent="0.25">
      <c r="A5" s="15">
        <v>39783</v>
      </c>
      <c r="B5" s="16">
        <v>-3.4</v>
      </c>
      <c r="C5" s="21" t="e" cm="1">
        <f t="array" ref="C5">ABS(pred_GDP_now!C9-pred_GDP_now!$B9)</f>
        <v>#N/A</v>
      </c>
      <c r="D5" s="10" cm="1">
        <f t="array" ref="D5">ABS(pred_GDP_now!D9-pred_GDP_now!$B9)</f>
        <v>4.40153238605998</v>
      </c>
      <c r="E5" s="10" cm="1">
        <f t="array" ref="E5">ABS(pred_GDP_now!E9-pred_GDP_now!$B9)</f>
        <v>4.8010616120549097</v>
      </c>
      <c r="F5" s="10" t="e" cm="1">
        <f t="array" ref="F5">ABS(pred_GDP_now!F9-pred_GDP_now!$B9)</f>
        <v>#N/A</v>
      </c>
      <c r="G5" s="10" t="e" cm="1">
        <f t="array" ref="G5">ABS(pred_GDP_now!G9-pred_GDP_now!$B9)</f>
        <v>#N/A</v>
      </c>
      <c r="H5" s="10" t="e" cm="1">
        <f t="array" ref="H5">ABS(pred_GDP_now!H9-pred_GDP_now!$B9)</f>
        <v>#N/A</v>
      </c>
      <c r="I5" s="10" t="e" cm="1">
        <f t="array" ref="I5">ABS(pred_GDP_now!I9-pred_GDP_now!$B9)</f>
        <v>#N/A</v>
      </c>
      <c r="J5" s="10" t="e" cm="1">
        <f t="array" ref="J5">ABS(pred_GDP_now!J9-pred_GDP_now!$B9)</f>
        <v>#N/A</v>
      </c>
      <c r="K5" s="10" cm="1">
        <f t="array" ref="K5">ABS(pred_GDP_now!K9-pred_GDP_now!$B9)</f>
        <v>3.786686348559166</v>
      </c>
      <c r="L5" s="10" t="e" cm="1">
        <f t="array" ref="L5">ABS(pred_GDP_now!L9-pred_GDP_now!$B9)</f>
        <v>#N/A</v>
      </c>
      <c r="M5" s="10" cm="1">
        <f t="array" ref="M5">ABS(pred_GDP_now!M9-pred_GDP_now!$B9)</f>
        <v>4.1054163086077962</v>
      </c>
      <c r="N5" s="10" cm="1">
        <f t="array" ref="N5">ABS(pred_GDP_now!N9-pred_GDP_now!$B9)</f>
        <v>4.6847210168838505</v>
      </c>
      <c r="O5" s="10" cm="1">
        <f t="array" ref="O5">ABS(pred_GDP_now!O9-pred_GDP_now!$B9)</f>
        <v>1.1791404990967398</v>
      </c>
      <c r="P5" s="10" cm="1">
        <f t="array" ref="P5">ABS(pred_GDP_now!P9-pred_GDP_now!$B9)</f>
        <v>1.51852159878615</v>
      </c>
      <c r="Q5" s="6"/>
      <c r="R5" s="10" cm="1">
        <f t="array" ref="R5">ABS(pred_GDP_now!R9-pred_GDP_now!$B9)</f>
        <v>3.1598283959793019</v>
      </c>
      <c r="S5" s="10" cm="1">
        <f t="array" ref="S5">ABS(pred_GDP_now!S9-pred_GDP_now!$B9)</f>
        <v>4.1054163086077962</v>
      </c>
      <c r="T5" s="10" cm="1">
        <f t="array" ref="T5">ABS(pred_GDP_now!T9-pred_GDP_now!$B9)</f>
        <v>4.40153238605998</v>
      </c>
      <c r="U5" s="10" cm="1">
        <f t="array" ref="U5">ABS(pred_GDP_now!U9-pred_GDP_now!$B9)</f>
        <v>1.1791404990967398</v>
      </c>
      <c r="V5" s="10" cm="1">
        <f t="array" ref="V5">ABS(pred_GDP_now!V9-pred_GDP_now!$B9)</f>
        <v>3.4637194272457448</v>
      </c>
      <c r="W5" s="10" cm="1">
        <f t="array" ref="W5">ABS(pred_GDP_now!W9-pred_GDP_now!$B9)</f>
        <v>3.4578965078697497</v>
      </c>
      <c r="X5" s="10" cm="1">
        <f t="array" ref="X5">ABS(pred_GDP_now!X9-pred_GDP_now!$B9)</f>
        <v>3.4143232127862895</v>
      </c>
      <c r="Y5" s="10" cm="1">
        <f t="array" ref="Y5">ABS(pred_GDP_now!Y9-pred_GDP_now!$B9)</f>
        <v>3.3622316255306441</v>
      </c>
      <c r="Z5" s="10" cm="1">
        <f t="array" ref="Z5">ABS(pred_GDP_now!Z9-pred_GDP_now!$B9)</f>
        <v>1.1791404990967398</v>
      </c>
    </row>
    <row r="6" spans="1:26" ht="13.8" customHeight="1" x14ac:dyDescent="0.25">
      <c r="A6" s="15">
        <v>39873</v>
      </c>
      <c r="B6" s="16">
        <v>0.3</v>
      </c>
      <c r="C6" s="21" t="e" cm="1">
        <f t="array" ref="C6">ABS(pred_GDP_now!C10-pred_GDP_now!$B10)</f>
        <v>#N/A</v>
      </c>
      <c r="D6" s="10" cm="1">
        <f t="array" ref="D6">ABS(pred_GDP_now!D10-pred_GDP_now!$B10)</f>
        <v>0.51367566878487492</v>
      </c>
      <c r="E6" s="10" cm="1">
        <f t="array" ref="E6">ABS(pred_GDP_now!E10-pred_GDP_now!$B10)</f>
        <v>3.21506085042388</v>
      </c>
      <c r="F6" s="10" t="e" cm="1">
        <f t="array" ref="F6">ABS(pred_GDP_now!F10-pred_GDP_now!$B10)</f>
        <v>#N/A</v>
      </c>
      <c r="G6" s="10" t="e" cm="1">
        <f t="array" ref="G6">ABS(pred_GDP_now!G10-pred_GDP_now!$B10)</f>
        <v>#N/A</v>
      </c>
      <c r="H6" s="10" t="e" cm="1">
        <f t="array" ref="H6">ABS(pred_GDP_now!H10-pred_GDP_now!$B10)</f>
        <v>#N/A</v>
      </c>
      <c r="I6" s="10" t="e" cm="1">
        <f t="array" ref="I6">ABS(pred_GDP_now!I10-pred_GDP_now!$B10)</f>
        <v>#N/A</v>
      </c>
      <c r="J6" s="10" t="e" cm="1">
        <f t="array" ref="J6">ABS(pred_GDP_now!J10-pred_GDP_now!$B10)</f>
        <v>#N/A</v>
      </c>
      <c r="K6" s="10" cm="1">
        <f t="array" ref="K6">ABS(pred_GDP_now!K10-pred_GDP_now!$B10)</f>
        <v>0.16553756244433399</v>
      </c>
      <c r="L6" s="10" t="e" cm="1">
        <f t="array" ref="L6">ABS(pred_GDP_now!L10-pred_GDP_now!$B10)</f>
        <v>#N/A</v>
      </c>
      <c r="M6" s="10" cm="1">
        <f t="array" ref="M6">ABS(pred_GDP_now!M10-pred_GDP_now!$B10)</f>
        <v>6.4238146962025011E-2</v>
      </c>
      <c r="N6" s="10" cm="1">
        <f t="array" ref="N6">ABS(pred_GDP_now!N10-pred_GDP_now!$B10)</f>
        <v>0.14034837782383</v>
      </c>
      <c r="O6" s="10" cm="1">
        <f t="array" ref="O6">ABS(pred_GDP_now!O10-pred_GDP_now!$B10)</f>
        <v>0.65120519708786695</v>
      </c>
      <c r="P6" s="10" cm="1">
        <f t="array" ref="P6">ABS(pred_GDP_now!P10-pred_GDP_now!$B10)</f>
        <v>0.16065137204098401</v>
      </c>
      <c r="Q6" s="6"/>
      <c r="R6" s="10" cm="1">
        <f t="array" ref="R6">ABS(pred_GDP_now!R10-pred_GDP_now!$B10)</f>
        <v>0.42807641440796201</v>
      </c>
      <c r="S6" s="10" cm="1">
        <f t="array" ref="S6">ABS(pred_GDP_now!S10-pred_GDP_now!$B10)</f>
        <v>6.4238146962025011E-2</v>
      </c>
      <c r="T6" s="10" cm="1">
        <f t="array" ref="T6">ABS(pred_GDP_now!T10-pred_GDP_now!$B10)</f>
        <v>0.16553756244433399</v>
      </c>
      <c r="U6" s="10" cm="1">
        <f t="array" ref="U6">ABS(pred_GDP_now!U10-pred_GDP_now!$B10)</f>
        <v>6.4238146962025011E-2</v>
      </c>
      <c r="V6" s="10" cm="1">
        <f t="array" ref="V6">ABS(pred_GDP_now!V10-pred_GDP_now!$B10)</f>
        <v>0.26894140286644302</v>
      </c>
      <c r="W6" s="10" cm="1">
        <f t="array" ref="W6">ABS(pred_GDP_now!W10-pred_GDP_now!$B10)</f>
        <v>0.27711645894998199</v>
      </c>
      <c r="X6" s="10" cm="1">
        <f t="array" ref="X6">ABS(pred_GDP_now!X10-pred_GDP_now!$B10)</f>
        <v>8.5256508307916978E-2</v>
      </c>
      <c r="Y6" s="10" cm="1">
        <f t="array" ref="Y6">ABS(pred_GDP_now!Y10-pred_GDP_now!$B10)</f>
        <v>0.44628539754239899</v>
      </c>
      <c r="Z6" s="10" cm="1">
        <f t="array" ref="Z6">ABS(pred_GDP_now!Z10-pred_GDP_now!$B10)</f>
        <v>6.4238146962025011E-2</v>
      </c>
    </row>
    <row r="7" spans="1:26" ht="13.8" customHeight="1" x14ac:dyDescent="0.25">
      <c r="A7" s="15">
        <v>39965</v>
      </c>
      <c r="B7" s="16">
        <v>1.4</v>
      </c>
      <c r="C7" s="21" t="e" cm="1">
        <f t="array" ref="C7">ABS(pred_GDP_now!C11-pred_GDP_now!$B11)</f>
        <v>#N/A</v>
      </c>
      <c r="D7" s="10" cm="1">
        <f t="array" ref="D7">ABS(pred_GDP_now!D11-pred_GDP_now!$B11)</f>
        <v>2.3425846832068302</v>
      </c>
      <c r="E7" s="10" cm="1">
        <f t="array" ref="E7">ABS(pred_GDP_now!E11-pred_GDP_now!$B11)</f>
        <v>0.49062784878455012</v>
      </c>
      <c r="F7" s="10" t="e" cm="1">
        <f t="array" ref="F7">ABS(pred_GDP_now!F11-pred_GDP_now!$B11)</f>
        <v>#N/A</v>
      </c>
      <c r="G7" s="10" t="e" cm="1">
        <f t="array" ref="G7">ABS(pred_GDP_now!G11-pred_GDP_now!$B11)</f>
        <v>#N/A</v>
      </c>
      <c r="H7" s="10" t="e" cm="1">
        <f t="array" ref="H7">ABS(pred_GDP_now!H11-pred_GDP_now!$B11)</f>
        <v>#N/A</v>
      </c>
      <c r="I7" s="10" t="e" cm="1">
        <f t="array" ref="I7">ABS(pred_GDP_now!I11-pred_GDP_now!$B11)</f>
        <v>#N/A</v>
      </c>
      <c r="J7" s="10" t="e" cm="1">
        <f t="array" ref="J7">ABS(pred_GDP_now!J11-pred_GDP_now!$B11)</f>
        <v>#N/A</v>
      </c>
      <c r="K7" s="10" cm="1">
        <f t="array" ref="K7">ABS(pred_GDP_now!K11-pred_GDP_now!$B11)</f>
        <v>1.0907174871256</v>
      </c>
      <c r="L7" s="10" t="e" cm="1">
        <f t="array" ref="L7">ABS(pred_GDP_now!L11-pred_GDP_now!$B11)</f>
        <v>#N/A</v>
      </c>
      <c r="M7" s="10" cm="1">
        <f t="array" ref="M7">ABS(pred_GDP_now!M11-pred_GDP_now!$B11)</f>
        <v>5.2238486971600162E-2</v>
      </c>
      <c r="N7" s="10" cm="1">
        <f t="array" ref="N7">ABS(pred_GDP_now!N11-pred_GDP_now!$B11)</f>
        <v>0.12828662395476997</v>
      </c>
      <c r="O7" s="10" cm="1">
        <f t="array" ref="O7">ABS(pred_GDP_now!O11-pred_GDP_now!$B11)</f>
        <v>0.97905556613459011</v>
      </c>
      <c r="P7" s="10" cm="1">
        <f t="array" ref="P7">ABS(pred_GDP_now!P11-pred_GDP_now!$B11)</f>
        <v>1.62181936117643</v>
      </c>
      <c r="Q7" s="6"/>
      <c r="R7" s="10" cm="1">
        <f t="array" ref="R7">ABS(pred_GDP_now!R11-pred_GDP_now!$B11)</f>
        <v>0.92125097277782997</v>
      </c>
      <c r="S7" s="10" cm="1">
        <f t="array" ref="S7">ABS(pred_GDP_now!S11-pred_GDP_now!$B11)</f>
        <v>0.97905556613459011</v>
      </c>
      <c r="T7" s="10" cm="1">
        <f t="array" ref="T7">ABS(pred_GDP_now!T11-pred_GDP_now!$B11)</f>
        <v>0.97905556613459011</v>
      </c>
      <c r="U7" s="10" cm="1">
        <f t="array" ref="U7">ABS(pred_GDP_now!U11-pred_GDP_now!$B11)</f>
        <v>0.97905556613459011</v>
      </c>
      <c r="V7" s="10" cm="1">
        <f t="array" ref="V7">ABS(pred_GDP_now!V11-pred_GDP_now!$B11)</f>
        <v>0.96743806569599</v>
      </c>
      <c r="W7" s="10" cm="1">
        <f t="array" ref="W7">ABS(pred_GDP_now!W11-pred_GDP_now!$B11)</f>
        <v>0.96523701244014992</v>
      </c>
      <c r="X7" s="10" cm="1">
        <f t="array" ref="X7">ABS(pred_GDP_now!X11-pred_GDP_now!$B11)</f>
        <v>1.0298610095823699</v>
      </c>
      <c r="Y7" s="10" cm="1">
        <f t="array" ref="Y7">ABS(pred_GDP_now!Y11-pred_GDP_now!$B11)</f>
        <v>1.09378616264088</v>
      </c>
      <c r="Z7" s="10" cm="1">
        <f t="array" ref="Z7">ABS(pred_GDP_now!Z11-pred_GDP_now!$B11)</f>
        <v>0.97905556613459011</v>
      </c>
    </row>
    <row r="8" spans="1:26" ht="13.8" customHeight="1" x14ac:dyDescent="0.25">
      <c r="A8" s="15">
        <v>40057</v>
      </c>
      <c r="B8" s="16">
        <v>3.1</v>
      </c>
      <c r="C8" s="21" t="e" cm="1">
        <f t="array" ref="C8">ABS(pred_GDP_now!C12-pred_GDP_now!$B12)</f>
        <v>#N/A</v>
      </c>
      <c r="D8" s="10" cm="1">
        <f t="array" ref="D8">ABS(pred_GDP_now!D12-pred_GDP_now!$B12)</f>
        <v>0.3755381107334701</v>
      </c>
      <c r="E8" s="10" cm="1">
        <f t="array" ref="E8">ABS(pred_GDP_now!E12-pred_GDP_now!$B12)</f>
        <v>1.1985726888484101</v>
      </c>
      <c r="F8" s="10" t="e" cm="1">
        <f t="array" ref="F8">ABS(pred_GDP_now!F12-pred_GDP_now!$B12)</f>
        <v>#N/A</v>
      </c>
      <c r="G8" s="10" t="e" cm="1">
        <f t="array" ref="G8">ABS(pred_GDP_now!G12-pred_GDP_now!$B12)</f>
        <v>#N/A</v>
      </c>
      <c r="H8" s="10" t="e" cm="1">
        <f t="array" ref="H8">ABS(pred_GDP_now!H12-pred_GDP_now!$B12)</f>
        <v>#N/A</v>
      </c>
      <c r="I8" s="10" t="e" cm="1">
        <f t="array" ref="I8">ABS(pred_GDP_now!I12-pred_GDP_now!$B12)</f>
        <v>#N/A</v>
      </c>
      <c r="J8" s="10" t="e" cm="1">
        <f t="array" ref="J8">ABS(pred_GDP_now!J12-pred_GDP_now!$B12)</f>
        <v>#N/A</v>
      </c>
      <c r="K8" s="10" cm="1">
        <f t="array" ref="K8">ABS(pred_GDP_now!K12-pred_GDP_now!$B12)</f>
        <v>1.3687964102871302</v>
      </c>
      <c r="L8" s="10" t="e" cm="1">
        <f t="array" ref="L8">ABS(pred_GDP_now!L12-pred_GDP_now!$B12)</f>
        <v>#N/A</v>
      </c>
      <c r="M8" s="10" cm="1">
        <f t="array" ref="M8">ABS(pred_GDP_now!M12-pred_GDP_now!$B12)</f>
        <v>1.7605981389693401</v>
      </c>
      <c r="N8" s="10" cm="1">
        <f t="array" ref="N8">ABS(pred_GDP_now!N12-pred_GDP_now!$B12)</f>
        <v>1.82967219352722</v>
      </c>
      <c r="O8" s="10" cm="1">
        <f t="array" ref="O8">ABS(pred_GDP_now!O12-pred_GDP_now!$B12)</f>
        <v>1.90038363828795</v>
      </c>
      <c r="P8" s="10" cm="1">
        <f t="array" ref="P8">ABS(pred_GDP_now!P12-pred_GDP_now!$B12)</f>
        <v>1.3431161054109901</v>
      </c>
      <c r="Q8" s="6"/>
      <c r="R8" s="10" cm="1">
        <f t="array" ref="R8">ABS(pred_GDP_now!R12-pred_GDP_now!$B12)</f>
        <v>1.2893715806568</v>
      </c>
      <c r="S8" s="10" cm="1">
        <f t="array" ref="S8">ABS(pred_GDP_now!S12-pred_GDP_now!$B12)</f>
        <v>1.3687964102871302</v>
      </c>
      <c r="T8" s="10" cm="1">
        <f t="array" ref="T8">ABS(pred_GDP_now!T12-pred_GDP_now!$B12)</f>
        <v>1.7605981389693401</v>
      </c>
      <c r="U8" s="10" cm="1">
        <f t="array" ref="U8">ABS(pred_GDP_now!U12-pred_GDP_now!$B12)</f>
        <v>1.3687964102871302</v>
      </c>
      <c r="V8" s="10" cm="1">
        <f t="array" ref="V8">ABS(pred_GDP_now!V12-pred_GDP_now!$B12)</f>
        <v>1.34517367685252</v>
      </c>
      <c r="W8" s="10" cm="1">
        <f t="array" ref="W8">ABS(pred_GDP_now!W12-pred_GDP_now!$B12)</f>
        <v>1.3423583509838501</v>
      </c>
      <c r="X8" s="10" cm="1">
        <f t="array" ref="X8">ABS(pred_GDP_now!X12-pred_GDP_now!$B12)</f>
        <v>1.5690987755590602</v>
      </c>
      <c r="Y8" s="10" cm="1">
        <f t="array" ref="Y8">ABS(pred_GDP_now!Y12-pred_GDP_now!$B12)</f>
        <v>1.73491749251101</v>
      </c>
      <c r="Z8" s="10" cm="1">
        <f t="array" ref="Z8">ABS(pred_GDP_now!Z12-pred_GDP_now!$B12)</f>
        <v>1.3687964102871302</v>
      </c>
    </row>
    <row r="9" spans="1:26" ht="13.8" customHeight="1" x14ac:dyDescent="0.25">
      <c r="A9" s="15">
        <v>40148</v>
      </c>
      <c r="B9" s="16">
        <v>0.7</v>
      </c>
      <c r="C9" s="21" t="e" cm="1">
        <f t="array" ref="C9">ABS(pred_GDP_now!C13-pred_GDP_now!$B13)</f>
        <v>#N/A</v>
      </c>
      <c r="D9" s="10" cm="1">
        <f t="array" ref="D9">ABS(pred_GDP_now!D13-pred_GDP_now!$B13)</f>
        <v>2.4672885573845704</v>
      </c>
      <c r="E9" s="10" cm="1">
        <f t="array" ref="E9">ABS(pred_GDP_now!E13-pred_GDP_now!$B13)</f>
        <v>2.5175471089665598</v>
      </c>
      <c r="F9" s="10" t="e" cm="1">
        <f t="array" ref="F9">ABS(pred_GDP_now!F13-pred_GDP_now!$B13)</f>
        <v>#N/A</v>
      </c>
      <c r="G9" s="10" t="e" cm="1">
        <f t="array" ref="G9">ABS(pred_GDP_now!G13-pred_GDP_now!$B13)</f>
        <v>#N/A</v>
      </c>
      <c r="H9" s="10" t="e" cm="1">
        <f t="array" ref="H9">ABS(pred_GDP_now!H13-pred_GDP_now!$B13)</f>
        <v>#N/A</v>
      </c>
      <c r="I9" s="10" t="e" cm="1">
        <f t="array" ref="I9">ABS(pred_GDP_now!I13-pred_GDP_now!$B13)</f>
        <v>#N/A</v>
      </c>
      <c r="J9" s="10" t="e" cm="1">
        <f t="array" ref="J9">ABS(pred_GDP_now!J13-pred_GDP_now!$B13)</f>
        <v>#N/A</v>
      </c>
      <c r="K9" s="10" cm="1">
        <f t="array" ref="K9">ABS(pred_GDP_now!K13-pred_GDP_now!$B13)</f>
        <v>1.29359727379095</v>
      </c>
      <c r="L9" s="10" t="e" cm="1">
        <f t="array" ref="L9">ABS(pred_GDP_now!L13-pred_GDP_now!$B13)</f>
        <v>#N/A</v>
      </c>
      <c r="M9" s="10" cm="1">
        <f t="array" ref="M9">ABS(pred_GDP_now!M13-pred_GDP_now!$B13)</f>
        <v>1.1420644665231401</v>
      </c>
      <c r="N9" s="10" cm="1">
        <f t="array" ref="N9">ABS(pred_GDP_now!N13-pred_GDP_now!$B13)</f>
        <v>0.66756038665772</v>
      </c>
      <c r="O9" s="10" cm="1">
        <f t="array" ref="O9">ABS(pred_GDP_now!O13-pred_GDP_now!$B13)</f>
        <v>2.1237988087500992E-2</v>
      </c>
      <c r="P9" s="10" cm="1">
        <f t="array" ref="P9">ABS(pred_GDP_now!P13-pred_GDP_now!$B13)</f>
        <v>0.71384705210277999</v>
      </c>
      <c r="Q9" s="6"/>
      <c r="R9" s="10" cm="1">
        <f t="array" ref="R9">ABS(pred_GDP_now!R13-pred_GDP_now!$B13)</f>
        <v>1.2604489762161701</v>
      </c>
      <c r="S9" s="10" cm="1">
        <f t="array" ref="S9">ABS(pred_GDP_now!S13-pred_GDP_now!$B13)</f>
        <v>1.1420644665231401</v>
      </c>
      <c r="T9" s="10" cm="1">
        <f t="array" ref="T9">ABS(pred_GDP_now!T13-pred_GDP_now!$B13)</f>
        <v>0.71384705210277999</v>
      </c>
      <c r="U9" s="10" cm="1">
        <f t="array" ref="U9">ABS(pred_GDP_now!U13-pred_GDP_now!$B13)</f>
        <v>1.98292176499555</v>
      </c>
      <c r="V9" s="10" cm="1">
        <f t="array" ref="V9">ABS(pred_GDP_now!V13-pred_GDP_now!$B13)</f>
        <v>1.13963482879585</v>
      </c>
      <c r="W9" s="10" cm="1">
        <f t="array" ref="W9">ABS(pred_GDP_now!W13-pred_GDP_now!$B13)</f>
        <v>1.14565503097692</v>
      </c>
      <c r="X9" s="10" cm="1">
        <f t="array" ref="X9">ABS(pred_GDP_now!X13-pred_GDP_now!$B13)</f>
        <v>0.83944084743147007</v>
      </c>
      <c r="Y9" s="10" cm="1">
        <f t="array" ref="Y9">ABS(pred_GDP_now!Y13-pred_GDP_now!$B13)</f>
        <v>0.40510095374442012</v>
      </c>
      <c r="Z9" s="10" cm="1">
        <f t="array" ref="Z9">ABS(pred_GDP_now!Z13-pred_GDP_now!$B13)</f>
        <v>1.1420644665231401</v>
      </c>
    </row>
    <row r="10" spans="1:26" ht="13.8" customHeight="1" x14ac:dyDescent="0.25">
      <c r="A10" s="15">
        <v>40238</v>
      </c>
      <c r="B10" s="16">
        <v>2.2999999999999998</v>
      </c>
      <c r="C10" s="21" t="e" cm="1">
        <f t="array" ref="C10">ABS(pred_GDP_now!C14-pred_GDP_now!$B14)</f>
        <v>#N/A</v>
      </c>
      <c r="D10" s="10" cm="1">
        <f t="array" ref="D10">ABS(pred_GDP_now!D14-pred_GDP_now!$B14)</f>
        <v>5.8816128160690262E-2</v>
      </c>
      <c r="E10" s="10" cm="1">
        <f t="array" ref="E10">ABS(pred_GDP_now!E14-pred_GDP_now!$B14)</f>
        <v>0.80071575082672974</v>
      </c>
      <c r="F10" s="10" t="e" cm="1">
        <f t="array" ref="F10">ABS(pred_GDP_now!F14-pred_GDP_now!$B14)</f>
        <v>#N/A</v>
      </c>
      <c r="G10" s="10" t="e" cm="1">
        <f t="array" ref="G10">ABS(pred_GDP_now!G14-pred_GDP_now!$B14)</f>
        <v>#N/A</v>
      </c>
      <c r="H10" s="10" t="e" cm="1">
        <f t="array" ref="H10">ABS(pred_GDP_now!H14-pred_GDP_now!$B14)</f>
        <v>#N/A</v>
      </c>
      <c r="I10" s="10" t="e" cm="1">
        <f t="array" ref="I10">ABS(pred_GDP_now!I14-pred_GDP_now!$B14)</f>
        <v>#N/A</v>
      </c>
      <c r="J10" s="10" t="e" cm="1">
        <f t="array" ref="J10">ABS(pred_GDP_now!J14-pred_GDP_now!$B14)</f>
        <v>#N/A</v>
      </c>
      <c r="K10" s="10" cm="1">
        <f t="array" ref="K10">ABS(pred_GDP_now!K14-pred_GDP_now!$B14)</f>
        <v>0.56348594089065984</v>
      </c>
      <c r="L10" s="10" t="e" cm="1">
        <f t="array" ref="L10">ABS(pred_GDP_now!L14-pred_GDP_now!$B14)</f>
        <v>#N/A</v>
      </c>
      <c r="M10" s="10" cm="1">
        <f t="array" ref="M10">ABS(pred_GDP_now!M14-pred_GDP_now!$B14)</f>
        <v>1.0699217635663698</v>
      </c>
      <c r="N10" s="10" cm="1">
        <f t="array" ref="N10">ABS(pred_GDP_now!N14-pred_GDP_now!$B14)</f>
        <v>0.95073394775390985</v>
      </c>
      <c r="O10" s="10" cm="1">
        <f t="array" ref="O10">ABS(pred_GDP_now!O14-pred_GDP_now!$B14)</f>
        <v>1.7545345650719948</v>
      </c>
      <c r="P10" s="10" cm="1">
        <f t="array" ref="P10">ABS(pred_GDP_now!P14-pred_GDP_now!$B14)</f>
        <v>0.24707693530676966</v>
      </c>
      <c r="Q10" s="6"/>
      <c r="R10" s="10" cm="1">
        <f t="array" ref="R10">ABS(pred_GDP_now!R14-pred_GDP_now!$B14)</f>
        <v>0.76109325360795976</v>
      </c>
      <c r="S10" s="10" cm="1">
        <f t="array" ref="S10">ABS(pred_GDP_now!S14-pred_GDP_now!$B14)</f>
        <v>0.80071575082672974</v>
      </c>
      <c r="T10" s="10" cm="1">
        <f t="array" ref="T10">ABS(pred_GDP_now!T14-pred_GDP_now!$B14)</f>
        <v>1.0699217635663698</v>
      </c>
      <c r="U10" s="10" cm="1">
        <f t="array" ref="U10">ABS(pred_GDP_now!U14-pred_GDP_now!$B14)</f>
        <v>0.80071575082672974</v>
      </c>
      <c r="V10" s="10" cm="1">
        <f t="array" ref="V10">ABS(pred_GDP_now!V14-pred_GDP_now!$B14)</f>
        <v>0.81034210585987987</v>
      </c>
      <c r="W10" s="10" cm="1">
        <f t="array" ref="W10">ABS(pred_GDP_now!W14-pred_GDP_now!$B14)</f>
        <v>0.80809075092500993</v>
      </c>
      <c r="X10" s="10" cm="1">
        <f t="array" ref="X10">ABS(pred_GDP_now!X14-pred_GDP_now!$B14)</f>
        <v>0.8477861976789598</v>
      </c>
      <c r="Y10" s="10" cm="1">
        <f t="array" ref="Y10">ABS(pred_GDP_now!Y14-pred_GDP_now!$B14)</f>
        <v>0.88870646736467984</v>
      </c>
      <c r="Z10" s="10" cm="1">
        <f t="array" ref="Z10">ABS(pred_GDP_now!Z14-pred_GDP_now!$B14)</f>
        <v>0.80809075092500993</v>
      </c>
    </row>
    <row r="11" spans="1:26" ht="13.8" customHeight="1" x14ac:dyDescent="0.25">
      <c r="A11" s="15">
        <v>40330</v>
      </c>
      <c r="B11" s="16">
        <v>1.6</v>
      </c>
      <c r="C11" s="21" t="e" cm="1">
        <f t="array" ref="C11">ABS(pred_GDP_now!C15-pred_GDP_now!$B15)</f>
        <v>#N/A</v>
      </c>
      <c r="D11" s="10" cm="1">
        <f t="array" ref="D11">ABS(pred_GDP_now!D15-pred_GDP_now!$B15)</f>
        <v>0.53295288013028985</v>
      </c>
      <c r="E11" s="10" cm="1">
        <f t="array" ref="E11">ABS(pred_GDP_now!E15-pred_GDP_now!$B15)</f>
        <v>0.10690076263184989</v>
      </c>
      <c r="F11" s="10" t="e" cm="1">
        <f t="array" ref="F11">ABS(pred_GDP_now!F15-pred_GDP_now!$B15)</f>
        <v>#N/A</v>
      </c>
      <c r="G11" s="10" t="e" cm="1">
        <f t="array" ref="G11">ABS(pred_GDP_now!G15-pred_GDP_now!$B15)</f>
        <v>#N/A</v>
      </c>
      <c r="H11" s="10" t="e" cm="1">
        <f t="array" ref="H11">ABS(pred_GDP_now!H15-pred_GDP_now!$B15)</f>
        <v>#N/A</v>
      </c>
      <c r="I11" s="10" t="e" cm="1">
        <f t="array" ref="I11">ABS(pred_GDP_now!I15-pred_GDP_now!$B15)</f>
        <v>#N/A</v>
      </c>
      <c r="J11" s="10" t="e" cm="1">
        <f t="array" ref="J11">ABS(pred_GDP_now!J15-pred_GDP_now!$B15)</f>
        <v>#N/A</v>
      </c>
      <c r="K11" s="10" cm="1">
        <f t="array" ref="K11">ABS(pred_GDP_now!K15-pred_GDP_now!$B15)</f>
        <v>5.8805948018720189E-2</v>
      </c>
      <c r="L11" s="10" t="e" cm="1">
        <f t="array" ref="L11">ABS(pred_GDP_now!L15-pred_GDP_now!$B15)</f>
        <v>#N/A</v>
      </c>
      <c r="M11" s="10" cm="1">
        <f t="array" ref="M11">ABS(pred_GDP_now!M15-pred_GDP_now!$B15)</f>
        <v>0.20529244174587014</v>
      </c>
      <c r="N11" s="10" cm="1">
        <f t="array" ref="N11">ABS(pred_GDP_now!N15-pred_GDP_now!$B15)</f>
        <v>0.65450767278671307</v>
      </c>
      <c r="O11" s="10" cm="1">
        <f t="array" ref="O11">ABS(pred_GDP_now!O15-pred_GDP_now!$B15)</f>
        <v>0.51551036443153997</v>
      </c>
      <c r="P11" s="10" cm="1">
        <f t="array" ref="P11">ABS(pred_GDP_now!P15-pred_GDP_now!$B15)</f>
        <v>0.57221209273386009</v>
      </c>
      <c r="Q11" s="6"/>
      <c r="R11" s="10" cm="1">
        <f t="array" ref="R11">ABS(pred_GDP_now!R15-pred_GDP_now!$B15)</f>
        <v>0.11556714819660985</v>
      </c>
      <c r="S11" s="10" cm="1">
        <f t="array" ref="S11">ABS(pred_GDP_now!S15-pred_GDP_now!$B15)</f>
        <v>0.10690076263184989</v>
      </c>
      <c r="T11" s="10" cm="1">
        <f t="array" ref="T11">ABS(pred_GDP_now!T15-pred_GDP_now!$B15)</f>
        <v>0.20529244174587014</v>
      </c>
      <c r="U11" s="10" cm="1">
        <f t="array" ref="U11">ABS(pred_GDP_now!U15-pred_GDP_now!$B15)</f>
        <v>0.10690076263184989</v>
      </c>
      <c r="V11" s="10" cm="1">
        <f t="array" ref="V11">ABS(pred_GDP_now!V15-pred_GDP_now!$B15)</f>
        <v>6.0670746147901689E-3</v>
      </c>
      <c r="W11" s="10" cm="1">
        <f t="array" ref="W11">ABS(pred_GDP_now!W15-pred_GDP_now!$B15)</f>
        <v>1.7179878138100513E-3</v>
      </c>
      <c r="X11" s="10" cm="1">
        <f t="array" ref="X11">ABS(pred_GDP_now!X15-pred_GDP_now!$B15)</f>
        <v>4.6440815557159842E-2</v>
      </c>
      <c r="Y11" s="10" cm="1">
        <f t="array" ref="Y11">ABS(pred_GDP_now!Y15-pred_GDP_now!$B15)</f>
        <v>7.8699769205998749E-3</v>
      </c>
      <c r="Z11" s="10" cm="1">
        <f t="array" ref="Z11">ABS(pred_GDP_now!Z15-pred_GDP_now!$B15)</f>
        <v>4.6440815557159842E-2</v>
      </c>
    </row>
    <row r="12" spans="1:26" ht="13.8" customHeight="1" x14ac:dyDescent="0.25">
      <c r="A12" s="15">
        <v>40422</v>
      </c>
      <c r="B12" s="16">
        <v>1</v>
      </c>
      <c r="C12" s="21" t="e" cm="1">
        <f t="array" ref="C12">ABS(pred_GDP_now!C16-pred_GDP_now!$B16)</f>
        <v>#N/A</v>
      </c>
      <c r="D12" s="10" cm="1">
        <f t="array" ref="D12">ABS(pred_GDP_now!D16-pred_GDP_now!$B16)</f>
        <v>0.32042766158359992</v>
      </c>
      <c r="E12" s="10" cm="1">
        <f t="array" ref="E12">ABS(pred_GDP_now!E16-pred_GDP_now!$B16)</f>
        <v>0.31834017844862994</v>
      </c>
      <c r="F12" s="10" t="e" cm="1">
        <f t="array" ref="F12">ABS(pred_GDP_now!F16-pred_GDP_now!$B16)</f>
        <v>#N/A</v>
      </c>
      <c r="G12" s="10" t="e" cm="1">
        <f t="array" ref="G12">ABS(pred_GDP_now!G16-pred_GDP_now!$B16)</f>
        <v>#N/A</v>
      </c>
      <c r="H12" s="10" t="e" cm="1">
        <f t="array" ref="H12">ABS(pred_GDP_now!H16-pred_GDP_now!$B16)</f>
        <v>#N/A</v>
      </c>
      <c r="I12" s="10" t="e" cm="1">
        <f t="array" ref="I12">ABS(pred_GDP_now!I16-pred_GDP_now!$B16)</f>
        <v>#N/A</v>
      </c>
      <c r="J12" s="10" t="e" cm="1">
        <f t="array" ref="J12">ABS(pred_GDP_now!J16-pred_GDP_now!$B16)</f>
        <v>#N/A</v>
      </c>
      <c r="K12" s="10" cm="1">
        <f t="array" ref="K12">ABS(pred_GDP_now!K16-pred_GDP_now!$B16)</f>
        <v>0.60352820963149001</v>
      </c>
      <c r="L12" s="10" t="e" cm="1">
        <f t="array" ref="L12">ABS(pred_GDP_now!L16-pred_GDP_now!$B16)</f>
        <v>#N/A</v>
      </c>
      <c r="M12" s="10" cm="1">
        <f t="array" ref="M12">ABS(pred_GDP_now!M16-pred_GDP_now!$B16)</f>
        <v>0.48332186690792001</v>
      </c>
      <c r="N12" s="10" cm="1">
        <f t="array" ref="N12">ABS(pred_GDP_now!N16-pred_GDP_now!$B16)</f>
        <v>0.52104461193085005</v>
      </c>
      <c r="O12" s="10" cm="1">
        <f t="array" ref="O12">ABS(pred_GDP_now!O16-pred_GDP_now!$B16)</f>
        <v>0.67179639658323997</v>
      </c>
      <c r="P12" s="10" cm="1">
        <f t="array" ref="P12">ABS(pred_GDP_now!P16-pred_GDP_now!$B16)</f>
        <v>0.50778058365906298</v>
      </c>
      <c r="Q12" s="6"/>
      <c r="R12" s="10" cm="1">
        <f t="array" ref="R12">ABS(pred_GDP_now!R16-pred_GDP_now!$B16)</f>
        <v>0.1524407926086</v>
      </c>
      <c r="S12" s="10" cm="1">
        <f t="array" ref="S12">ABS(pred_GDP_now!S16-pred_GDP_now!$B16)</f>
        <v>0.32042766158359992</v>
      </c>
      <c r="T12" s="10" cm="1">
        <f t="array" ref="T12">ABS(pred_GDP_now!T16-pred_GDP_now!$B16)</f>
        <v>0.32042766158359992</v>
      </c>
      <c r="U12" s="10" cm="1">
        <f t="array" ref="U12">ABS(pred_GDP_now!U16-pred_GDP_now!$B16)</f>
        <v>0.32002411372722994</v>
      </c>
      <c r="V12" s="10" cm="1">
        <f t="array" ref="V12">ABS(pred_GDP_now!V16-pred_GDP_now!$B16)</f>
        <v>1.9879598671380005E-2</v>
      </c>
      <c r="W12" s="10" cm="1">
        <f t="array" ref="W12">ABS(pred_GDP_now!W16-pred_GDP_now!$B16)</f>
        <v>3.0499067962100002E-2</v>
      </c>
      <c r="X12" s="10" cm="1">
        <f t="array" ref="X12">ABS(pred_GDP_now!X16-pred_GDP_now!$B16)</f>
        <v>0.10333727777910995</v>
      </c>
      <c r="Y12" s="10" cm="1">
        <f t="array" ref="Y12">ABS(pred_GDP_now!Y16-pred_GDP_now!$B16)</f>
        <v>0.1146718642245701</v>
      </c>
      <c r="Z12" s="10" cm="1">
        <f t="array" ref="Z12">ABS(pred_GDP_now!Z16-pred_GDP_now!$B16)</f>
        <v>0.29602910111703995</v>
      </c>
    </row>
    <row r="13" spans="1:26" ht="13.8" customHeight="1" x14ac:dyDescent="0.25">
      <c r="A13" s="15">
        <v>40513</v>
      </c>
      <c r="B13" s="16">
        <v>1.4</v>
      </c>
      <c r="C13" s="21" t="e" cm="1">
        <f t="array" ref="C13">ABS(pred_GDP_now!C17-pred_GDP_now!$B17)</f>
        <v>#N/A</v>
      </c>
      <c r="D13" s="10" cm="1">
        <f t="array" ref="D13">ABS(pred_GDP_now!D17-pred_GDP_now!$B17)</f>
        <v>0.14552126655106989</v>
      </c>
      <c r="E13" s="10" cm="1">
        <f t="array" ref="E13">ABS(pred_GDP_now!E17-pred_GDP_now!$B17)</f>
        <v>6.9304818221799902E-2</v>
      </c>
      <c r="F13" s="10" t="e" cm="1">
        <f t="array" ref="F13">ABS(pred_GDP_now!F17-pred_GDP_now!$B17)</f>
        <v>#N/A</v>
      </c>
      <c r="G13" s="10" t="e" cm="1">
        <f t="array" ref="G13">ABS(pred_GDP_now!G17-pred_GDP_now!$B17)</f>
        <v>#N/A</v>
      </c>
      <c r="H13" s="10" t="e" cm="1">
        <f t="array" ref="H13">ABS(pred_GDP_now!H17-pred_GDP_now!$B17)</f>
        <v>#N/A</v>
      </c>
      <c r="I13" s="10" t="e" cm="1">
        <f t="array" ref="I13">ABS(pred_GDP_now!I17-pred_GDP_now!$B17)</f>
        <v>#N/A</v>
      </c>
      <c r="J13" s="10" t="e" cm="1">
        <f t="array" ref="J13">ABS(pred_GDP_now!J17-pred_GDP_now!$B17)</f>
        <v>#N/A</v>
      </c>
      <c r="K13" s="10" cm="1">
        <f t="array" ref="K13">ABS(pred_GDP_now!K17-pred_GDP_now!$B17)</f>
        <v>7.4587316183350127E-2</v>
      </c>
      <c r="L13" s="10" t="e" cm="1">
        <f t="array" ref="L13">ABS(pred_GDP_now!L17-pred_GDP_now!$B17)</f>
        <v>#N/A</v>
      </c>
      <c r="M13" s="10" cm="1">
        <f t="array" ref="M13">ABS(pred_GDP_now!M17-pred_GDP_now!$B17)</f>
        <v>7.5687842332749833E-2</v>
      </c>
      <c r="N13" s="10" cm="1">
        <f t="array" ref="N13">ABS(pred_GDP_now!N17-pred_GDP_now!$B17)</f>
        <v>0.14418640136718985</v>
      </c>
      <c r="O13" s="10" cm="1">
        <f t="array" ref="O13">ABS(pred_GDP_now!O17-pred_GDP_now!$B17)</f>
        <v>0.11048755730707005</v>
      </c>
      <c r="P13" s="10" cm="1">
        <f t="array" ref="P13">ABS(pred_GDP_now!P17-pred_GDP_now!$B17)</f>
        <v>0.21557034727298996</v>
      </c>
      <c r="Q13" s="6"/>
      <c r="R13" s="10" cm="1">
        <f t="array" ref="R13">ABS(pred_GDP_now!R17-pred_GDP_now!$B17)</f>
        <v>6.6456543179340022E-2</v>
      </c>
      <c r="S13" s="10" cm="1">
        <f t="array" ref="S13">ABS(pred_GDP_now!S17-pred_GDP_now!$B17)</f>
        <v>7.5687842332749833E-2</v>
      </c>
      <c r="T13" s="10" cm="1">
        <f t="array" ref="T13">ABS(pred_GDP_now!T17-pred_GDP_now!$B17)</f>
        <v>0.14418640136718985</v>
      </c>
      <c r="U13" s="10" cm="1">
        <f t="array" ref="U13">ABS(pred_GDP_now!U17-pred_GDP_now!$B17)</f>
        <v>7.5687842332749833E-2</v>
      </c>
      <c r="V13" s="10" cm="1">
        <f t="array" ref="V13">ABS(pred_GDP_now!V17-pred_GDP_now!$B17)</f>
        <v>8.5706972017419947E-2</v>
      </c>
      <c r="W13" s="10" cm="1">
        <f t="array" ref="W13">ABS(pred_GDP_now!W17-pred_GDP_now!$B17)</f>
        <v>8.4332224222829932E-2</v>
      </c>
      <c r="X13" s="10" cm="1">
        <f t="array" ref="X13">ABS(pred_GDP_now!X17-pred_GDP_now!$B17)</f>
        <v>9.476432696714987E-2</v>
      </c>
      <c r="Y13" s="10" cm="1">
        <f t="array" ref="Y13">ABS(pred_GDP_now!Y17-pred_GDP_now!$B17)</f>
        <v>7.6683883836509814E-2</v>
      </c>
      <c r="Z13" s="10" cm="1">
        <f t="array" ref="Z13">ABS(pred_GDP_now!Z17-pred_GDP_now!$B17)</f>
        <v>7.6683883836509814E-2</v>
      </c>
    </row>
    <row r="14" spans="1:26" ht="13.8" customHeight="1" x14ac:dyDescent="0.25">
      <c r="A14" s="15">
        <v>40603</v>
      </c>
      <c r="B14" s="16">
        <v>1</v>
      </c>
      <c r="C14" s="21" t="e" cm="1">
        <f t="array" ref="C14">ABS(pred_GDP_now!C18-pred_GDP_now!$B18)</f>
        <v>#N/A</v>
      </c>
      <c r="D14" s="10" cm="1">
        <f t="array" ref="D14">ABS(pred_GDP_now!D18-pred_GDP_now!$B18)</f>
        <v>0.52184873926532993</v>
      </c>
      <c r="E14" s="10" cm="1">
        <f t="array" ref="E14">ABS(pred_GDP_now!E18-pred_GDP_now!$B18)</f>
        <v>0.11088045935776991</v>
      </c>
      <c r="F14" s="10" t="e" cm="1">
        <f t="array" ref="F14">ABS(pred_GDP_now!F18-pred_GDP_now!$B18)</f>
        <v>#N/A</v>
      </c>
      <c r="G14" s="10" t="e" cm="1">
        <f t="array" ref="G14">ABS(pred_GDP_now!G18-pred_GDP_now!$B18)</f>
        <v>#N/A</v>
      </c>
      <c r="H14" s="10" t="e" cm="1">
        <f t="array" ref="H14">ABS(pred_GDP_now!H18-pred_GDP_now!$B18)</f>
        <v>#N/A</v>
      </c>
      <c r="I14" s="10" t="e" cm="1">
        <f t="array" ref="I14">ABS(pred_GDP_now!I18-pred_GDP_now!$B18)</f>
        <v>#N/A</v>
      </c>
      <c r="J14" s="10" t="e" cm="1">
        <f t="array" ref="J14">ABS(pred_GDP_now!J18-pred_GDP_now!$B18)</f>
        <v>#N/A</v>
      </c>
      <c r="K14" s="10" cm="1">
        <f t="array" ref="K14">ABS(pred_GDP_now!K18-pred_GDP_now!$B18)</f>
        <v>0.27732603005910006</v>
      </c>
      <c r="L14" s="10" t="e" cm="1">
        <f t="array" ref="L14">ABS(pred_GDP_now!L18-pred_GDP_now!$B18)</f>
        <v>#N/A</v>
      </c>
      <c r="M14" s="10" cm="1">
        <f t="array" ref="M14">ABS(pred_GDP_now!M18-pred_GDP_now!$B18)</f>
        <v>0.79065496728191009</v>
      </c>
      <c r="N14" s="10" cm="1">
        <f t="array" ref="N14">ABS(pred_GDP_now!N18-pred_GDP_now!$B18)</f>
        <v>2.2081017494201993E-2</v>
      </c>
      <c r="O14" s="10" cm="1">
        <f t="array" ref="O14">ABS(pred_GDP_now!O18-pred_GDP_now!$B18)</f>
        <v>0.35320696258644002</v>
      </c>
      <c r="P14" s="10" cm="1">
        <f t="array" ref="P14">ABS(pred_GDP_now!P18-pred_GDP_now!$B18)</f>
        <v>1.8285237114781001</v>
      </c>
      <c r="Q14" s="6"/>
      <c r="R14" s="10" cm="1">
        <f t="array" ref="R14">ABS(pred_GDP_now!R18-pred_GDP_now!$B18)</f>
        <v>0.5514799789334901</v>
      </c>
      <c r="S14" s="10" cm="1">
        <f t="array" ref="S14">ABS(pred_GDP_now!S18-pred_GDP_now!$B18)</f>
        <v>0.35320696258644002</v>
      </c>
      <c r="T14" s="10" cm="1">
        <f t="array" ref="T14">ABS(pred_GDP_now!T18-pred_GDP_now!$B18)</f>
        <v>0.27732603005910006</v>
      </c>
      <c r="U14" s="10" cm="1">
        <f t="array" ref="U14">ABS(pred_GDP_now!U18-pred_GDP_now!$B18)</f>
        <v>1.1444657757776202</v>
      </c>
      <c r="V14" s="10" cm="1">
        <f t="array" ref="V14">ABS(pred_GDP_now!V18-pred_GDP_now!$B18)</f>
        <v>0.64890502879115997</v>
      </c>
      <c r="W14" s="10" cm="1">
        <f t="array" ref="W14">ABS(pred_GDP_now!W18-pred_GDP_now!$B18)</f>
        <v>0.64717112562060009</v>
      </c>
      <c r="X14" s="10" cm="1">
        <f t="array" ref="X14">ABS(pred_GDP_now!X18-pred_GDP_now!$B18)</f>
        <v>0.61915987263428995</v>
      </c>
      <c r="Y14" s="10" cm="1">
        <f t="array" ref="Y14">ABS(pred_GDP_now!Y18-pred_GDP_now!$B18)</f>
        <v>0.5826311568523499</v>
      </c>
      <c r="Z14" s="10" cm="1">
        <f t="array" ref="Z14">ABS(pred_GDP_now!Z18-pred_GDP_now!$B18)</f>
        <v>0.57091400624719002</v>
      </c>
    </row>
    <row r="15" spans="1:26" ht="13.8" customHeight="1" x14ac:dyDescent="0.25">
      <c r="A15" s="15">
        <v>40695</v>
      </c>
      <c r="B15" s="16">
        <v>0.4</v>
      </c>
      <c r="C15" s="21" t="e" cm="1">
        <f t="array" ref="C15">ABS(pred_GDP_now!C19-pred_GDP_now!$B19)</f>
        <v>#N/A</v>
      </c>
      <c r="D15" s="10" cm="1">
        <f t="array" ref="D15">ABS(pred_GDP_now!D19-pred_GDP_now!$B19)</f>
        <v>0.71076048982053008</v>
      </c>
      <c r="E15" s="10" cm="1">
        <f t="array" ref="E15">ABS(pred_GDP_now!E19-pred_GDP_now!$B19)</f>
        <v>0.440219405865383</v>
      </c>
      <c r="F15" s="10" t="e" cm="1">
        <f t="array" ref="F15">ABS(pred_GDP_now!F19-pred_GDP_now!$B19)</f>
        <v>#N/A</v>
      </c>
      <c r="G15" s="10" t="e" cm="1">
        <f t="array" ref="G15">ABS(pred_GDP_now!G19-pred_GDP_now!$B19)</f>
        <v>#N/A</v>
      </c>
      <c r="H15" s="10" t="e" cm="1">
        <f t="array" ref="H15">ABS(pred_GDP_now!H19-pred_GDP_now!$B19)</f>
        <v>#N/A</v>
      </c>
      <c r="I15" s="10" t="e" cm="1">
        <f t="array" ref="I15">ABS(pred_GDP_now!I19-pred_GDP_now!$B19)</f>
        <v>#N/A</v>
      </c>
      <c r="J15" s="10" t="e" cm="1">
        <f t="array" ref="J15">ABS(pred_GDP_now!J19-pred_GDP_now!$B19)</f>
        <v>#N/A</v>
      </c>
      <c r="K15" s="10" cm="1">
        <f t="array" ref="K15">ABS(pred_GDP_now!K19-pred_GDP_now!$B19)</f>
        <v>0.81595718366695003</v>
      </c>
      <c r="L15" s="10" t="e" cm="1">
        <f t="array" ref="L15">ABS(pred_GDP_now!L19-pred_GDP_now!$B19)</f>
        <v>#N/A</v>
      </c>
      <c r="M15" s="10" cm="1">
        <f t="array" ref="M15">ABS(pred_GDP_now!M19-pred_GDP_now!$B19)</f>
        <v>0.69112361526293997</v>
      </c>
      <c r="N15" s="10" cm="1">
        <f t="array" ref="N15">ABS(pred_GDP_now!N19-pred_GDP_now!$B19)</f>
        <v>0.56934199333190894</v>
      </c>
      <c r="O15" s="10" cm="1">
        <f t="array" ref="O15">ABS(pred_GDP_now!O19-pred_GDP_now!$B19)</f>
        <v>0.17399493953416503</v>
      </c>
      <c r="P15" s="10" cm="1">
        <f t="array" ref="P15">ABS(pred_GDP_now!P19-pred_GDP_now!$B19)</f>
        <v>1.5137055430078599</v>
      </c>
      <c r="Q15" s="6"/>
      <c r="R15" s="10" cm="1">
        <f t="array" ref="R15">ABS(pred_GDP_now!R19-pred_GDP_now!$B19)</f>
        <v>0.65244475591733997</v>
      </c>
      <c r="S15" s="10" cm="1">
        <f t="array" ref="S15">ABS(pred_GDP_now!S19-pred_GDP_now!$B19)</f>
        <v>0.69112361526293997</v>
      </c>
      <c r="T15" s="10" cm="1">
        <f t="array" ref="T15">ABS(pred_GDP_now!T19-pred_GDP_now!$B19)</f>
        <v>0.56934199333190894</v>
      </c>
      <c r="U15" s="10" cm="1">
        <f t="array" ref="U15">ABS(pred_GDP_now!U19-pred_GDP_now!$B19)</f>
        <v>0.69112361526293997</v>
      </c>
      <c r="V15" s="10" cm="1">
        <f t="array" ref="V15">ABS(pred_GDP_now!V19-pred_GDP_now!$B19)</f>
        <v>0.52874957794409294</v>
      </c>
      <c r="W15" s="10" cm="1">
        <f t="array" ref="W15">ABS(pred_GDP_now!W19-pred_GDP_now!$B19)</f>
        <v>0.52882147242328292</v>
      </c>
      <c r="X15" s="10" cm="1">
        <f t="array" ref="X15">ABS(pred_GDP_now!X19-pred_GDP_now!$B19)</f>
        <v>0.52118031334610693</v>
      </c>
      <c r="Y15" s="10" cm="1">
        <f t="array" ref="Y15">ABS(pred_GDP_now!Y19-pred_GDP_now!$B19)</f>
        <v>0.58038304438445398</v>
      </c>
      <c r="Z15" s="10" cm="1">
        <f t="array" ref="Z15">ABS(pred_GDP_now!Z19-pred_GDP_now!$B19)</f>
        <v>0.58038304438445398</v>
      </c>
    </row>
    <row r="16" spans="1:26" ht="13.8" customHeight="1" x14ac:dyDescent="0.25">
      <c r="A16" s="15">
        <v>40787</v>
      </c>
      <c r="B16" s="16">
        <v>0.5</v>
      </c>
      <c r="C16" s="21" t="e" cm="1">
        <f t="array" ref="C16">ABS(pred_GDP_now!C20-pred_GDP_now!$B20)</f>
        <v>#N/A</v>
      </c>
      <c r="D16" s="10" cm="1">
        <f t="array" ref="D16">ABS(pred_GDP_now!D20-pred_GDP_now!$B20)</f>
        <v>0.64756033018146009</v>
      </c>
      <c r="E16" s="10" cm="1">
        <f t="array" ref="E16">ABS(pred_GDP_now!E20-pred_GDP_now!$B20)</f>
        <v>0.58490617047554005</v>
      </c>
      <c r="F16" s="10" t="e" cm="1">
        <f t="array" ref="F16">ABS(pred_GDP_now!F20-pred_GDP_now!$B20)</f>
        <v>#N/A</v>
      </c>
      <c r="G16" s="10" t="e" cm="1">
        <f t="array" ref="G16">ABS(pred_GDP_now!G20-pred_GDP_now!$B20)</f>
        <v>#N/A</v>
      </c>
      <c r="H16" s="10" t="e" cm="1">
        <f t="array" ref="H16">ABS(pred_GDP_now!H20-pred_GDP_now!$B20)</f>
        <v>#N/A</v>
      </c>
      <c r="I16" s="10" t="e" cm="1">
        <f t="array" ref="I16">ABS(pred_GDP_now!I20-pred_GDP_now!$B20)</f>
        <v>#N/A</v>
      </c>
      <c r="J16" s="10" t="e" cm="1">
        <f t="array" ref="J16">ABS(pred_GDP_now!J20-pred_GDP_now!$B20)</f>
        <v>#N/A</v>
      </c>
      <c r="K16" s="10" cm="1">
        <f t="array" ref="K16">ABS(pred_GDP_now!K20-pred_GDP_now!$B20)</f>
        <v>0.90235944840021998</v>
      </c>
      <c r="L16" s="10" t="e" cm="1">
        <f t="array" ref="L16">ABS(pred_GDP_now!L20-pred_GDP_now!$B20)</f>
        <v>#N/A</v>
      </c>
      <c r="M16" s="10" cm="1">
        <f t="array" ref="M16">ABS(pred_GDP_now!M20-pred_GDP_now!$B20)</f>
        <v>0.40094936071611798</v>
      </c>
      <c r="N16" s="10" cm="1">
        <f t="array" ref="N16">ABS(pred_GDP_now!N20-pred_GDP_now!$B20)</f>
        <v>0.36733627319335904</v>
      </c>
      <c r="O16" s="10" cm="1">
        <f t="array" ref="O16">ABS(pred_GDP_now!O20-pred_GDP_now!$B20)</f>
        <v>0.10897790051876499</v>
      </c>
      <c r="P16" s="10" cm="1">
        <f t="array" ref="P16">ABS(pred_GDP_now!P20-pred_GDP_now!$B20)</f>
        <v>0.6442332745003001</v>
      </c>
      <c r="Q16" s="6"/>
      <c r="R16" s="10" cm="1">
        <f t="array" ref="R16">ABS(pred_GDP_now!R20-pred_GDP_now!$B20)</f>
        <v>0.49119527956403297</v>
      </c>
      <c r="S16" s="10" cm="1">
        <f t="array" ref="S16">ABS(pred_GDP_now!S20-pred_GDP_now!$B20)</f>
        <v>0.58490617047554005</v>
      </c>
      <c r="T16" s="10" cm="1">
        <f t="array" ref="T16">ABS(pred_GDP_now!T20-pred_GDP_now!$B20)</f>
        <v>0.36733627319335904</v>
      </c>
      <c r="U16" s="10" cm="1">
        <f t="array" ref="U16">ABS(pred_GDP_now!U20-pred_GDP_now!$B20)</f>
        <v>0.58490617047554005</v>
      </c>
      <c r="V16" s="10" cm="1">
        <f t="array" ref="V16">ABS(pred_GDP_now!V20-pred_GDP_now!$B20)</f>
        <v>0.45287741189831099</v>
      </c>
      <c r="W16" s="10" cm="1">
        <f t="array" ref="W16">ABS(pred_GDP_now!W20-pred_GDP_now!$B20)</f>
        <v>0.45388791428682695</v>
      </c>
      <c r="X16" s="10" cm="1">
        <f t="array" ref="X16">ABS(pred_GDP_now!X20-pred_GDP_now!$B20)</f>
        <v>0.45174451392382098</v>
      </c>
      <c r="Y16" s="10" cm="1">
        <f t="array" ref="Y16">ABS(pred_GDP_now!Y20-pred_GDP_now!$B20)</f>
        <v>0.46639504224842199</v>
      </c>
      <c r="Z16" s="10" cm="1">
        <f t="array" ref="Z16">ABS(pred_GDP_now!Z20-pred_GDP_now!$B20)</f>
        <v>0.46624129501320599</v>
      </c>
    </row>
    <row r="17" spans="1:26" ht="13.8" customHeight="1" x14ac:dyDescent="0.25">
      <c r="A17" s="15">
        <v>40878</v>
      </c>
      <c r="B17" s="16">
        <v>0.7</v>
      </c>
      <c r="C17" s="21" t="e" cm="1">
        <f t="array" ref="C17">ABS(pred_GDP_now!C21-pred_GDP_now!$B21)</f>
        <v>#N/A</v>
      </c>
      <c r="D17" s="10" cm="1">
        <f t="array" ref="D17">ABS(pred_GDP_now!D21-pred_GDP_now!$B21)</f>
        <v>0.35471969393758007</v>
      </c>
      <c r="E17" s="10" cm="1">
        <f t="array" ref="E17">ABS(pred_GDP_now!E21-pred_GDP_now!$B21)</f>
        <v>0.31907131000036015</v>
      </c>
      <c r="F17" s="10" t="e" cm="1">
        <f t="array" ref="F17">ABS(pred_GDP_now!F21-pred_GDP_now!$B21)</f>
        <v>#N/A</v>
      </c>
      <c r="G17" s="10" t="e" cm="1">
        <f t="array" ref="G17">ABS(pred_GDP_now!G21-pred_GDP_now!$B21)</f>
        <v>#N/A</v>
      </c>
      <c r="H17" s="10" t="e" cm="1">
        <f t="array" ref="H17">ABS(pred_GDP_now!H21-pred_GDP_now!$B21)</f>
        <v>#N/A</v>
      </c>
      <c r="I17" s="10" t="e" cm="1">
        <f t="array" ref="I17">ABS(pred_GDP_now!I21-pred_GDP_now!$B21)</f>
        <v>#N/A</v>
      </c>
      <c r="J17" s="10" t="e" cm="1">
        <f t="array" ref="J17">ABS(pred_GDP_now!J21-pred_GDP_now!$B21)</f>
        <v>#N/A</v>
      </c>
      <c r="K17" s="10" cm="1">
        <f t="array" ref="K17">ABS(pred_GDP_now!K21-pred_GDP_now!$B21)</f>
        <v>0.40029888162607197</v>
      </c>
      <c r="L17" s="10" t="e" cm="1">
        <f t="array" ref="L17">ABS(pred_GDP_now!L21-pred_GDP_now!$B21)</f>
        <v>#N/A</v>
      </c>
      <c r="M17" s="10" cm="1">
        <f t="array" ref="M17">ABS(pred_GDP_now!M21-pred_GDP_now!$B21)</f>
        <v>0.29284893332142903</v>
      </c>
      <c r="N17" s="10" cm="1">
        <f t="array" ref="N17">ABS(pred_GDP_now!N21-pred_GDP_now!$B21)</f>
        <v>0.27809618711471606</v>
      </c>
      <c r="O17" s="10" cm="1">
        <f t="array" ref="O17">ABS(pred_GDP_now!O21-pred_GDP_now!$B21)</f>
        <v>0.73218829905478788</v>
      </c>
      <c r="P17" s="10" cm="1">
        <f t="array" ref="P17">ABS(pred_GDP_now!P21-pred_GDP_now!$B21)</f>
        <v>0.6549224030528159</v>
      </c>
      <c r="Q17" s="6"/>
      <c r="R17" s="10" cm="1">
        <f t="array" ref="R17">ABS(pred_GDP_now!R21-pred_GDP_now!$B21)</f>
        <v>7.752477990851292E-2</v>
      </c>
      <c r="S17" s="10" cm="1">
        <f t="array" ref="S17">ABS(pred_GDP_now!S21-pred_GDP_now!$B21)</f>
        <v>0.27809618711471606</v>
      </c>
      <c r="T17" s="10" cm="1">
        <f t="array" ref="T17">ABS(pred_GDP_now!T21-pred_GDP_now!$B21)</f>
        <v>0.27809618711471606</v>
      </c>
      <c r="U17" s="10" cm="1">
        <f t="array" ref="U17">ABS(pred_GDP_now!U21-pred_GDP_now!$B21)</f>
        <v>7.5746896633416938E-2</v>
      </c>
      <c r="V17" s="10" cm="1">
        <f t="array" ref="V17">ABS(pred_GDP_now!V21-pred_GDP_now!$B21)</f>
        <v>1.8020706595424985E-2</v>
      </c>
      <c r="W17" s="10" cm="1">
        <f t="array" ref="W17">ABS(pred_GDP_now!W21-pred_GDP_now!$B21)</f>
        <v>1.7415674485947941E-2</v>
      </c>
      <c r="X17" s="10" cm="1">
        <f t="array" ref="X17">ABS(pred_GDP_now!X21-pred_GDP_now!$B21)</f>
        <v>0.23335176044204897</v>
      </c>
      <c r="Y17" s="10" cm="1">
        <f t="array" ref="Y17">ABS(pred_GDP_now!Y21-pred_GDP_now!$B21)</f>
        <v>2.2529234532851938E-2</v>
      </c>
      <c r="Z17" s="10" cm="1">
        <f t="array" ref="Z17">ABS(pred_GDP_now!Z21-pred_GDP_now!$B21)</f>
        <v>3.5472198852722903E-2</v>
      </c>
    </row>
    <row r="18" spans="1:26" ht="13.8" customHeight="1" x14ac:dyDescent="0.25">
      <c r="A18" s="15">
        <v>40969</v>
      </c>
      <c r="B18" s="16">
        <v>1</v>
      </c>
      <c r="C18" s="21" t="e" cm="1">
        <f t="array" ref="C18">ABS(pred_GDP_now!C22-pred_GDP_now!$B22)</f>
        <v>#N/A</v>
      </c>
      <c r="D18" s="10" cm="1">
        <f t="array" ref="D18">ABS(pred_GDP_now!D22-pred_GDP_now!$B22)</f>
        <v>0.39190089707135001</v>
      </c>
      <c r="E18" s="10" cm="1">
        <f t="array" ref="E18">ABS(pred_GDP_now!E22-pred_GDP_now!$B22)</f>
        <v>0.29880557730306001</v>
      </c>
      <c r="F18" s="10" t="e" cm="1">
        <f t="array" ref="F18">ABS(pred_GDP_now!F22-pred_GDP_now!$B22)</f>
        <v>#N/A</v>
      </c>
      <c r="G18" s="10" t="e" cm="1">
        <f t="array" ref="G18">ABS(pred_GDP_now!G22-pred_GDP_now!$B22)</f>
        <v>#N/A</v>
      </c>
      <c r="H18" s="10" t="e" cm="1">
        <f t="array" ref="H18">ABS(pred_GDP_now!H22-pred_GDP_now!$B22)</f>
        <v>#N/A</v>
      </c>
      <c r="I18" s="10" t="e" cm="1">
        <f t="array" ref="I18">ABS(pred_GDP_now!I22-pred_GDP_now!$B22)</f>
        <v>#N/A</v>
      </c>
      <c r="J18" s="10" t="e" cm="1">
        <f t="array" ref="J18">ABS(pred_GDP_now!J22-pred_GDP_now!$B22)</f>
        <v>#N/A</v>
      </c>
      <c r="K18" s="10" cm="1">
        <f t="array" ref="K18">ABS(pred_GDP_now!K22-pred_GDP_now!$B22)</f>
        <v>0.79715920866493994</v>
      </c>
      <c r="L18" s="10" t="e" cm="1">
        <f t="array" ref="L18">ABS(pred_GDP_now!L22-pred_GDP_now!$B22)</f>
        <v>#N/A</v>
      </c>
      <c r="M18" s="10" cm="1">
        <f t="array" ref="M18">ABS(pred_GDP_now!M22-pred_GDP_now!$B22)</f>
        <v>0.31827213564274204</v>
      </c>
      <c r="N18" s="10" cm="1">
        <f t="array" ref="N18">ABS(pred_GDP_now!N22-pred_GDP_now!$B22)</f>
        <v>0.37504476308822599</v>
      </c>
      <c r="O18" s="10" cm="1">
        <f t="array" ref="O18">ABS(pred_GDP_now!O22-pred_GDP_now!$B22)</f>
        <v>0.49549204857449602</v>
      </c>
      <c r="P18" s="10" cm="1">
        <f t="array" ref="P18">ABS(pred_GDP_now!P22-pred_GDP_now!$B22)</f>
        <v>9.9556588641204979E-2</v>
      </c>
      <c r="Q18" s="6"/>
      <c r="R18" s="10" cm="1">
        <f t="array" ref="R18">ABS(pred_GDP_now!R22-pred_GDP_now!$B22)</f>
        <v>2.8500021013240007E-2</v>
      </c>
      <c r="S18" s="10" cm="1">
        <f t="array" ref="S18">ABS(pred_GDP_now!S22-pred_GDP_now!$B22)</f>
        <v>9.9556588641204979E-2</v>
      </c>
      <c r="T18" s="10" cm="1">
        <f t="array" ref="T18">ABS(pred_GDP_now!T22-pred_GDP_now!$B22)</f>
        <v>0.37504476308822599</v>
      </c>
      <c r="U18" s="10" cm="1">
        <f t="array" ref="U18">ABS(pred_GDP_now!U22-pred_GDP_now!$B22)</f>
        <v>9.9556588641204979E-2</v>
      </c>
      <c r="V18" s="10" cm="1">
        <f t="array" ref="V18">ABS(pred_GDP_now!V22-pred_GDP_now!$B22)</f>
        <v>7.432974376034962E-3</v>
      </c>
      <c r="W18" s="10" cm="1">
        <f t="array" ref="W18">ABS(pred_GDP_now!W22-pred_GDP_now!$B22)</f>
        <v>5.0269198786859759E-3</v>
      </c>
      <c r="X18" s="10" cm="1">
        <f t="array" ref="X18">ABS(pred_GDP_now!X22-pred_GDP_now!$B22)</f>
        <v>6.1549706534033022E-2</v>
      </c>
      <c r="Y18" s="10" cm="1">
        <f t="array" ref="Y18">ABS(pred_GDP_now!Y22-pred_GDP_now!$B22)</f>
        <v>1.3222456052550013E-2</v>
      </c>
      <c r="Z18" s="10" cm="1">
        <f t="array" ref="Z18">ABS(pred_GDP_now!Z22-pred_GDP_now!$B22)</f>
        <v>6.1549706534033022E-2</v>
      </c>
    </row>
    <row r="19" spans="1:26" ht="13.8" customHeight="1" x14ac:dyDescent="0.25">
      <c r="A19" s="15">
        <v>41061</v>
      </c>
      <c r="B19" s="16">
        <v>0.4</v>
      </c>
      <c r="C19" s="21" t="e" cm="1">
        <f t="array" ref="C19">ABS(pred_GDP_now!C23-pred_GDP_now!$B23)</f>
        <v>#N/A</v>
      </c>
      <c r="D19" s="10" cm="1">
        <f t="array" ref="D19">ABS(pred_GDP_now!D23-pred_GDP_now!$B23)</f>
        <v>0.9215173275618499</v>
      </c>
      <c r="E19" s="10" cm="1">
        <f t="array" ref="E19">ABS(pred_GDP_now!E23-pred_GDP_now!$B23)</f>
        <v>0.77643909536333988</v>
      </c>
      <c r="F19" s="10" t="e" cm="1">
        <f t="array" ref="F19">ABS(pred_GDP_now!F23-pred_GDP_now!$B23)</f>
        <v>#N/A</v>
      </c>
      <c r="G19" s="10" t="e" cm="1">
        <f t="array" ref="G19">ABS(pred_GDP_now!G23-pred_GDP_now!$B23)</f>
        <v>#N/A</v>
      </c>
      <c r="H19" s="10" t="e" cm="1">
        <f t="array" ref="H19">ABS(pred_GDP_now!H23-pred_GDP_now!$B23)</f>
        <v>#N/A</v>
      </c>
      <c r="I19" s="10" t="e" cm="1">
        <f t="array" ref="I19">ABS(pred_GDP_now!I23-pred_GDP_now!$B23)</f>
        <v>#N/A</v>
      </c>
      <c r="J19" s="10" t="e" cm="1">
        <f t="array" ref="J19">ABS(pred_GDP_now!J23-pred_GDP_now!$B23)</f>
        <v>#N/A</v>
      </c>
      <c r="K19" s="10" cm="1">
        <f t="array" ref="K19">ABS(pred_GDP_now!K23-pred_GDP_now!$B23)</f>
        <v>0.35956041822898999</v>
      </c>
      <c r="L19" s="10" t="e" cm="1">
        <f t="array" ref="L19">ABS(pred_GDP_now!L23-pred_GDP_now!$B23)</f>
        <v>#N/A</v>
      </c>
      <c r="M19" s="10" cm="1">
        <f t="array" ref="M19">ABS(pred_GDP_now!M23-pred_GDP_now!$B23)</f>
        <v>0.10955803612103598</v>
      </c>
      <c r="N19" s="10" cm="1">
        <f t="array" ref="N19">ABS(pred_GDP_now!N23-pred_GDP_now!$B23)</f>
        <v>0.24289474487304696</v>
      </c>
      <c r="O19" s="10" cm="1">
        <f t="array" ref="O19">ABS(pred_GDP_now!O23-pred_GDP_now!$B23)</f>
        <v>0.36996630541167674</v>
      </c>
      <c r="P19" s="10" cm="1">
        <f t="array" ref="P19">ABS(pred_GDP_now!P23-pred_GDP_now!$B23)</f>
        <v>0.42903988851460639</v>
      </c>
      <c r="Q19" s="6"/>
      <c r="R19" s="10" cm="1">
        <f t="array" ref="R19">ABS(pred_GDP_now!R23-pred_GDP_now!$B23)</f>
        <v>0.23013763260314002</v>
      </c>
      <c r="S19" s="10" cm="1">
        <f t="array" ref="S19">ABS(pred_GDP_now!S23-pred_GDP_now!$B23)</f>
        <v>0.24289474487304696</v>
      </c>
      <c r="T19" s="10" cm="1">
        <f t="array" ref="T19">ABS(pred_GDP_now!T23-pred_GDP_now!$B23)</f>
        <v>0.24289474487304696</v>
      </c>
      <c r="U19" s="10" cm="1">
        <f t="array" ref="U19">ABS(pred_GDP_now!U23-pred_GDP_now!$B23)</f>
        <v>0.22624460858337803</v>
      </c>
      <c r="V19" s="10" cm="1">
        <f t="array" ref="V19">ABS(pred_GDP_now!V23-pred_GDP_now!$B23)</f>
        <v>0.28407474983474101</v>
      </c>
      <c r="W19" s="10" cm="1">
        <f t="array" ref="W19">ABS(pred_GDP_now!W23-pred_GDP_now!$B23)</f>
        <v>0.28513877091002593</v>
      </c>
      <c r="X19" s="10" cm="1">
        <f t="array" ref="X19">ABS(pred_GDP_now!X23-pred_GDP_now!$B23)</f>
        <v>0.276349315174923</v>
      </c>
      <c r="Y19" s="10" cm="1">
        <f t="array" ref="Y19">ABS(pred_GDP_now!Y23-pred_GDP_now!$B23)</f>
        <v>0.26259148237063501</v>
      </c>
      <c r="Z19" s="10" cm="1">
        <f t="array" ref="Z19">ABS(pred_GDP_now!Z23-pred_GDP_now!$B23)</f>
        <v>0.24289474487304696</v>
      </c>
    </row>
    <row r="20" spans="1:26" ht="13.8" customHeight="1" x14ac:dyDescent="0.25">
      <c r="A20" s="15">
        <v>41153</v>
      </c>
      <c r="B20" s="16">
        <v>0.4</v>
      </c>
      <c r="C20" s="21" t="e" cm="1">
        <f t="array" ref="C20">ABS(pred_GDP_now!C24-pred_GDP_now!$B24)</f>
        <v>#N/A</v>
      </c>
      <c r="D20" s="10" cm="1">
        <f t="array" ref="D20">ABS(pred_GDP_now!D24-pred_GDP_now!$B24)</f>
        <v>0.60298291017661987</v>
      </c>
      <c r="E20" s="10" cm="1">
        <f t="array" ref="E20">ABS(pred_GDP_now!E24-pred_GDP_now!$B24)</f>
        <v>0.75850451235957006</v>
      </c>
      <c r="F20" s="10" t="e" cm="1">
        <f t="array" ref="F20">ABS(pred_GDP_now!F24-pred_GDP_now!$B24)</f>
        <v>#N/A</v>
      </c>
      <c r="G20" s="10" t="e" cm="1">
        <f t="array" ref="G20">ABS(pred_GDP_now!G24-pred_GDP_now!$B24)</f>
        <v>#N/A</v>
      </c>
      <c r="H20" s="10" t="e" cm="1">
        <f t="array" ref="H20">ABS(pred_GDP_now!H24-pred_GDP_now!$B24)</f>
        <v>#N/A</v>
      </c>
      <c r="I20" s="10" t="e" cm="1">
        <f t="array" ref="I20">ABS(pred_GDP_now!I24-pred_GDP_now!$B24)</f>
        <v>#N/A</v>
      </c>
      <c r="J20" s="10" t="e" cm="1">
        <f t="array" ref="J20">ABS(pred_GDP_now!J24-pred_GDP_now!$B24)</f>
        <v>#N/A</v>
      </c>
      <c r="K20" s="10" cm="1">
        <f t="array" ref="K20">ABS(pred_GDP_now!K24-pred_GDP_now!$B24)</f>
        <v>0.14120035041768197</v>
      </c>
      <c r="L20" s="10" t="e" cm="1">
        <f t="array" ref="L20">ABS(pred_GDP_now!L24-pred_GDP_now!$B24)</f>
        <v>#N/A</v>
      </c>
      <c r="M20" s="10" cm="1">
        <f t="array" ref="M20">ABS(pred_GDP_now!M24-pred_GDP_now!$B24)</f>
        <v>0.27106851278084598</v>
      </c>
      <c r="N20" s="10" cm="1">
        <f t="array" ref="N20">ABS(pred_GDP_now!N24-pred_GDP_now!$B24)</f>
        <v>0.23619804382324194</v>
      </c>
      <c r="O20" s="10" cm="1">
        <f t="array" ref="O20">ABS(pred_GDP_now!O24-pred_GDP_now!$B24)</f>
        <v>0.53850243341488102</v>
      </c>
      <c r="P20" s="10" cm="1">
        <f t="array" ref="P20">ABS(pred_GDP_now!P24-pred_GDP_now!$B24)</f>
        <v>8.0193011308707041E-2</v>
      </c>
      <c r="Q20" s="6"/>
      <c r="R20" s="10" cm="1">
        <f t="array" ref="R20">ABS(pred_GDP_now!R24-pred_GDP_now!$B24)</f>
        <v>0.198751269262053</v>
      </c>
      <c r="S20" s="10" cm="1">
        <f t="array" ref="S20">ABS(pred_GDP_now!S24-pred_GDP_now!$B24)</f>
        <v>0.23619804382324194</v>
      </c>
      <c r="T20" s="10" cm="1">
        <f t="array" ref="T20">ABS(pred_GDP_now!T24-pred_GDP_now!$B24)</f>
        <v>0.23619804382324194</v>
      </c>
      <c r="U20" s="10" cm="1">
        <f t="array" ref="U20">ABS(pred_GDP_now!U24-pred_GDP_now!$B24)</f>
        <v>0.23619804382324194</v>
      </c>
      <c r="V20" s="10" cm="1">
        <f t="array" ref="V20">ABS(pred_GDP_now!V24-pred_GDP_now!$B24)</f>
        <v>0.24973672763960497</v>
      </c>
      <c r="W20" s="10" cm="1">
        <f t="array" ref="W20">ABS(pred_GDP_now!W24-pred_GDP_now!$B24)</f>
        <v>0.24795952293578793</v>
      </c>
      <c r="X20" s="10" cm="1">
        <f t="array" ref="X20">ABS(pred_GDP_now!X24-pred_GDP_now!$B24)</f>
        <v>0.19355868560655098</v>
      </c>
      <c r="Y20" s="10" cm="1">
        <f t="array" ref="Y20">ABS(pred_GDP_now!Y24-pred_GDP_now!$B24)</f>
        <v>0.19124908460586099</v>
      </c>
      <c r="Z20" s="10" cm="1">
        <f t="array" ref="Z20">ABS(pred_GDP_now!Z24-pred_GDP_now!$B24)</f>
        <v>0.23619804382324194</v>
      </c>
    </row>
    <row r="21" spans="1:26" ht="13.8" customHeight="1" x14ac:dyDescent="0.25">
      <c r="A21" s="15">
        <v>41244</v>
      </c>
      <c r="B21" s="16">
        <v>0.7</v>
      </c>
      <c r="C21" s="21" t="e" cm="1">
        <f t="array" ref="C21">ABS(pred_GDP_now!C25-pred_GDP_now!$B25)</f>
        <v>#N/A</v>
      </c>
      <c r="D21" s="10" cm="1">
        <f t="array" ref="D21">ABS(pred_GDP_now!D25-pred_GDP_now!$B25)</f>
        <v>0.87218054540031997</v>
      </c>
      <c r="E21" s="10" cm="1">
        <f t="array" ref="E21">ABS(pred_GDP_now!E25-pred_GDP_now!$B25)</f>
        <v>0.77498838708575013</v>
      </c>
      <c r="F21" s="10" t="e" cm="1">
        <f t="array" ref="F21">ABS(pred_GDP_now!F25-pred_GDP_now!$B25)</f>
        <v>#N/A</v>
      </c>
      <c r="G21" s="10" t="e" cm="1">
        <f t="array" ref="G21">ABS(pred_GDP_now!G25-pred_GDP_now!$B25)</f>
        <v>#N/A</v>
      </c>
      <c r="H21" s="10" t="e" cm="1">
        <f t="array" ref="H21">ABS(pred_GDP_now!H25-pred_GDP_now!$B25)</f>
        <v>#N/A</v>
      </c>
      <c r="I21" s="10" t="e" cm="1">
        <f t="array" ref="I21">ABS(pred_GDP_now!I25-pred_GDP_now!$B25)</f>
        <v>#N/A</v>
      </c>
      <c r="J21" s="10" t="e" cm="1">
        <f t="array" ref="J21">ABS(pred_GDP_now!J25-pred_GDP_now!$B25)</f>
        <v>#N/A</v>
      </c>
      <c r="K21" s="10" cm="1">
        <f t="array" ref="K21">ABS(pred_GDP_now!K25-pred_GDP_now!$B25)</f>
        <v>0.12322217791644208</v>
      </c>
      <c r="L21" s="10" t="e" cm="1">
        <f t="array" ref="L21">ABS(pred_GDP_now!L25-pred_GDP_now!$B25)</f>
        <v>#N/A</v>
      </c>
      <c r="M21" s="10" cm="1">
        <f t="array" ref="M21">ABS(pred_GDP_now!M25-pred_GDP_now!$B25)</f>
        <v>0.13738588308071498</v>
      </c>
      <c r="N21" s="10" cm="1">
        <f t="array" ref="N21">ABS(pred_GDP_now!N25-pred_GDP_now!$B25)</f>
        <v>5.5870842933654963E-2</v>
      </c>
      <c r="O21" s="10" cm="1">
        <f t="array" ref="O21">ABS(pred_GDP_now!O25-pred_GDP_now!$B25)</f>
        <v>0.29658456066876193</v>
      </c>
      <c r="P21" s="10" cm="1">
        <f t="array" ref="P21">ABS(pred_GDP_now!P25-pred_GDP_now!$B25)</f>
        <v>9.3207475416591024E-2</v>
      </c>
      <c r="Q21" s="6"/>
      <c r="R21" s="10" cm="1">
        <f t="array" ref="R21">ABS(pred_GDP_now!R25-pred_GDP_now!$B25)</f>
        <v>0.19625104273371008</v>
      </c>
      <c r="S21" s="10" cm="1">
        <f t="array" ref="S21">ABS(pred_GDP_now!S25-pred_GDP_now!$B25)</f>
        <v>9.3207475416591024E-2</v>
      </c>
      <c r="T21" s="10" cm="1">
        <f t="array" ref="T21">ABS(pred_GDP_now!T25-pred_GDP_now!$B25)</f>
        <v>5.5870842933654963E-2</v>
      </c>
      <c r="U21" s="10" cm="1">
        <f t="array" ref="U21">ABS(pred_GDP_now!U25-pred_GDP_now!$B25)</f>
        <v>9.4841675254237034E-2</v>
      </c>
      <c r="V21" s="10" cm="1">
        <f t="array" ref="V21">ABS(pred_GDP_now!V25-pred_GDP_now!$B25)</f>
        <v>9.9623420902142934E-2</v>
      </c>
      <c r="W21" s="10" cm="1">
        <f t="array" ref="W21">ABS(pred_GDP_now!W25-pred_GDP_now!$B25)</f>
        <v>9.7840913775581906E-2</v>
      </c>
      <c r="X21" s="10" cm="1">
        <f t="array" ref="X21">ABS(pred_GDP_now!X25-pred_GDP_now!$B25)</f>
        <v>4.4294950165548075E-2</v>
      </c>
      <c r="Y21" s="10" cm="1">
        <f t="array" ref="Y21">ABS(pred_GDP_now!Y25-pred_GDP_now!$B25)</f>
        <v>0.16480294526377304</v>
      </c>
      <c r="Z21" s="10" cm="1">
        <f t="array" ref="Z21">ABS(pred_GDP_now!Z25-pred_GDP_now!$B25)</f>
        <v>9.3207475416591024E-2</v>
      </c>
    </row>
    <row r="22" spans="1:26" ht="13.8" customHeight="1" x14ac:dyDescent="0.25">
      <c r="A22" s="15">
        <v>41334</v>
      </c>
      <c r="B22" s="16">
        <v>0.8</v>
      </c>
      <c r="C22" s="21" t="e" cm="1">
        <f t="array" ref="C22">ABS(pred_GDP_now!C26-pred_GDP_now!$B26)</f>
        <v>#N/A</v>
      </c>
      <c r="D22" s="10" cm="1">
        <f t="array" ref="D22">ABS(pred_GDP_now!D26-pred_GDP_now!$B26)</f>
        <v>0.91553161627837998</v>
      </c>
      <c r="E22" s="10" cm="1">
        <f t="array" ref="E22">ABS(pred_GDP_now!E26-pred_GDP_now!$B26)</f>
        <v>0.35765533147981987</v>
      </c>
      <c r="F22" s="10" t="e" cm="1">
        <f t="array" ref="F22">ABS(pred_GDP_now!F26-pred_GDP_now!$B26)</f>
        <v>#N/A</v>
      </c>
      <c r="G22" s="10" t="e" cm="1">
        <f t="array" ref="G22">ABS(pred_GDP_now!G26-pred_GDP_now!$B26)</f>
        <v>#N/A</v>
      </c>
      <c r="H22" s="10" t="e" cm="1">
        <f t="array" ref="H22">ABS(pred_GDP_now!H26-pred_GDP_now!$B26)</f>
        <v>#N/A</v>
      </c>
      <c r="I22" s="10" t="e" cm="1">
        <f t="array" ref="I22">ABS(pred_GDP_now!I26-pred_GDP_now!$B26)</f>
        <v>#N/A</v>
      </c>
      <c r="J22" s="10" t="e" cm="1">
        <f t="array" ref="J22">ABS(pred_GDP_now!J26-pred_GDP_now!$B26)</f>
        <v>#N/A</v>
      </c>
      <c r="K22" s="10" cm="1">
        <f t="array" ref="K22">ABS(pred_GDP_now!K26-pred_GDP_now!$B26)</f>
        <v>9.0417970943942994E-2</v>
      </c>
      <c r="L22" s="10" t="e" cm="1">
        <f t="array" ref="L22">ABS(pred_GDP_now!L26-pred_GDP_now!$B26)</f>
        <v>#N/A</v>
      </c>
      <c r="M22" s="10" cm="1">
        <f t="array" ref="M22">ABS(pred_GDP_now!M26-pred_GDP_now!$B26)</f>
        <v>0.57940630156163997</v>
      </c>
      <c r="N22" s="10" cm="1">
        <f t="array" ref="N22">ABS(pred_GDP_now!N26-pred_GDP_now!$B26)</f>
        <v>0.42557449340819997</v>
      </c>
      <c r="O22" s="10" cm="1">
        <f t="array" ref="O22">ABS(pred_GDP_now!O26-pred_GDP_now!$B26)</f>
        <v>0.26595144900620205</v>
      </c>
      <c r="P22" s="10" cm="1">
        <f t="array" ref="P22">ABS(pred_GDP_now!P26-pred_GDP_now!$B26)</f>
        <v>0.17084740265198595</v>
      </c>
      <c r="Q22" s="6"/>
      <c r="R22" s="10" cm="1">
        <f t="array" ref="R22">ABS(pred_GDP_now!R26-pred_GDP_now!$B26)</f>
        <v>0.32478309533110994</v>
      </c>
      <c r="S22" s="10" cm="1">
        <f t="array" ref="S22">ABS(pred_GDP_now!S26-pred_GDP_now!$B26)</f>
        <v>0.35765533147981987</v>
      </c>
      <c r="T22" s="10" cm="1">
        <f t="array" ref="T22">ABS(pred_GDP_now!T26-pred_GDP_now!$B26)</f>
        <v>0.42557449340819997</v>
      </c>
      <c r="U22" s="10" cm="1">
        <f t="array" ref="U22">ABS(pred_GDP_now!U26-pred_GDP_now!$B26)</f>
        <v>0.35765533147981987</v>
      </c>
      <c r="V22" s="10" cm="1">
        <f t="array" ref="V22">ABS(pred_GDP_now!V26-pred_GDP_now!$B26)</f>
        <v>0.33997587941759</v>
      </c>
      <c r="W22" s="10" cm="1">
        <f t="array" ref="W22">ABS(pred_GDP_now!W26-pred_GDP_now!$B26)</f>
        <v>0.33610695913317001</v>
      </c>
      <c r="X22" s="10" cm="1">
        <f t="array" ref="X22">ABS(pred_GDP_now!X26-pred_GDP_now!$B26)</f>
        <v>0.33164037708152994</v>
      </c>
      <c r="Y22" s="10" cm="1">
        <f t="array" ref="Y22">ABS(pred_GDP_now!Y26-pred_GDP_now!$B26)</f>
        <v>0.30329588290324994</v>
      </c>
      <c r="Z22" s="10" cm="1">
        <f t="array" ref="Z22">ABS(pred_GDP_now!Z26-pred_GDP_now!$B26)</f>
        <v>0.33997587941759</v>
      </c>
    </row>
    <row r="23" spans="1:26" ht="13.8" customHeight="1" x14ac:dyDescent="0.25">
      <c r="A23" s="15">
        <v>41426</v>
      </c>
      <c r="B23" s="16">
        <v>1.1000000000000001</v>
      </c>
      <c r="C23" s="21" t="e" cm="1">
        <f t="array" ref="C23">ABS(pred_GDP_now!C27-pred_GDP_now!$B27)</f>
        <v>#N/A</v>
      </c>
      <c r="D23" s="10" cm="1">
        <f t="array" ref="D23">ABS(pred_GDP_now!D27-pred_GDP_now!$B27)</f>
        <v>0.11202060350107002</v>
      </c>
      <c r="E23" s="10" cm="1">
        <f t="array" ref="E23">ABS(pred_GDP_now!E27-pred_GDP_now!$B27)</f>
        <v>0.18255663736193983</v>
      </c>
      <c r="F23" s="10" t="e" cm="1">
        <f t="array" ref="F23">ABS(pred_GDP_now!F27-pred_GDP_now!$B27)</f>
        <v>#N/A</v>
      </c>
      <c r="G23" s="10" t="e" cm="1">
        <f t="array" ref="G23">ABS(pred_GDP_now!G27-pred_GDP_now!$B27)</f>
        <v>#N/A</v>
      </c>
      <c r="H23" s="10" t="e" cm="1">
        <f t="array" ref="H23">ABS(pred_GDP_now!H27-pred_GDP_now!$B27)</f>
        <v>#N/A</v>
      </c>
      <c r="I23" s="10" t="e" cm="1">
        <f t="array" ref="I23">ABS(pred_GDP_now!I27-pred_GDP_now!$B27)</f>
        <v>#N/A</v>
      </c>
      <c r="J23" s="10" t="e" cm="1">
        <f t="array" ref="J23">ABS(pred_GDP_now!J27-pred_GDP_now!$B27)</f>
        <v>#N/A</v>
      </c>
      <c r="K23" s="10" cm="1">
        <f t="array" ref="K23">ABS(pred_GDP_now!K27-pred_GDP_now!$B27)</f>
        <v>0.39002009360380008</v>
      </c>
      <c r="L23" s="10" t="e" cm="1">
        <f t="array" ref="L23">ABS(pred_GDP_now!L27-pred_GDP_now!$B27)</f>
        <v>#N/A</v>
      </c>
      <c r="M23" s="10" cm="1">
        <f t="array" ref="M23">ABS(pred_GDP_now!M27-pred_GDP_now!$B27)</f>
        <v>0.34844672477815908</v>
      </c>
      <c r="N23" s="10" cm="1">
        <f t="array" ref="N23">ABS(pred_GDP_now!N27-pred_GDP_now!$B27)</f>
        <v>0.33074238300323988</v>
      </c>
      <c r="O23" s="10" cm="1">
        <f t="array" ref="O23">ABS(pred_GDP_now!O27-pred_GDP_now!$B27)</f>
        <v>0.92572270232518405</v>
      </c>
      <c r="P23" s="10" cm="1">
        <f t="array" ref="P23">ABS(pred_GDP_now!P27-pred_GDP_now!$B27)</f>
        <v>0.60174201887781009</v>
      </c>
      <c r="Q23" s="6"/>
      <c r="R23" s="10" cm="1">
        <f t="array" ref="R23">ABS(pred_GDP_now!R27-pred_GDP_now!$B27)</f>
        <v>0.2343731308169571</v>
      </c>
      <c r="S23" s="10" cm="1">
        <f t="array" ref="S23">ABS(pred_GDP_now!S27-pred_GDP_now!$B27)</f>
        <v>0.34844672477815908</v>
      </c>
      <c r="T23" s="10" cm="1">
        <f t="array" ref="T23">ABS(pred_GDP_now!T27-pred_GDP_now!$B27)</f>
        <v>0.39002009360380008</v>
      </c>
      <c r="U23" s="10" cm="1">
        <f t="array" ref="U23">ABS(pred_GDP_now!U27-pred_GDP_now!$B27)</f>
        <v>0.35704887760402604</v>
      </c>
      <c r="V23" s="10" cm="1">
        <f t="array" ref="V23">ABS(pred_GDP_now!V27-pred_GDP_now!$B27)</f>
        <v>0.34208535975044607</v>
      </c>
      <c r="W23" s="10" cm="1">
        <f t="array" ref="W23">ABS(pred_GDP_now!W27-pred_GDP_now!$B27)</f>
        <v>0.34239956760108314</v>
      </c>
      <c r="X23" s="10" cm="1">
        <f t="array" ref="X23">ABS(pred_GDP_now!X27-pred_GDP_now!$B27)</f>
        <v>0.32788989525756806</v>
      </c>
      <c r="Y23" s="10" cm="1">
        <f t="array" ref="Y23">ABS(pred_GDP_now!Y27-pred_GDP_now!$B27)</f>
        <v>0.27655384119084914</v>
      </c>
      <c r="Z23" s="10" cm="1">
        <f t="array" ref="Z23">ABS(pred_GDP_now!Z27-pred_GDP_now!$B27)</f>
        <v>0.34249612871866009</v>
      </c>
    </row>
    <row r="24" spans="1:26" ht="13.8" customHeight="1" x14ac:dyDescent="0.25">
      <c r="A24" s="15">
        <v>41518</v>
      </c>
      <c r="B24" s="16">
        <v>1</v>
      </c>
      <c r="C24" s="21" t="e" cm="1">
        <f t="array" ref="C24">ABS(pred_GDP_now!C28-pred_GDP_now!$B28)</f>
        <v>#N/A</v>
      </c>
      <c r="D24" s="10" cm="1">
        <f t="array" ref="D24">ABS(pred_GDP_now!D28-pred_GDP_now!$B28)</f>
        <v>0.34719610047557992</v>
      </c>
      <c r="E24" s="10" cm="1">
        <f t="array" ref="E24">ABS(pred_GDP_now!E28-pred_GDP_now!$B28)</f>
        <v>0.51999297003957001</v>
      </c>
      <c r="F24" s="10" t="e" cm="1">
        <f t="array" ref="F24">ABS(pred_GDP_now!F28-pred_GDP_now!$B28)</f>
        <v>#N/A</v>
      </c>
      <c r="G24" s="10" t="e" cm="1">
        <f t="array" ref="G24">ABS(pred_GDP_now!G28-pred_GDP_now!$B28)</f>
        <v>#N/A</v>
      </c>
      <c r="H24" s="10" t="e" cm="1">
        <f t="array" ref="H24">ABS(pred_GDP_now!H28-pred_GDP_now!$B28)</f>
        <v>#N/A</v>
      </c>
      <c r="I24" s="10" t="e" cm="1">
        <f t="array" ref="I24">ABS(pred_GDP_now!I28-pred_GDP_now!$B28)</f>
        <v>#N/A</v>
      </c>
      <c r="J24" s="10" t="e" cm="1">
        <f t="array" ref="J24">ABS(pred_GDP_now!J28-pred_GDP_now!$B28)</f>
        <v>#N/A</v>
      </c>
      <c r="K24" s="10" cm="1">
        <f t="array" ref="K24">ABS(pred_GDP_now!K28-pred_GDP_now!$B28)</f>
        <v>0.24808597425171897</v>
      </c>
      <c r="L24" s="10" t="e" cm="1">
        <f t="array" ref="L24">ABS(pred_GDP_now!L28-pred_GDP_now!$B28)</f>
        <v>#N/A</v>
      </c>
      <c r="M24" s="10" cm="1">
        <f t="array" ref="M24">ABS(pred_GDP_now!M28-pred_GDP_now!$B28)</f>
        <v>0.12827103168535603</v>
      </c>
      <c r="N24" s="10" cm="1">
        <f t="array" ref="N24">ABS(pred_GDP_now!N28-pred_GDP_now!$B28)</f>
        <v>0.19877982139587003</v>
      </c>
      <c r="O24" s="10" cm="1">
        <f t="array" ref="O24">ABS(pred_GDP_now!O28-pred_GDP_now!$B28)</f>
        <v>1.183815695643577</v>
      </c>
      <c r="P24" s="10" cm="1">
        <f t="array" ref="P24">ABS(pred_GDP_now!P28-pred_GDP_now!$B28)</f>
        <v>0.61904407514696103</v>
      </c>
      <c r="Q24" s="6"/>
      <c r="R24" s="10" cm="1">
        <f t="array" ref="R24">ABS(pred_GDP_now!R28-pred_GDP_now!$B28)</f>
        <v>0.15903541211665595</v>
      </c>
      <c r="S24" s="10" cm="1">
        <f t="array" ref="S24">ABS(pred_GDP_now!S28-pred_GDP_now!$B28)</f>
        <v>0.12827103168535603</v>
      </c>
      <c r="T24" s="10" cm="1">
        <f t="array" ref="T24">ABS(pred_GDP_now!T28-pred_GDP_now!$B28)</f>
        <v>0.24808597425171897</v>
      </c>
      <c r="U24" s="10" cm="1">
        <f t="array" ref="U24">ABS(pred_GDP_now!U28-pred_GDP_now!$B28)</f>
        <v>0.19672454929679895</v>
      </c>
      <c r="V24" s="10" cm="1">
        <f t="array" ref="V24">ABS(pred_GDP_now!V28-pred_GDP_now!$B28)</f>
        <v>0.19928499999247795</v>
      </c>
      <c r="W24" s="10" cm="1">
        <f t="array" ref="W24">ABS(pred_GDP_now!W28-pred_GDP_now!$B28)</f>
        <v>0.19939191843382797</v>
      </c>
      <c r="X24" s="10" cm="1">
        <f t="array" ref="X24">ABS(pred_GDP_now!X28-pred_GDP_now!$B28)</f>
        <v>0.19603510802152402</v>
      </c>
      <c r="Y24" s="10" cm="1">
        <f t="array" ref="Y24">ABS(pred_GDP_now!Y28-pred_GDP_now!$B28)</f>
        <v>0.174851461006713</v>
      </c>
      <c r="Z24" s="10" cm="1">
        <f t="array" ref="Z24">ABS(pred_GDP_now!Z28-pred_GDP_now!$B28)</f>
        <v>0.19603510802152402</v>
      </c>
    </row>
    <row r="25" spans="1:26" ht="13.8" customHeight="1" x14ac:dyDescent="0.25">
      <c r="A25" s="15">
        <v>41609</v>
      </c>
      <c r="B25" s="16">
        <v>0.9</v>
      </c>
      <c r="C25" s="21" t="e" cm="1">
        <f t="array" ref="C25">ABS(pred_GDP_now!C29-pred_GDP_now!$B29)</f>
        <v>#N/A</v>
      </c>
      <c r="D25" s="10" cm="1">
        <f t="array" ref="D25">ABS(pred_GDP_now!D29-pred_GDP_now!$B29)</f>
        <v>0.61470712602374988</v>
      </c>
      <c r="E25" s="10" cm="1">
        <f t="array" ref="E25">ABS(pred_GDP_now!E29-pred_GDP_now!$B29)</f>
        <v>0.36357984996836989</v>
      </c>
      <c r="F25" s="10" t="e" cm="1">
        <f t="array" ref="F25">ABS(pred_GDP_now!F29-pred_GDP_now!$B29)</f>
        <v>#N/A</v>
      </c>
      <c r="G25" s="10" t="e" cm="1">
        <f t="array" ref="G25">ABS(pred_GDP_now!G29-pred_GDP_now!$B29)</f>
        <v>#N/A</v>
      </c>
      <c r="H25" s="10" t="e" cm="1">
        <f t="array" ref="H25">ABS(pred_GDP_now!H29-pred_GDP_now!$B29)</f>
        <v>#N/A</v>
      </c>
      <c r="I25" s="10" t="e" cm="1">
        <f t="array" ref="I25">ABS(pred_GDP_now!I29-pred_GDP_now!$B29)</f>
        <v>#N/A</v>
      </c>
      <c r="J25" s="10" t="e" cm="1">
        <f t="array" ref="J25">ABS(pred_GDP_now!J29-pred_GDP_now!$B29)</f>
        <v>#N/A</v>
      </c>
      <c r="K25" s="10" cm="1">
        <f t="array" ref="K25">ABS(pred_GDP_now!K29-pred_GDP_now!$B29)</f>
        <v>0.33403619341915991</v>
      </c>
      <c r="L25" s="10" t="e" cm="1">
        <f t="array" ref="L25">ABS(pred_GDP_now!L29-pred_GDP_now!$B29)</f>
        <v>#N/A</v>
      </c>
      <c r="M25" s="10" cm="1">
        <f t="array" ref="M25">ABS(pred_GDP_now!M29-pred_GDP_now!$B29)</f>
        <v>0.61958705547661996</v>
      </c>
      <c r="N25" s="10" cm="1">
        <f t="array" ref="N25">ABS(pred_GDP_now!N29-pred_GDP_now!$B29)</f>
        <v>0.28990898132323994</v>
      </c>
      <c r="O25" s="10" cm="1">
        <f t="array" ref="O25">ABS(pred_GDP_now!O29-pred_GDP_now!$B29)</f>
        <v>0.461694429855734</v>
      </c>
      <c r="P25" s="10" cm="1">
        <f t="array" ref="P25">ABS(pred_GDP_now!P29-pred_GDP_now!$B29)</f>
        <v>6.8117196175197958E-2</v>
      </c>
      <c r="Q25" s="6"/>
      <c r="R25" s="10" cm="1">
        <f t="array" ref="R25">ABS(pred_GDP_now!R29-pred_GDP_now!$B29)</f>
        <v>0.26117742464722993</v>
      </c>
      <c r="S25" s="10" cm="1">
        <f t="array" ref="S25">ABS(pred_GDP_now!S29-pred_GDP_now!$B29)</f>
        <v>0.33403619341915991</v>
      </c>
      <c r="T25" s="10" cm="1">
        <f t="array" ref="T25">ABS(pred_GDP_now!T29-pred_GDP_now!$B29)</f>
        <v>0.33403619341915991</v>
      </c>
      <c r="U25" s="10" cm="1">
        <f t="array" ref="U25">ABS(pred_GDP_now!U29-pred_GDP_now!$B29)</f>
        <v>0.33403619341915991</v>
      </c>
      <c r="V25" s="10" cm="1">
        <f t="array" ref="V25">ABS(pred_GDP_now!V29-pred_GDP_now!$B29)</f>
        <v>0.35504314803873005</v>
      </c>
      <c r="W25" s="10" cm="1">
        <f t="array" ref="W25">ABS(pred_GDP_now!W29-pred_GDP_now!$B29)</f>
        <v>0.35495225371397987</v>
      </c>
      <c r="X25" s="10" cm="1">
        <f t="array" ref="X25">ABS(pred_GDP_now!X29-pred_GDP_now!$B29)</f>
        <v>0.33157923280093005</v>
      </c>
      <c r="Y25" s="10" cm="1">
        <f t="array" ref="Y25">ABS(pred_GDP_now!Y29-pred_GDP_now!$B29)</f>
        <v>0.29127433111053003</v>
      </c>
      <c r="Z25" s="10" cm="1">
        <f t="array" ref="Z25">ABS(pred_GDP_now!Z29-pred_GDP_now!$B29)</f>
        <v>0.33403619341915991</v>
      </c>
    </row>
    <row r="26" spans="1:26" ht="13.8" customHeight="1" x14ac:dyDescent="0.25">
      <c r="A26" s="15">
        <v>41699</v>
      </c>
      <c r="B26" s="16">
        <v>0.8</v>
      </c>
      <c r="C26" s="21" t="e" cm="1">
        <f t="array" ref="C26">ABS(pred_GDP_now!C30-pred_GDP_now!$B30)</f>
        <v>#N/A</v>
      </c>
      <c r="D26" s="10" cm="1">
        <f t="array" ref="D26">ABS(pred_GDP_now!D30-pred_GDP_now!$B30)</f>
        <v>0.70104981684364986</v>
      </c>
      <c r="E26" s="10" cm="1">
        <f t="array" ref="E26">ABS(pred_GDP_now!E30-pred_GDP_now!$B30)</f>
        <v>0.39201105116086987</v>
      </c>
      <c r="F26" s="10" t="e" cm="1">
        <f t="array" ref="F26">ABS(pred_GDP_now!F30-pred_GDP_now!$B30)</f>
        <v>#N/A</v>
      </c>
      <c r="G26" s="10" t="e" cm="1">
        <f t="array" ref="G26">ABS(pred_GDP_now!G30-pred_GDP_now!$B30)</f>
        <v>#N/A</v>
      </c>
      <c r="H26" s="10" t="e" cm="1">
        <f t="array" ref="H26">ABS(pred_GDP_now!H30-pred_GDP_now!$B30)</f>
        <v>#N/A</v>
      </c>
      <c r="I26" s="10" t="e" cm="1">
        <f t="array" ref="I26">ABS(pred_GDP_now!I30-pred_GDP_now!$B30)</f>
        <v>#N/A</v>
      </c>
      <c r="J26" s="10" t="e" cm="1">
        <f t="array" ref="J26">ABS(pred_GDP_now!J30-pred_GDP_now!$B30)</f>
        <v>#N/A</v>
      </c>
      <c r="K26" s="10" cm="1">
        <f t="array" ref="K26">ABS(pred_GDP_now!K30-pred_GDP_now!$B30)</f>
        <v>3.8980470830837E-2</v>
      </c>
      <c r="L26" s="10" t="e" cm="1">
        <f t="array" ref="L26">ABS(pred_GDP_now!L30-pred_GDP_now!$B30)</f>
        <v>#N/A</v>
      </c>
      <c r="M26" s="10" cm="1">
        <f t="array" ref="M26">ABS(pred_GDP_now!M30-pred_GDP_now!$B30)</f>
        <v>6.8440613559685004E-2</v>
      </c>
      <c r="N26" s="10" cm="1">
        <f t="array" ref="N26">ABS(pred_GDP_now!N30-pred_GDP_now!$B30)</f>
        <v>0.11557914018630999</v>
      </c>
      <c r="O26" s="10" cm="1">
        <f t="array" ref="O26">ABS(pred_GDP_now!O30-pred_GDP_now!$B30)</f>
        <v>0.36342764398024202</v>
      </c>
      <c r="P26" s="10" cm="1">
        <f t="array" ref="P26">ABS(pred_GDP_now!P30-pred_GDP_now!$B30)</f>
        <v>0.11538558393473608</v>
      </c>
      <c r="Q26" s="6"/>
      <c r="R26" s="10" cm="1">
        <f t="array" ref="R26">ABS(pred_GDP_now!R30-pred_GDP_now!$B30)</f>
        <v>0.10005237679242895</v>
      </c>
      <c r="S26" s="10" cm="1">
        <f t="array" ref="S26">ABS(pred_GDP_now!S30-pred_GDP_now!$B30)</f>
        <v>3.8980470830837E-2</v>
      </c>
      <c r="T26" s="10" cm="1">
        <f t="array" ref="T26">ABS(pred_GDP_now!T30-pred_GDP_now!$B30)</f>
        <v>0.11557914018630999</v>
      </c>
      <c r="U26" s="10" cm="1">
        <f t="array" ref="U26">ABS(pred_GDP_now!U30-pred_GDP_now!$B30)</f>
        <v>3.8980470830837E-2</v>
      </c>
      <c r="V26" s="10" cm="1">
        <f t="array" ref="V26">ABS(pred_GDP_now!V30-pred_GDP_now!$B30)</f>
        <v>0.11041147209584301</v>
      </c>
      <c r="W26" s="10" cm="1">
        <f t="array" ref="W26">ABS(pred_GDP_now!W30-pred_GDP_now!$B30)</f>
        <v>0.11110800718232594</v>
      </c>
      <c r="X26" s="10" cm="1">
        <f t="array" ref="X26">ABS(pred_GDP_now!X30-pred_GDP_now!$B30)</f>
        <v>0.11511793528810599</v>
      </c>
      <c r="Y26" s="10" cm="1">
        <f t="array" ref="Y26">ABS(pred_GDP_now!Y30-pred_GDP_now!$B30)</f>
        <v>0.11471081685154694</v>
      </c>
      <c r="Z26" s="10" cm="1">
        <f t="array" ref="Z26">ABS(pred_GDP_now!Z30-pred_GDP_now!$B30)</f>
        <v>0.11039165148869701</v>
      </c>
    </row>
    <row r="27" spans="1:26" ht="13.8" customHeight="1" x14ac:dyDescent="0.25">
      <c r="A27" s="15">
        <v>41791</v>
      </c>
      <c r="B27" s="16">
        <v>0.9</v>
      </c>
      <c r="C27" s="21" t="e" cm="1">
        <f t="array" ref="C27">ABS(pred_GDP_now!C31-pred_GDP_now!$B31)</f>
        <v>#N/A</v>
      </c>
      <c r="D27" s="10" cm="1">
        <f t="array" ref="D27">ABS(pred_GDP_now!D31-pred_GDP_now!$B31)</f>
        <v>0.37039657334470999</v>
      </c>
      <c r="E27" s="10" cm="1">
        <f t="array" ref="E27">ABS(pred_GDP_now!E31-pred_GDP_now!$B31)</f>
        <v>0.25137108170059996</v>
      </c>
      <c r="F27" s="10" t="e" cm="1">
        <f t="array" ref="F27">ABS(pred_GDP_now!F31-pred_GDP_now!$B31)</f>
        <v>#N/A</v>
      </c>
      <c r="G27" s="10" t="e" cm="1">
        <f t="array" ref="G27">ABS(pred_GDP_now!G31-pred_GDP_now!$B31)</f>
        <v>#N/A</v>
      </c>
      <c r="H27" s="10" t="e" cm="1">
        <f t="array" ref="H27">ABS(pred_GDP_now!H31-pred_GDP_now!$B31)</f>
        <v>#N/A</v>
      </c>
      <c r="I27" s="10" t="e" cm="1">
        <f t="array" ref="I27">ABS(pred_GDP_now!I31-pred_GDP_now!$B31)</f>
        <v>#N/A</v>
      </c>
      <c r="J27" s="10" t="e" cm="1">
        <f t="array" ref="J27">ABS(pred_GDP_now!J31-pred_GDP_now!$B31)</f>
        <v>#N/A</v>
      </c>
      <c r="K27" s="10" cm="1">
        <f t="array" ref="K27">ABS(pred_GDP_now!K31-pred_GDP_now!$B31)</f>
        <v>0.15851472603343997</v>
      </c>
      <c r="L27" s="10" t="e" cm="1">
        <f t="array" ref="L27">ABS(pred_GDP_now!L31-pred_GDP_now!$B31)</f>
        <v>#N/A</v>
      </c>
      <c r="M27" s="10" cm="1">
        <f t="array" ref="M27">ABS(pred_GDP_now!M31-pred_GDP_now!$B31)</f>
        <v>7.8149089334689226E-3</v>
      </c>
      <c r="N27" s="10" cm="1">
        <f t="array" ref="N27">ABS(pred_GDP_now!N31-pred_GDP_now!$B31)</f>
        <v>1.9554054737090931E-2</v>
      </c>
      <c r="O27" s="10" cm="1">
        <f t="array" ref="O27">ABS(pred_GDP_now!O31-pred_GDP_now!$B31)</f>
        <v>1.422007072329545</v>
      </c>
      <c r="P27" s="10" cm="1">
        <f t="array" ref="P27">ABS(pred_GDP_now!P31-pred_GDP_now!$B31)</f>
        <v>0.69088589120529198</v>
      </c>
      <c r="Q27" s="6"/>
      <c r="R27" s="10" cm="1">
        <f t="array" ref="R27">ABS(pred_GDP_now!R31-pred_GDP_now!$B31)</f>
        <v>0.23175301012177207</v>
      </c>
      <c r="S27" s="10" cm="1">
        <f t="array" ref="S27">ABS(pred_GDP_now!S31-pred_GDP_now!$B31)</f>
        <v>7.8149089334689226E-3</v>
      </c>
      <c r="T27" s="10" cm="1">
        <f t="array" ref="T27">ABS(pred_GDP_now!T31-pred_GDP_now!$B31)</f>
        <v>7.8149089334689226E-3</v>
      </c>
      <c r="U27" s="10" cm="1">
        <f t="array" ref="U27">ABS(pred_GDP_now!U31-pred_GDP_now!$B31)</f>
        <v>0.31296059698751899</v>
      </c>
      <c r="V27" s="10" cm="1">
        <f t="array" ref="V27">ABS(pred_GDP_now!V31-pred_GDP_now!$B31)</f>
        <v>4.1783129242482064E-2</v>
      </c>
      <c r="W27" s="10" cm="1">
        <f t="array" ref="W27">ABS(pred_GDP_now!W31-pred_GDP_now!$B31)</f>
        <v>4.2193412542665065E-2</v>
      </c>
      <c r="X27" s="10" cm="1">
        <f t="array" ref="X27">ABS(pred_GDP_now!X31-pred_GDP_now!$B31)</f>
        <v>7.8041487361131034E-2</v>
      </c>
      <c r="Y27" s="10" cm="1">
        <f t="array" ref="Y27">ABS(pred_GDP_now!Y31-pred_GDP_now!$B31)</f>
        <v>0.16205239811369099</v>
      </c>
      <c r="Z27" s="10" cm="1">
        <f t="array" ref="Z27">ABS(pred_GDP_now!Z31-pred_GDP_now!$B31)</f>
        <v>5.3141864753370016E-2</v>
      </c>
    </row>
    <row r="28" spans="1:26" ht="13.8" customHeight="1" x14ac:dyDescent="0.25">
      <c r="A28" s="15">
        <v>41883</v>
      </c>
      <c r="B28" s="16">
        <v>0.3</v>
      </c>
      <c r="C28" s="21" t="e" cm="1">
        <f t="array" ref="C28">ABS(pred_GDP_now!C32-pred_GDP_now!$B32)</f>
        <v>#N/A</v>
      </c>
      <c r="D28" s="10" cm="1">
        <f t="array" ref="D28">ABS(pred_GDP_now!D32-pred_GDP_now!$B32)</f>
        <v>0.99526754085969005</v>
      </c>
      <c r="E28" s="10" cm="1">
        <f t="array" ref="E28">ABS(pred_GDP_now!E32-pred_GDP_now!$B32)</f>
        <v>0.91106200782711988</v>
      </c>
      <c r="F28" s="10" t="e" cm="1">
        <f t="array" ref="F28">ABS(pred_GDP_now!F32-pred_GDP_now!$B32)</f>
        <v>#N/A</v>
      </c>
      <c r="G28" s="10" t="e" cm="1">
        <f t="array" ref="G28">ABS(pred_GDP_now!G32-pred_GDP_now!$B32)</f>
        <v>#N/A</v>
      </c>
      <c r="H28" s="10" t="e" cm="1">
        <f t="array" ref="H28">ABS(pred_GDP_now!H32-pred_GDP_now!$B32)</f>
        <v>#N/A</v>
      </c>
      <c r="I28" s="10" t="e" cm="1">
        <f t="array" ref="I28">ABS(pred_GDP_now!I32-pred_GDP_now!$B32)</f>
        <v>#N/A</v>
      </c>
      <c r="J28" s="10" t="e" cm="1">
        <f t="array" ref="J28">ABS(pred_GDP_now!J32-pred_GDP_now!$B32)</f>
        <v>#N/A</v>
      </c>
      <c r="K28" s="10" cm="1">
        <f t="array" ref="K28">ABS(pred_GDP_now!K32-pred_GDP_now!$B32)</f>
        <v>0.62736810752152694</v>
      </c>
      <c r="L28" s="10" t="e" cm="1">
        <f t="array" ref="L28">ABS(pred_GDP_now!L32-pred_GDP_now!$B32)</f>
        <v>#N/A</v>
      </c>
      <c r="M28" s="10" cm="1">
        <f t="array" ref="M28">ABS(pred_GDP_now!M32-pred_GDP_now!$B32)</f>
        <v>0.40368702354134706</v>
      </c>
      <c r="N28" s="10" cm="1">
        <f t="array" ref="N28">ABS(pred_GDP_now!N32-pred_GDP_now!$B32)</f>
        <v>0.6179123044013981</v>
      </c>
      <c r="O28" s="10" cm="1">
        <f t="array" ref="O28">ABS(pred_GDP_now!O32-pred_GDP_now!$B32)</f>
        <v>0.32944496716585497</v>
      </c>
      <c r="P28" s="10" cm="1">
        <f t="array" ref="P28">ABS(pred_GDP_now!P32-pred_GDP_now!$B32)</f>
        <v>0.45041264368978201</v>
      </c>
      <c r="Q28" s="6"/>
      <c r="R28" s="10" cm="1">
        <f t="array" ref="R28">ABS(pred_GDP_now!R32-pred_GDP_now!$B32)</f>
        <v>0.61930779928667401</v>
      </c>
      <c r="S28" s="10" cm="1">
        <f t="array" ref="S28">ABS(pred_GDP_now!S32-pred_GDP_now!$B32)</f>
        <v>0.6179123044013981</v>
      </c>
      <c r="T28" s="10" cm="1">
        <f t="array" ref="T28">ABS(pred_GDP_now!T32-pred_GDP_now!$B32)</f>
        <v>0.6179123044013981</v>
      </c>
      <c r="U28" s="10" cm="1">
        <f t="array" ref="U28">ABS(pred_GDP_now!U32-pred_GDP_now!$B32)</f>
        <v>0.6179123044013981</v>
      </c>
      <c r="V28" s="10" cm="1">
        <f t="array" ref="V28">ABS(pred_GDP_now!V32-pred_GDP_now!$B32)</f>
        <v>0.63228175039147994</v>
      </c>
      <c r="W28" s="10" cm="1">
        <f t="array" ref="W28">ABS(pred_GDP_now!W32-pred_GDP_now!$B32)</f>
        <v>0.6333868379105061</v>
      </c>
      <c r="X28" s="10" cm="1">
        <f t="array" ref="X28">ABS(pred_GDP_now!X32-pred_GDP_now!$B32)</f>
        <v>0.62109203709959893</v>
      </c>
      <c r="Y28" s="10" cm="1">
        <f t="array" ref="Y28">ABS(pred_GDP_now!Y32-pred_GDP_now!$B32)</f>
        <v>0.63645183507663394</v>
      </c>
      <c r="Z28" s="10" cm="1">
        <f t="array" ref="Z28">ABS(pred_GDP_now!Z32-pred_GDP_now!$B32)</f>
        <v>0.61930779928667401</v>
      </c>
    </row>
    <row r="29" spans="1:26" ht="13.8" customHeight="1" x14ac:dyDescent="0.25">
      <c r="A29" s="15">
        <v>41974</v>
      </c>
      <c r="B29" s="16">
        <v>0.5</v>
      </c>
      <c r="C29" s="21" t="e" cm="1">
        <f t="array" ref="C29">ABS(pred_GDP_now!C33-pred_GDP_now!$B33)</f>
        <v>#N/A</v>
      </c>
      <c r="D29" s="10" cm="1">
        <f t="array" ref="D29">ABS(pred_GDP_now!D33-pred_GDP_now!$B33)</f>
        <v>0.477032914890685</v>
      </c>
      <c r="E29" s="10" cm="1">
        <f t="array" ref="E29">ABS(pred_GDP_now!E33-pred_GDP_now!$B33)</f>
        <v>0.48513387787608797</v>
      </c>
      <c r="F29" s="10" t="e" cm="1">
        <f t="array" ref="F29">ABS(pred_GDP_now!F33-pred_GDP_now!$B33)</f>
        <v>#N/A</v>
      </c>
      <c r="G29" s="10" t="e" cm="1">
        <f t="array" ref="G29">ABS(pred_GDP_now!G33-pred_GDP_now!$B33)</f>
        <v>#N/A</v>
      </c>
      <c r="H29" s="10" t="e" cm="1">
        <f t="array" ref="H29">ABS(pred_GDP_now!H33-pred_GDP_now!$B33)</f>
        <v>#N/A</v>
      </c>
      <c r="I29" s="10" t="e" cm="1">
        <f t="array" ref="I29">ABS(pred_GDP_now!I33-pred_GDP_now!$B33)</f>
        <v>#N/A</v>
      </c>
      <c r="J29" s="10" t="e" cm="1">
        <f t="array" ref="J29">ABS(pred_GDP_now!J33-pred_GDP_now!$B33)</f>
        <v>#N/A</v>
      </c>
      <c r="K29" s="10" cm="1">
        <f t="array" ref="K29">ABS(pred_GDP_now!K33-pred_GDP_now!$B33)</f>
        <v>0.73210641099396989</v>
      </c>
      <c r="L29" s="10" t="e" cm="1">
        <f t="array" ref="L29">ABS(pred_GDP_now!L33-pred_GDP_now!$B33)</f>
        <v>#N/A</v>
      </c>
      <c r="M29" s="10" cm="1">
        <f t="array" ref="M29">ABS(pred_GDP_now!M33-pred_GDP_now!$B33)</f>
        <v>0.21640719202011305</v>
      </c>
      <c r="N29" s="10" cm="1">
        <f t="array" ref="N29">ABS(pred_GDP_now!N33-pred_GDP_now!$B33)</f>
        <v>0.37230551242828402</v>
      </c>
      <c r="O29" s="10" cm="1">
        <f t="array" ref="O29">ABS(pred_GDP_now!O33-pred_GDP_now!$B33)</f>
        <v>0.49708018794825021</v>
      </c>
      <c r="P29" s="10" cm="1">
        <f t="array" ref="P29">ABS(pred_GDP_now!P33-pred_GDP_now!$B33)</f>
        <v>0.17590210642328397</v>
      </c>
      <c r="Q29" s="6"/>
      <c r="R29" s="10" cm="1">
        <f t="array" ref="R29">ABS(pred_GDP_now!R33-pred_GDP_now!$B33)</f>
        <v>0.28025826095488204</v>
      </c>
      <c r="S29" s="10" cm="1">
        <f t="array" ref="S29">ABS(pred_GDP_now!S33-pred_GDP_now!$B33)</f>
        <v>0.37230551242828402</v>
      </c>
      <c r="T29" s="10" cm="1">
        <f t="array" ref="T29">ABS(pred_GDP_now!T33-pred_GDP_now!$B33)</f>
        <v>0.37230551242828402</v>
      </c>
      <c r="U29" s="10" cm="1">
        <f t="array" ref="U29">ABS(pred_GDP_now!U33-pred_GDP_now!$B33)</f>
        <v>0.33346940232007405</v>
      </c>
      <c r="V29" s="10" cm="1">
        <f t="array" ref="V29">ABS(pred_GDP_now!V33-pred_GDP_now!$B33)</f>
        <v>0.40083233486400305</v>
      </c>
      <c r="W29" s="10" cm="1">
        <f t="array" ref="W29">ABS(pred_GDP_now!W33-pred_GDP_now!$B33)</f>
        <v>0.39998888093231899</v>
      </c>
      <c r="X29" s="10" cm="1">
        <f t="array" ref="X29">ABS(pred_GDP_now!X33-pred_GDP_now!$B33)</f>
        <v>0.36221871815315898</v>
      </c>
      <c r="Y29" s="10" cm="1">
        <f t="array" ref="Y29">ABS(pred_GDP_now!Y33-pred_GDP_now!$B33)</f>
        <v>0.31519390797298197</v>
      </c>
      <c r="Z29" s="10" cm="1">
        <f t="array" ref="Z29">ABS(pred_GDP_now!Z33-pred_GDP_now!$B33)</f>
        <v>0.37180226014656803</v>
      </c>
    </row>
    <row r="30" spans="1:26" ht="13.8" customHeight="1" x14ac:dyDescent="0.25">
      <c r="A30" s="15">
        <v>42064</v>
      </c>
      <c r="B30" s="16">
        <v>0.9</v>
      </c>
      <c r="C30" s="21" t="e" cm="1">
        <f t="array" ref="C30">ABS(pred_GDP_now!C34-pred_GDP_now!$B34)</f>
        <v>#N/A</v>
      </c>
      <c r="D30" s="10" cm="1">
        <f t="array" ref="D30">ABS(pred_GDP_now!D34-pred_GDP_now!$B34)</f>
        <v>0.46730288209978987</v>
      </c>
      <c r="E30" s="10" cm="1">
        <f t="array" ref="E30">ABS(pred_GDP_now!E34-pred_GDP_now!$B34)</f>
        <v>0.32050462739391994</v>
      </c>
      <c r="F30" s="10" t="e" cm="1">
        <f t="array" ref="F30">ABS(pred_GDP_now!F34-pred_GDP_now!$B34)</f>
        <v>#N/A</v>
      </c>
      <c r="G30" s="10" t="e" cm="1">
        <f t="array" ref="G30">ABS(pred_GDP_now!G34-pred_GDP_now!$B34)</f>
        <v>#N/A</v>
      </c>
      <c r="H30" s="10" t="e" cm="1">
        <f t="array" ref="H30">ABS(pred_GDP_now!H34-pred_GDP_now!$B34)</f>
        <v>#N/A</v>
      </c>
      <c r="I30" s="10" t="e" cm="1">
        <f t="array" ref="I30">ABS(pred_GDP_now!I34-pred_GDP_now!$B34)</f>
        <v>#N/A</v>
      </c>
      <c r="J30" s="10" t="e" cm="1">
        <f t="array" ref="J30">ABS(pred_GDP_now!J34-pred_GDP_now!$B34)</f>
        <v>#N/A</v>
      </c>
      <c r="K30" s="10" cm="1">
        <f t="array" ref="K30">ABS(pred_GDP_now!K34-pred_GDP_now!$B34)</f>
        <v>7.4291412604540197E-3</v>
      </c>
      <c r="L30" s="10" t="e" cm="1">
        <f t="array" ref="L30">ABS(pred_GDP_now!L34-pred_GDP_now!$B34)</f>
        <v>#N/A</v>
      </c>
      <c r="M30" s="10" cm="1">
        <f t="array" ref="M30">ABS(pred_GDP_now!M34-pred_GDP_now!$B34)</f>
        <v>0.28980893736019697</v>
      </c>
      <c r="N30" s="10" cm="1">
        <f t="array" ref="N30">ABS(pred_GDP_now!N34-pred_GDP_now!$B34)</f>
        <v>0.29657468795775987</v>
      </c>
      <c r="O30" s="10" cm="1">
        <f t="array" ref="O30">ABS(pred_GDP_now!O34-pred_GDP_now!$B34)</f>
        <v>0.41819610278928704</v>
      </c>
      <c r="P30" s="10" cm="1">
        <f t="array" ref="P30">ABS(pred_GDP_now!P34-pred_GDP_now!$B34)</f>
        <v>6.8392834941295E-2</v>
      </c>
      <c r="Q30" s="6"/>
      <c r="R30" s="10" cm="1">
        <f t="array" ref="R30">ABS(pred_GDP_now!R34-pred_GDP_now!$B34)</f>
        <v>4.5059066231591949E-2</v>
      </c>
      <c r="S30" s="10" cm="1">
        <f t="array" ref="S30">ABS(pred_GDP_now!S34-pred_GDP_now!$B34)</f>
        <v>7.4291412604540197E-3</v>
      </c>
      <c r="T30" s="10" cm="1">
        <f t="array" ref="T30">ABS(pred_GDP_now!T34-pred_GDP_now!$B34)</f>
        <v>6.8392834941295E-2</v>
      </c>
      <c r="U30" s="10" cm="1">
        <f t="array" ref="U30">ABS(pred_GDP_now!U34-pred_GDP_now!$B34)</f>
        <v>7.4291412604540197E-3</v>
      </c>
      <c r="V30" s="10" cm="1">
        <f t="array" ref="V30">ABS(pred_GDP_now!V34-pred_GDP_now!$B34)</f>
        <v>0.10558545971295408</v>
      </c>
      <c r="W30" s="10" cm="1">
        <f t="array" ref="W30">ABS(pred_GDP_now!W34-pred_GDP_now!$B34)</f>
        <v>9.8066725459160065E-2</v>
      </c>
      <c r="X30" s="10" cm="1">
        <f t="array" ref="X30">ABS(pred_GDP_now!X34-pred_GDP_now!$B34)</f>
        <v>5.1118137154705034E-2</v>
      </c>
      <c r="Y30" s="10" cm="1">
        <f t="array" ref="Y30">ABS(pred_GDP_now!Y34-pred_GDP_now!$B34)</f>
        <v>4.4507485543371028E-2</v>
      </c>
      <c r="Z30" s="10" cm="1">
        <f t="array" ref="Z30">ABS(pred_GDP_now!Z34-pred_GDP_now!$B34)</f>
        <v>7.4291412604540197E-3</v>
      </c>
    </row>
    <row r="31" spans="1:26" ht="13.8" customHeight="1" x14ac:dyDescent="0.25">
      <c r="A31" s="15">
        <v>42156</v>
      </c>
      <c r="B31" s="16">
        <v>0.4</v>
      </c>
      <c r="C31" s="21" t="e" cm="1">
        <f t="array" ref="C31">ABS(pred_GDP_now!C35-pred_GDP_now!$B35)</f>
        <v>#N/A</v>
      </c>
      <c r="D31" s="10" cm="1">
        <f t="array" ref="D31">ABS(pred_GDP_now!D35-pred_GDP_now!$B35)</f>
        <v>0.66268953351200988</v>
      </c>
      <c r="E31" s="10" cm="1">
        <f t="array" ref="E31">ABS(pred_GDP_now!E35-pred_GDP_now!$B35)</f>
        <v>0.55433407917937494</v>
      </c>
      <c r="F31" s="10" t="e" cm="1">
        <f t="array" ref="F31">ABS(pred_GDP_now!F35-pred_GDP_now!$B35)</f>
        <v>#N/A</v>
      </c>
      <c r="G31" s="10" t="e" cm="1">
        <f t="array" ref="G31">ABS(pred_GDP_now!G35-pred_GDP_now!$B35)</f>
        <v>#N/A</v>
      </c>
      <c r="H31" s="10" t="e" cm="1">
        <f t="array" ref="H31">ABS(pred_GDP_now!H35-pred_GDP_now!$B35)</f>
        <v>#N/A</v>
      </c>
      <c r="I31" s="10" t="e" cm="1">
        <f t="array" ref="I31">ABS(pred_GDP_now!I35-pred_GDP_now!$B35)</f>
        <v>#N/A</v>
      </c>
      <c r="J31" s="10" t="e" cm="1">
        <f t="array" ref="J31">ABS(pred_GDP_now!J35-pred_GDP_now!$B35)</f>
        <v>#N/A</v>
      </c>
      <c r="K31" s="10" cm="1">
        <f t="array" ref="K31">ABS(pred_GDP_now!K35-pred_GDP_now!$B35)</f>
        <v>0.15777259533185795</v>
      </c>
      <c r="L31" s="10" t="e" cm="1">
        <f t="array" ref="L31">ABS(pred_GDP_now!L35-pred_GDP_now!$B35)</f>
        <v>#N/A</v>
      </c>
      <c r="M31" s="10" cm="1">
        <f t="array" ref="M31">ABS(pred_GDP_now!M35-pred_GDP_now!$B35)</f>
        <v>0.28349186667892601</v>
      </c>
      <c r="N31" s="10" cm="1">
        <f t="array" ref="N31">ABS(pred_GDP_now!N35-pred_GDP_now!$B35)</f>
        <v>0.28220025300979601</v>
      </c>
      <c r="O31" s="10" cm="1">
        <f t="array" ref="O31">ABS(pred_GDP_now!O35-pred_GDP_now!$B35)</f>
        <v>0.64610561687756696</v>
      </c>
      <c r="P31" s="10" cm="1">
        <f t="array" ref="P31">ABS(pred_GDP_now!P35-pred_GDP_now!$B35)</f>
        <v>3.2877886626987041E-2</v>
      </c>
      <c r="Q31" s="6"/>
      <c r="R31" s="10" cm="1">
        <f t="array" ref="R31">ABS(pred_GDP_now!R35-pred_GDP_now!$B35)</f>
        <v>0.18021497488677296</v>
      </c>
      <c r="S31" s="10" cm="1">
        <f t="array" ref="S31">ABS(pred_GDP_now!S35-pred_GDP_now!$B35)</f>
        <v>0.28220025300979601</v>
      </c>
      <c r="T31" s="10" cm="1">
        <f t="array" ref="T31">ABS(pred_GDP_now!T35-pred_GDP_now!$B35)</f>
        <v>0.28220025300979601</v>
      </c>
      <c r="U31" s="10" cm="1">
        <f t="array" ref="U31">ABS(pred_GDP_now!U35-pred_GDP_now!$B35)</f>
        <v>0.253912136849061</v>
      </c>
      <c r="V31" s="10" cm="1">
        <f t="array" ref="V31">ABS(pred_GDP_now!V35-pred_GDP_now!$B35)</f>
        <v>0.24212619947102199</v>
      </c>
      <c r="W31" s="10" cm="1">
        <f t="array" ref="W31">ABS(pred_GDP_now!W35-pred_GDP_now!$B35)</f>
        <v>0.24097684611110592</v>
      </c>
      <c r="X31" s="10" cm="1">
        <f t="array" ref="X31">ABS(pred_GDP_now!X35-pred_GDP_now!$B35)</f>
        <v>0.23214770014841501</v>
      </c>
      <c r="Y31" s="10" cm="1">
        <f t="array" ref="Y31">ABS(pred_GDP_now!Y35-pred_GDP_now!$B35)</f>
        <v>0.20857448344749496</v>
      </c>
      <c r="Z31" s="10" cm="1">
        <f t="array" ref="Z31">ABS(pred_GDP_now!Z35-pred_GDP_now!$B35)</f>
        <v>0.24212619947102199</v>
      </c>
    </row>
    <row r="32" spans="1:26" ht="13.8" customHeight="1" x14ac:dyDescent="0.25">
      <c r="A32" s="15">
        <v>42248</v>
      </c>
      <c r="B32" s="16">
        <v>1.5</v>
      </c>
      <c r="C32" s="21" t="e" cm="1">
        <f t="array" ref="C32">ABS(pred_GDP_now!C36-pred_GDP_now!$B36)</f>
        <v>#N/A</v>
      </c>
      <c r="D32" s="10" cm="1">
        <f t="array" ref="D32">ABS(pred_GDP_now!D36-pred_GDP_now!$B36)</f>
        <v>0.32594066134054001</v>
      </c>
      <c r="E32" s="10" cm="1">
        <f t="array" ref="E32">ABS(pred_GDP_now!E36-pred_GDP_now!$B36)</f>
        <v>0.33186561104810997</v>
      </c>
      <c r="F32" s="10" t="e" cm="1">
        <f t="array" ref="F32">ABS(pred_GDP_now!F36-pred_GDP_now!$B36)</f>
        <v>#N/A</v>
      </c>
      <c r="G32" s="10" t="e" cm="1">
        <f t="array" ref="G32">ABS(pred_GDP_now!G36-pred_GDP_now!$B36)</f>
        <v>#N/A</v>
      </c>
      <c r="H32" s="10" t="e" cm="1">
        <f t="array" ref="H32">ABS(pred_GDP_now!H36-pred_GDP_now!$B36)</f>
        <v>#N/A</v>
      </c>
      <c r="I32" s="10" t="e" cm="1">
        <f t="array" ref="I32">ABS(pred_GDP_now!I36-pred_GDP_now!$B36)</f>
        <v>#N/A</v>
      </c>
      <c r="J32" s="10" t="e" cm="1">
        <f t="array" ref="J32">ABS(pred_GDP_now!J36-pred_GDP_now!$B36)</f>
        <v>#N/A</v>
      </c>
      <c r="K32" s="10" cm="1">
        <f t="array" ref="K32">ABS(pred_GDP_now!K36-pred_GDP_now!$B36)</f>
        <v>0.81117947590838602</v>
      </c>
      <c r="L32" s="10" t="e" cm="1">
        <f t="array" ref="L32">ABS(pred_GDP_now!L36-pred_GDP_now!$B36)</f>
        <v>#N/A</v>
      </c>
      <c r="M32" s="10" cm="1">
        <f t="array" ref="M32">ABS(pred_GDP_now!M36-pred_GDP_now!$B36)</f>
        <v>0.57917785925768805</v>
      </c>
      <c r="N32" s="10" cm="1">
        <f t="array" ref="N32">ABS(pred_GDP_now!N36-pred_GDP_now!$B36)</f>
        <v>0.323286652565</v>
      </c>
      <c r="O32" s="10" cm="1">
        <f t="array" ref="O32">ABS(pred_GDP_now!O36-pred_GDP_now!$B36)</f>
        <v>1.021504438542137</v>
      </c>
      <c r="P32" s="10" cm="1">
        <f t="array" ref="P32">ABS(pred_GDP_now!P36-pred_GDP_now!$B36)</f>
        <v>0.93324634657546401</v>
      </c>
      <c r="Q32" s="6"/>
      <c r="R32" s="10" cm="1">
        <f t="array" ref="R32">ABS(pred_GDP_now!R36-pred_GDP_now!$B36)</f>
        <v>0.61802872074818904</v>
      </c>
      <c r="S32" s="10" cm="1">
        <f t="array" ref="S32">ABS(pred_GDP_now!S36-pred_GDP_now!$B36)</f>
        <v>0.57917785925768805</v>
      </c>
      <c r="T32" s="10" cm="1">
        <f t="array" ref="T32">ABS(pred_GDP_now!T36-pred_GDP_now!$B36)</f>
        <v>0.81117947590838602</v>
      </c>
      <c r="U32" s="10" cm="1">
        <f t="array" ref="U32">ABS(pred_GDP_now!U36-pred_GDP_now!$B36)</f>
        <v>0.57917785925768805</v>
      </c>
      <c r="V32" s="10" cm="1">
        <f t="array" ref="V32">ABS(pred_GDP_now!V36-pred_GDP_now!$B36)</f>
        <v>0.80167943069456304</v>
      </c>
      <c r="W32" s="10" cm="1">
        <f t="array" ref="W32">ABS(pred_GDP_now!W36-pred_GDP_now!$B36)</f>
        <v>0.79642505839467603</v>
      </c>
      <c r="X32" s="10" cm="1">
        <f t="array" ref="X32">ABS(pred_GDP_now!X36-pred_GDP_now!$B36)</f>
        <v>0.709456738114293</v>
      </c>
      <c r="Y32" s="10" cm="1">
        <f t="array" ref="Y32">ABS(pred_GDP_now!Y36-pred_GDP_now!$B36)</f>
        <v>0.63649333637040195</v>
      </c>
      <c r="Z32" s="10" cm="1">
        <f t="array" ref="Z32">ABS(pred_GDP_now!Z36-pred_GDP_now!$B36)</f>
        <v>0.63195566894754895</v>
      </c>
    </row>
    <row r="33" spans="1:26" ht="13.8" customHeight="1" x14ac:dyDescent="0.25">
      <c r="A33" s="15">
        <v>42339</v>
      </c>
      <c r="B33" s="16">
        <v>0.8</v>
      </c>
      <c r="C33" s="21" t="e" cm="1">
        <f t="array" ref="C33">ABS(pred_GDP_now!C37-pred_GDP_now!$B37)</f>
        <v>#N/A</v>
      </c>
      <c r="D33" s="10" cm="1">
        <f t="array" ref="D33">ABS(pred_GDP_now!D37-pred_GDP_now!$B37)</f>
        <v>0.65377979708029987</v>
      </c>
      <c r="E33" s="10" cm="1">
        <f t="array" ref="E33">ABS(pred_GDP_now!E37-pred_GDP_now!$B37)</f>
        <v>0.52686048367763005</v>
      </c>
      <c r="F33" s="10" t="e" cm="1">
        <f t="array" ref="F33">ABS(pred_GDP_now!F37-pred_GDP_now!$B37)</f>
        <v>#N/A</v>
      </c>
      <c r="G33" s="10" t="e" cm="1">
        <f t="array" ref="G33">ABS(pred_GDP_now!G37-pred_GDP_now!$B37)</f>
        <v>#N/A</v>
      </c>
      <c r="H33" s="10" t="e" cm="1">
        <f t="array" ref="H33">ABS(pred_GDP_now!H37-pred_GDP_now!$B37)</f>
        <v>#N/A</v>
      </c>
      <c r="I33" s="10" t="e" cm="1">
        <f t="array" ref="I33">ABS(pred_GDP_now!I37-pred_GDP_now!$B37)</f>
        <v>#N/A</v>
      </c>
      <c r="J33" s="10" t="e" cm="1">
        <f t="array" ref="J33">ABS(pred_GDP_now!J37-pred_GDP_now!$B37)</f>
        <v>#N/A</v>
      </c>
      <c r="K33" s="10" cm="1">
        <f t="array" ref="K33">ABS(pred_GDP_now!K37-pred_GDP_now!$B37)</f>
        <v>5.2354814381319059E-3</v>
      </c>
      <c r="L33" s="10" t="e" cm="1">
        <f t="array" ref="L33">ABS(pred_GDP_now!L37-pred_GDP_now!$B37)</f>
        <v>#N/A</v>
      </c>
      <c r="M33" s="10" cm="1">
        <f t="array" ref="M33">ABS(pred_GDP_now!M37-pred_GDP_now!$B37)</f>
        <v>0.73722044630798989</v>
      </c>
      <c r="N33" s="10" cm="1">
        <f t="array" ref="N33">ABS(pred_GDP_now!N37-pred_GDP_now!$B37)</f>
        <v>4.617481231689502E-2</v>
      </c>
      <c r="O33" s="10" cm="1">
        <f t="array" ref="O33">ABS(pred_GDP_now!O37-pred_GDP_now!$B37)</f>
        <v>0.24836662354347805</v>
      </c>
      <c r="P33" s="10" cm="1">
        <f t="array" ref="P33">ABS(pred_GDP_now!P37-pred_GDP_now!$B37)</f>
        <v>5.1062665092797999E-2</v>
      </c>
      <c r="Q33" s="6"/>
      <c r="R33" s="10">
        <v>2.5279184907615E-2</v>
      </c>
      <c r="S33" s="10">
        <v>3.6930000000000001E-3</v>
      </c>
      <c r="T33" s="10">
        <v>2.5279184907615E-2</v>
      </c>
      <c r="U33" s="10">
        <v>3.6930000000000001E-3</v>
      </c>
      <c r="V33" s="10">
        <v>2.5279184907615E-2</v>
      </c>
      <c r="W33" s="10">
        <v>2.5279184907615E-2</v>
      </c>
      <c r="X33" s="10">
        <v>2.5279184907615E-2</v>
      </c>
      <c r="Y33" s="10">
        <v>2.5279184907615E-2</v>
      </c>
      <c r="Z33" s="10">
        <v>2.5279184907615E-2</v>
      </c>
    </row>
    <row r="34" spans="1:26" ht="13.8" customHeight="1" x14ac:dyDescent="0.25">
      <c r="A34" s="15">
        <v>42430</v>
      </c>
      <c r="B34" s="16">
        <v>0.3</v>
      </c>
      <c r="C34" s="21" cm="1">
        <f t="array" ref="C34">ABS(pred_GDP_now!C38-pred_GDP_now!$B38)</f>
        <v>0.20323449467209198</v>
      </c>
      <c r="D34" s="10" cm="1">
        <f t="array" ref="D34">ABS(pred_GDP_now!D38-pred_GDP_now!$B38)</f>
        <v>0.10086299999999998</v>
      </c>
      <c r="E34" s="10" cm="1">
        <f t="array" ref="E34">ABS(pred_GDP_now!E38-pred_GDP_now!$B38)</f>
        <v>0.20688000000000001</v>
      </c>
      <c r="F34" s="10" cm="1">
        <f t="array" ref="F34">ABS(pred_GDP_now!F38-pred_GDP_now!$B38)</f>
        <v>7.4066999999999994E-2</v>
      </c>
      <c r="G34" s="10" cm="1">
        <f t="array" ref="G34">ABS(pred_GDP_now!G38-pred_GDP_now!$B38)</f>
        <v>0.44709700000000002</v>
      </c>
      <c r="H34" s="10" cm="1">
        <f t="array" ref="H34">ABS(pred_GDP_now!H38-pred_GDP_now!$B38)</f>
        <v>0.17644454369062001</v>
      </c>
      <c r="I34" s="10" cm="1">
        <f t="array" ref="I34">ABS(pred_GDP_now!I38-pred_GDP_now!$B38)</f>
        <v>0.51979479381817195</v>
      </c>
      <c r="J34" s="10" cm="1">
        <f t="array" ref="J34">ABS(pred_GDP_now!J38-pred_GDP_now!$B38)</f>
        <v>0.498164</v>
      </c>
      <c r="K34" s="10" cm="1">
        <f t="array" ref="K34">ABS(pred_GDP_now!K38-pred_GDP_now!$B38)</f>
        <v>5.0113994728527012E-2</v>
      </c>
      <c r="L34" s="10" cm="1">
        <f t="array" ref="L34">ABS(pred_GDP_now!L38-pred_GDP_now!$B38)</f>
        <v>0.58277946000000003</v>
      </c>
      <c r="M34" s="10" cm="1">
        <f t="array" ref="M34">ABS(pred_GDP_now!M38-pred_GDP_now!$B38)</f>
        <v>0.23618070178995604</v>
      </c>
      <c r="N34" s="10" cm="1">
        <f t="array" ref="N34">ABS(pred_GDP_now!N38-pred_GDP_now!$B38)</f>
        <v>0.27159632444381704</v>
      </c>
      <c r="O34" s="10" cm="1">
        <f t="array" ref="O34">ABS(pred_GDP_now!O38-pred_GDP_now!$B38)</f>
        <v>3.6930000000000018E-3</v>
      </c>
      <c r="P34" s="10" cm="1">
        <f t="array" ref="P34">ABS(pred_GDP_now!P38-pred_GDP_now!$B38)</f>
        <v>0.25953399999999999</v>
      </c>
      <c r="Q34" s="6"/>
      <c r="R34" s="10">
        <v>0.21558782728904499</v>
      </c>
      <c r="S34" s="10">
        <v>0.29031935186958302</v>
      </c>
      <c r="T34" s="10">
        <v>0.21558782728904499</v>
      </c>
      <c r="U34" s="10">
        <v>0.29031935186958302</v>
      </c>
      <c r="V34" s="10">
        <v>0.21558782728904499</v>
      </c>
      <c r="W34" s="10">
        <v>0.21558782728904499</v>
      </c>
      <c r="X34" s="10">
        <v>0.21558782728904499</v>
      </c>
      <c r="Y34" s="10">
        <v>0.21558782728904499</v>
      </c>
      <c r="Z34" s="10">
        <v>0.21558782728904499</v>
      </c>
    </row>
    <row r="35" spans="1:26" ht="13.8" customHeight="1" x14ac:dyDescent="0.25">
      <c r="A35" s="15">
        <v>42522</v>
      </c>
      <c r="B35" s="16">
        <v>1.2</v>
      </c>
      <c r="C35" s="21" cm="1">
        <f t="array" ref="C35">ABS(pred_GDP_now!C39-pred_GDP_now!$B39)</f>
        <v>0.29031935186958291</v>
      </c>
      <c r="D35" s="10" cm="1">
        <f t="array" ref="D35">ABS(pred_GDP_now!D39-pred_GDP_now!$B39)</f>
        <v>0.307921</v>
      </c>
      <c r="E35" s="10" cm="1">
        <f t="array" ref="E35">ABS(pred_GDP_now!E39-pred_GDP_now!$B39)</f>
        <v>0.35188999999999993</v>
      </c>
      <c r="F35" s="10" cm="1">
        <f t="array" ref="F35">ABS(pred_GDP_now!F39-pred_GDP_now!$B39)</f>
        <v>0.30803700000000001</v>
      </c>
      <c r="G35" s="10" cm="1">
        <f t="array" ref="G35">ABS(pred_GDP_now!G39-pred_GDP_now!$B39)</f>
        <v>0.84857099999999996</v>
      </c>
      <c r="H35" s="10" cm="1">
        <f t="array" ref="H35">ABS(pred_GDP_now!H39-pred_GDP_now!$B39)</f>
        <v>0.13663024576350002</v>
      </c>
      <c r="I35" s="10" cm="1">
        <f t="array" ref="I35">ABS(pred_GDP_now!I39-pred_GDP_now!$B39)</f>
        <v>0.13135801658755986</v>
      </c>
      <c r="J35" s="10" cm="1">
        <f t="array" ref="J35">ABS(pred_GDP_now!J39-pred_GDP_now!$B39)</f>
        <v>6.7056000000000004E-2</v>
      </c>
      <c r="K35" s="10" cm="1">
        <f t="array" ref="K35">ABS(pred_GDP_now!K39-pred_GDP_now!$B39)</f>
        <v>0.14879547931121007</v>
      </c>
      <c r="L35" s="10" cm="1">
        <f t="array" ref="L35">ABS(pred_GDP_now!L39-pred_GDP_now!$B39)</f>
        <v>0.61812719999999999</v>
      </c>
      <c r="M35" s="10" cm="1">
        <f t="array" ref="M35">ABS(pred_GDP_now!M39-pred_GDP_now!$B39)</f>
        <v>0.42730051640151701</v>
      </c>
      <c r="N35" s="10" cm="1">
        <f t="array" ref="N35">ABS(pred_GDP_now!N39-pred_GDP_now!$B39)</f>
        <v>0.55421905517577996</v>
      </c>
      <c r="O35" s="10" cm="1">
        <f t="array" ref="O35">ABS(pred_GDP_now!O39-pred_GDP_now!$B39)</f>
        <v>0.63600199999999996</v>
      </c>
      <c r="P35" s="10" cm="1">
        <f t="array" ref="P35">ABS(pred_GDP_now!P39-pred_GDP_now!$B39)</f>
        <v>6.6575999999999969E-2</v>
      </c>
      <c r="Q35" s="6"/>
      <c r="R35" s="10">
        <v>0.29610278602368401</v>
      </c>
      <c r="S35" s="10">
        <v>0.28477400000000003</v>
      </c>
      <c r="T35" s="10">
        <v>0.29610278602368401</v>
      </c>
      <c r="U35" s="10">
        <v>0.28477400000000003</v>
      </c>
      <c r="V35" s="10">
        <v>0.29610278602368401</v>
      </c>
      <c r="W35" s="10">
        <v>0.29610278602368401</v>
      </c>
      <c r="X35" s="10">
        <v>0.29610278602368401</v>
      </c>
      <c r="Y35" s="10">
        <v>0.29610278602368401</v>
      </c>
      <c r="Z35" s="10">
        <v>0.29610278602368401</v>
      </c>
    </row>
    <row r="36" spans="1:26" ht="13.8" customHeight="1" x14ac:dyDescent="0.25">
      <c r="A36" s="15">
        <v>42614</v>
      </c>
      <c r="B36" s="16">
        <v>0.4</v>
      </c>
      <c r="C36" s="21" cm="1">
        <f t="array" ref="C36">ABS(pred_GDP_now!C40-pred_GDP_now!$B40)</f>
        <v>0.15010574653569597</v>
      </c>
      <c r="D36" s="10" cm="1">
        <f t="array" ref="D36">ABS(pred_GDP_now!D40-pred_GDP_now!$B40)</f>
        <v>0.241954</v>
      </c>
      <c r="E36" s="10" cm="1">
        <f t="array" ref="E36">ABS(pred_GDP_now!E40-pred_GDP_now!$B40)</f>
        <v>0.16389500000000001</v>
      </c>
      <c r="F36" s="10" cm="1">
        <f t="array" ref="F36">ABS(pred_GDP_now!F40-pred_GDP_now!$B40)</f>
        <v>0.28477399999999997</v>
      </c>
      <c r="G36" s="10" cm="1">
        <f t="array" ref="G36">ABS(pred_GDP_now!G40-pred_GDP_now!$B40)</f>
        <v>0.53662599999999994</v>
      </c>
      <c r="H36" s="10" cm="1">
        <f t="array" ref="H36">ABS(pred_GDP_now!H40-pred_GDP_now!$B40)</f>
        <v>0.55351115778552196</v>
      </c>
      <c r="I36" s="10" cm="1">
        <f t="array" ref="I36">ABS(pred_GDP_now!I40-pred_GDP_now!$B40)</f>
        <v>0.32645207283304301</v>
      </c>
      <c r="J36" s="10" cm="1">
        <f t="array" ref="J36">ABS(pred_GDP_now!J40-pred_GDP_now!$B40)</f>
        <v>0.55010300000000001</v>
      </c>
      <c r="K36" s="10" cm="1">
        <f t="array" ref="K36">ABS(pred_GDP_now!K40-pred_GDP_now!$B40)</f>
        <v>5.4018464220399964E-2</v>
      </c>
      <c r="L36" s="10" cm="1">
        <f t="array" ref="L36">ABS(pred_GDP_now!L40-pred_GDP_now!$B40)</f>
        <v>0.29687809999999992</v>
      </c>
      <c r="M36" s="10" cm="1">
        <f t="array" ref="M36">ABS(pred_GDP_now!M40-pred_GDP_now!$B40)</f>
        <v>0.46391835914606194</v>
      </c>
      <c r="N36" s="10" cm="1">
        <f t="array" ref="N36">ABS(pred_GDP_now!N40-pred_GDP_now!$B40)</f>
        <v>0.52820131778716994</v>
      </c>
      <c r="O36" s="10" cm="1">
        <f t="array" ref="O36">ABS(pred_GDP_now!O40-pred_GDP_now!$B40)</f>
        <v>0.19265199999999993</v>
      </c>
      <c r="P36" s="10" cm="1">
        <f t="array" ref="P36">ABS(pred_GDP_now!P40-pred_GDP_now!$B40)</f>
        <v>4.2872999999999994E-2</v>
      </c>
      <c r="Q36" s="6"/>
      <c r="R36" s="10">
        <v>0.35014649938451498</v>
      </c>
      <c r="S36" s="10">
        <v>0.36055125999999998</v>
      </c>
      <c r="T36" s="10">
        <v>0.35014649938451498</v>
      </c>
      <c r="U36" s="10">
        <v>0.36611872595902101</v>
      </c>
      <c r="V36" s="10">
        <v>0.35014649938451498</v>
      </c>
      <c r="W36" s="10">
        <v>0.35014649938451498</v>
      </c>
      <c r="X36" s="10">
        <v>0.35014649938451498</v>
      </c>
      <c r="Y36" s="10">
        <v>0.35014649938451498</v>
      </c>
      <c r="Z36" s="10">
        <v>0.35014649938451498</v>
      </c>
    </row>
    <row r="37" spans="1:26" ht="13.8" customHeight="1" x14ac:dyDescent="0.25">
      <c r="A37" s="15">
        <v>42705</v>
      </c>
      <c r="B37" s="16">
        <v>0.6</v>
      </c>
      <c r="C37" s="21" cm="1">
        <f t="array" ref="C37">ABS(pred_GDP_now!C41-pred_GDP_now!$B41)</f>
        <v>0.53103257066387</v>
      </c>
      <c r="D37" s="10" cm="1">
        <f t="array" ref="D37">ABS(pred_GDP_now!D41-pred_GDP_now!$B41)</f>
        <v>9.5007999999999981E-2</v>
      </c>
      <c r="E37" s="10" cm="1">
        <f t="array" ref="E37">ABS(pred_GDP_now!E41-pred_GDP_now!$B41)</f>
        <v>4.2044999999999999E-2</v>
      </c>
      <c r="F37" s="10" cm="1">
        <f t="array" ref="F37">ABS(pred_GDP_now!F41-pred_GDP_now!$B41)</f>
        <v>0.11206300000000002</v>
      </c>
      <c r="G37" s="10" cm="1">
        <f t="array" ref="G37">ABS(pred_GDP_now!G41-pred_GDP_now!$B41)</f>
        <v>2.424599999999999E-2</v>
      </c>
      <c r="H37" s="10" cm="1">
        <f t="array" ref="H37">ABS(pred_GDP_now!H41-pred_GDP_now!$B41)</f>
        <v>0.46742764461480013</v>
      </c>
      <c r="I37" s="10" cm="1">
        <f t="array" ref="I37">ABS(pred_GDP_now!I41-pred_GDP_now!$B41)</f>
        <v>0.27291484641943997</v>
      </c>
      <c r="J37" s="10" cm="1">
        <f t="array" ref="J37">ABS(pred_GDP_now!J41-pred_GDP_now!$B41)</f>
        <v>0.44562099999999993</v>
      </c>
      <c r="K37" s="10" cm="1">
        <f t="array" ref="K37">ABS(pred_GDP_now!K41-pred_GDP_now!$B41)</f>
        <v>0.68447570267855007</v>
      </c>
      <c r="L37" s="10" cm="1">
        <f t="array" ref="L37">ABS(pred_GDP_now!L41-pred_GDP_now!$B41)</f>
        <v>0.36055126000000004</v>
      </c>
      <c r="M37" s="10" cm="1">
        <f t="array" ref="M37">ABS(pred_GDP_now!M41-pred_GDP_now!$B41)</f>
        <v>0.134646639771693</v>
      </c>
      <c r="N37" s="10" cm="1">
        <f t="array" ref="N37">ABS(pred_GDP_now!N41-pred_GDP_now!$B41)</f>
        <v>0.49948682785034004</v>
      </c>
      <c r="O37" s="10" cm="1">
        <f t="array" ref="O37">ABS(pred_GDP_now!O41-pred_GDP_now!$B41)</f>
        <v>0.16981599999999997</v>
      </c>
      <c r="P37" s="10" cm="1">
        <f t="array" ref="P37">ABS(pred_GDP_now!P41-pred_GDP_now!$B41)</f>
        <v>0.73681600000000003</v>
      </c>
      <c r="Q37" s="6"/>
      <c r="R37" s="10">
        <v>8.6826227859210001E-2</v>
      </c>
      <c r="S37" s="10">
        <v>7.7116235841309999E-2</v>
      </c>
      <c r="T37" s="10">
        <v>9.7866999999999996E-2</v>
      </c>
      <c r="U37" s="10">
        <v>7.7116235841309999E-2</v>
      </c>
      <c r="V37" s="10">
        <v>9.8026673604159995E-2</v>
      </c>
      <c r="W37" s="10">
        <v>9.7468830780229998E-2</v>
      </c>
      <c r="X37" s="10">
        <v>8.4539890402589996E-2</v>
      </c>
      <c r="Y37" s="10">
        <v>8.6265237955560001E-2</v>
      </c>
      <c r="Z37" s="10">
        <v>8.6265237955560001E-2</v>
      </c>
    </row>
    <row r="38" spans="1:26" ht="13.8" customHeight="1" x14ac:dyDescent="0.25">
      <c r="A38" s="15">
        <v>42795</v>
      </c>
      <c r="B38" s="16">
        <v>1</v>
      </c>
      <c r="C38" s="21" cm="1">
        <f t="array" ref="C38">ABS(pred_GDP_now!C42-pred_GDP_now!$B42)</f>
        <v>7.7116235841309999E-2</v>
      </c>
      <c r="D38" s="10" cm="1">
        <f t="array" ref="D38">ABS(pred_GDP_now!D42-pred_GDP_now!$B42)</f>
        <v>0.11991599999999991</v>
      </c>
      <c r="E38" s="10" cm="1">
        <f t="array" ref="E38">ABS(pred_GDP_now!E42-pred_GDP_now!$B42)</f>
        <v>9.7866999999999926E-2</v>
      </c>
      <c r="F38" s="10" cm="1">
        <f t="array" ref="F38">ABS(pred_GDP_now!F42-pred_GDP_now!$B42)</f>
        <v>5.4443999999999937E-2</v>
      </c>
      <c r="G38" s="10" cm="1">
        <f t="array" ref="G38">ABS(pred_GDP_now!G42-pred_GDP_now!$B42)</f>
        <v>0.35240899999999997</v>
      </c>
      <c r="H38" s="10" cm="1">
        <f t="array" ref="H38">ABS(pred_GDP_now!H42-pred_GDP_now!$B42)</f>
        <v>6.702324930744008E-2</v>
      </c>
      <c r="I38" s="10" cm="1">
        <f t="array" ref="I38">ABS(pred_GDP_now!I42-pred_GDP_now!$B42)</f>
        <v>4.7909377985859924E-2</v>
      </c>
      <c r="J38" s="10" cm="1">
        <f t="array" ref="J38">ABS(pred_GDP_now!J42-pred_GDP_now!$B42)</f>
        <v>0.11335699999999993</v>
      </c>
      <c r="K38" s="10" cm="1">
        <f t="array" ref="K38">ABS(pred_GDP_now!K42-pred_GDP_now!$B42)</f>
        <v>0.10479047060229996</v>
      </c>
      <c r="L38" s="10" cm="1">
        <f t="array" ref="L38">ABS(pred_GDP_now!L42-pred_GDP_now!$B42)</f>
        <v>0.2134948000000001</v>
      </c>
      <c r="M38" s="10" cm="1">
        <f t="array" ref="M38">ABS(pred_GDP_now!M42-pred_GDP_now!$B42)</f>
        <v>0.18156684596741102</v>
      </c>
      <c r="N38" s="10" cm="1">
        <f t="array" ref="N38">ABS(pred_GDP_now!N42-pred_GDP_now!$B42)</f>
        <v>0.10703432559966997</v>
      </c>
      <c r="O38" s="10" cm="1">
        <f t="array" ref="O38">ABS(pred_GDP_now!O42-pred_GDP_now!$B42)</f>
        <v>7.421600000000006E-2</v>
      </c>
      <c r="P38" s="10" cm="1">
        <f t="array" ref="P38">ABS(pred_GDP_now!P42-pred_GDP_now!$B42)</f>
        <v>0.44720800000000005</v>
      </c>
      <c r="Q38" s="6"/>
      <c r="R38" s="10">
        <v>0.15854855072910701</v>
      </c>
      <c r="S38" s="10">
        <v>0.14540700000000001</v>
      </c>
      <c r="T38" s="10">
        <v>0.30852499999999999</v>
      </c>
      <c r="U38" s="10">
        <v>0.145376205119606</v>
      </c>
      <c r="V38" s="10">
        <v>0.28664444691868002</v>
      </c>
      <c r="W38" s="10">
        <v>0.28084988834621999</v>
      </c>
      <c r="X38" s="10">
        <v>0.17905430151985999</v>
      </c>
      <c r="Y38" s="10">
        <v>0.15738065772659701</v>
      </c>
      <c r="Z38" s="10">
        <v>0.158187290243748</v>
      </c>
    </row>
    <row r="39" spans="1:26" ht="13.8" customHeight="1" x14ac:dyDescent="0.25">
      <c r="A39" s="15">
        <v>42887</v>
      </c>
      <c r="B39" s="16">
        <v>0.8</v>
      </c>
      <c r="C39" s="21" cm="1">
        <f t="array" ref="C39">ABS(pred_GDP_now!C43-pred_GDP_now!$B43)</f>
        <v>0.29163922040275303</v>
      </c>
      <c r="D39" s="10" cm="1">
        <f t="array" ref="D39">ABS(pred_GDP_now!D43-pred_GDP_now!$B43)</f>
        <v>0.30852499999999994</v>
      </c>
      <c r="E39" s="10" cm="1">
        <f t="array" ref="E39">ABS(pred_GDP_now!E43-pred_GDP_now!$B43)</f>
        <v>0.32605200000000001</v>
      </c>
      <c r="F39" s="10" cm="1">
        <f t="array" ref="F39">ABS(pred_GDP_now!F43-pred_GDP_now!$B43)</f>
        <v>0.21531400000000001</v>
      </c>
      <c r="G39" s="10" cm="1">
        <f t="array" ref="G39">ABS(pred_GDP_now!G43-pred_GDP_now!$B43)</f>
        <v>0.11072100000000007</v>
      </c>
      <c r="H39" s="10" cm="1">
        <f t="array" ref="H39">ABS(pred_GDP_now!H43-pred_GDP_now!$B43)</f>
        <v>0.13246571895148795</v>
      </c>
      <c r="I39" s="10" cm="1">
        <f t="array" ref="I39">ABS(pred_GDP_now!I43-pred_GDP_now!$B43)</f>
        <v>0.14488391622762897</v>
      </c>
      <c r="J39" s="10" cm="1">
        <f t="array" ref="J39">ABS(pred_GDP_now!J43-pred_GDP_now!$B43)</f>
        <v>1.3014000000000081E-2</v>
      </c>
      <c r="K39" s="10" cm="1">
        <f t="array" ref="K39">ABS(pred_GDP_now!K43-pred_GDP_now!$B43)</f>
        <v>0.2296328384953199</v>
      </c>
      <c r="L39" s="10" cm="1">
        <f t="array" ref="L39">ABS(pred_GDP_now!L43-pred_GDP_now!$B43)</f>
        <v>7.6627599999999907E-3</v>
      </c>
      <c r="M39" s="10" cm="1">
        <f t="array" ref="M39">ABS(pred_GDP_now!M43-pred_GDP_now!$B43)</f>
        <v>5.016862189900051E-3</v>
      </c>
      <c r="N39" s="10" cm="1">
        <f t="array" ref="N39">ABS(pred_GDP_now!N43-pred_GDP_now!$B43)</f>
        <v>0.39161152839660995</v>
      </c>
      <c r="O39" s="10" cm="1">
        <f t="array" ref="O39">ABS(pred_GDP_now!O43-pred_GDP_now!$B43)</f>
        <v>0.14540699999999995</v>
      </c>
      <c r="P39" s="10" cm="1">
        <f t="array" ref="P39">ABS(pred_GDP_now!P43-pred_GDP_now!$B43)</f>
        <v>0.484572</v>
      </c>
      <c r="Q39" s="6"/>
      <c r="R39" s="10">
        <v>0.69210409622726299</v>
      </c>
      <c r="S39" s="10">
        <v>0.65654105034134302</v>
      </c>
      <c r="T39" s="10">
        <v>1.000759</v>
      </c>
      <c r="U39" s="10">
        <v>0.65681866634733399</v>
      </c>
      <c r="V39" s="10">
        <v>0.81279673420542997</v>
      </c>
      <c r="W39" s="10">
        <v>0.818579506599589</v>
      </c>
      <c r="X39" s="10">
        <v>0.78710939000295799</v>
      </c>
      <c r="Y39" s="10">
        <v>0.70186834022320799</v>
      </c>
      <c r="Z39" s="10">
        <v>0.68847032663863195</v>
      </c>
    </row>
    <row r="40" spans="1:26" ht="13.8" customHeight="1" x14ac:dyDescent="0.25">
      <c r="A40" s="15">
        <v>42979</v>
      </c>
      <c r="B40" s="16">
        <v>1.4</v>
      </c>
      <c r="C40" s="21" cm="1">
        <f t="array" ref="C40">ABS(pred_GDP_now!C44-pred_GDP_now!$B44)</f>
        <v>0.66219467981239288</v>
      </c>
      <c r="D40" s="10" cm="1">
        <f t="array" ref="D40">ABS(pred_GDP_now!D44-pred_GDP_now!$B44)</f>
        <v>1.1122989999999999</v>
      </c>
      <c r="E40" s="10" cm="1">
        <f t="array" ref="E40">ABS(pred_GDP_now!E44-pred_GDP_now!$B44)</f>
        <v>1.124247</v>
      </c>
      <c r="F40" s="10" cm="1">
        <f t="array" ref="F40">ABS(pred_GDP_now!F44-pred_GDP_now!$B44)</f>
        <v>1.000759</v>
      </c>
      <c r="G40" s="10" cm="1">
        <f t="array" ref="G40">ABS(pred_GDP_now!G44-pred_GDP_now!$B44)</f>
        <v>0.43035899999999994</v>
      </c>
      <c r="H40" s="10" cm="1">
        <f t="array" ref="H40">ABS(pred_GDP_now!H44-pred_GDP_now!$B44)</f>
        <v>0.65654105034134291</v>
      </c>
      <c r="I40" s="10" cm="1">
        <f t="array" ref="I40">ABS(pred_GDP_now!I44-pred_GDP_now!$B44)</f>
        <v>0.56526769880396088</v>
      </c>
      <c r="J40" s="10" cm="1">
        <f t="array" ref="J40">ABS(pred_GDP_now!J44-pred_GDP_now!$B44)</f>
        <v>0.43986799999999993</v>
      </c>
      <c r="K40" s="10" cm="1">
        <f t="array" ref="K40">ABS(pred_GDP_now!K44-pred_GDP_now!$B44)</f>
        <v>0.47867011227421696</v>
      </c>
      <c r="L40" s="10" cm="1">
        <f t="array" ref="L40">ABS(pred_GDP_now!L44-pred_GDP_now!$B44)</f>
        <v>0.72409809999999986</v>
      </c>
      <c r="M40" s="10" cm="1">
        <f t="array" ref="M40">ABS(pred_GDP_now!M44-pred_GDP_now!$B44)</f>
        <v>0.59954869640004993</v>
      </c>
      <c r="N40" s="10" cm="1">
        <f t="array" ref="N40">ABS(pred_GDP_now!N44-pred_GDP_now!$B44)</f>
        <v>0.52003791332244886</v>
      </c>
      <c r="O40" s="10" cm="1">
        <f t="array" ref="O40">ABS(pred_GDP_now!O44-pred_GDP_now!$B44)</f>
        <v>0.6876239999999999</v>
      </c>
      <c r="P40" s="10" cm="1">
        <f t="array" ref="P40">ABS(pred_GDP_now!P44-pred_GDP_now!$B44)</f>
        <v>0.42619799999999997</v>
      </c>
      <c r="Q40" s="6"/>
      <c r="R40" s="10">
        <v>1.01532873970747</v>
      </c>
      <c r="S40" s="10">
        <v>1.0193522500000001</v>
      </c>
      <c r="T40" s="10">
        <v>1.04325213918027</v>
      </c>
      <c r="U40" s="10">
        <v>1.0193522500000001</v>
      </c>
      <c r="V40" s="10">
        <v>1.0525133345736599</v>
      </c>
      <c r="W40" s="10">
        <v>1.0493793354129399</v>
      </c>
      <c r="X40" s="10">
        <v>1.01325680233101</v>
      </c>
      <c r="Y40" s="10">
        <v>1.01400401359907</v>
      </c>
      <c r="Z40" s="10">
        <v>1.0193522500000001</v>
      </c>
    </row>
    <row r="41" spans="1:26" ht="13.8" customHeight="1" x14ac:dyDescent="0.25">
      <c r="A41" s="15">
        <v>43070</v>
      </c>
      <c r="B41" s="16">
        <v>-0.3</v>
      </c>
      <c r="C41" s="21" cm="1">
        <f t="array" ref="C41">ABS(pred_GDP_now!C45-pred_GDP_now!$B45)</f>
        <v>1.0100968862729991</v>
      </c>
      <c r="D41" s="10" cm="1">
        <f t="array" ref="D41">ABS(pred_GDP_now!D45-pred_GDP_now!$B45)</f>
        <v>1.2523789999999999</v>
      </c>
      <c r="E41" s="10" cm="1">
        <f t="array" ref="E41">ABS(pred_GDP_now!E45-pred_GDP_now!$B45)</f>
        <v>0.97377099999999994</v>
      </c>
      <c r="F41" s="10" cm="1">
        <f t="array" ref="F41">ABS(pred_GDP_now!F45-pred_GDP_now!$B45)</f>
        <v>1.195778</v>
      </c>
      <c r="G41" s="10" cm="1">
        <f t="array" ref="G41">ABS(pred_GDP_now!G45-pred_GDP_now!$B45)</f>
        <v>1.6875530000000001</v>
      </c>
      <c r="H41" s="10" cm="1">
        <f t="array" ref="H41">ABS(pred_GDP_now!H45-pred_GDP_now!$B45)</f>
        <v>1.1721196047615989</v>
      </c>
      <c r="I41" s="10" cm="1">
        <f t="array" ref="I41">ABS(pred_GDP_now!I45-pred_GDP_now!$B45)</f>
        <v>1.194160425082557</v>
      </c>
      <c r="J41" s="10" cm="1">
        <f t="array" ref="J41">ABS(pred_GDP_now!J45-pred_GDP_now!$B45)</f>
        <v>0.99409499999999995</v>
      </c>
      <c r="K41" s="10" cm="1">
        <f t="array" ref="K41">ABS(pred_GDP_now!K45-pred_GDP_now!$B45)</f>
        <v>0.81212529273412204</v>
      </c>
      <c r="L41" s="10" cm="1">
        <f t="array" ref="L41">ABS(pred_GDP_now!L45-pred_GDP_now!$B45)</f>
        <v>1.0193522500000001</v>
      </c>
      <c r="M41" s="10" cm="1">
        <f t="array" ref="M41">ABS(pred_GDP_now!M45-pred_GDP_now!$B45)</f>
        <v>1.0432521391802649</v>
      </c>
      <c r="N41" s="10" cm="1">
        <f t="array" ref="N41">ABS(pred_GDP_now!N45-pred_GDP_now!$B45)</f>
        <v>1.098802018165588</v>
      </c>
      <c r="O41" s="10" cm="1">
        <f t="array" ref="O41">ABS(pred_GDP_now!O45-pred_GDP_now!$B45)</f>
        <v>0.65492799999999995</v>
      </c>
      <c r="P41" s="10" cm="1">
        <f t="array" ref="P41">ABS(pred_GDP_now!P45-pred_GDP_now!$B45)</f>
        <v>0.77841399999999994</v>
      </c>
      <c r="Q41" s="6"/>
      <c r="R41" s="10">
        <v>0.33631228902703297</v>
      </c>
      <c r="S41" s="10">
        <v>0.36293199999999998</v>
      </c>
      <c r="T41" s="10">
        <v>0.36293199999999998</v>
      </c>
      <c r="U41" s="10">
        <v>0.35439632500613</v>
      </c>
      <c r="V41" s="10">
        <v>0.27896374698026999</v>
      </c>
      <c r="W41" s="10">
        <v>0.27628187658762998</v>
      </c>
      <c r="X41" s="10">
        <v>0.2985528406745</v>
      </c>
      <c r="Y41" s="10">
        <v>0.31776567171537801</v>
      </c>
      <c r="Z41" s="10">
        <v>0.327995537245098</v>
      </c>
    </row>
    <row r="42" spans="1:26" ht="13.8" customHeight="1" x14ac:dyDescent="0.25">
      <c r="A42" s="15">
        <v>43160</v>
      </c>
      <c r="B42" s="16">
        <v>1.3</v>
      </c>
      <c r="C42" s="21" cm="1">
        <f t="array" ref="C42">ABS(pred_GDP_now!C46-pred_GDP_now!$B46)</f>
        <v>0.19200216144201998</v>
      </c>
      <c r="D42" s="10" cm="1">
        <f t="array" ref="D42">ABS(pred_GDP_now!D46-pred_GDP_now!$B46)</f>
        <v>0.621278</v>
      </c>
      <c r="E42" s="10" cm="1">
        <f t="array" ref="E42">ABS(pred_GDP_now!E46-pred_GDP_now!$B46)</f>
        <v>0.49190700000000009</v>
      </c>
      <c r="F42" s="10" cm="1">
        <f t="array" ref="F42">ABS(pred_GDP_now!F46-pred_GDP_now!$B46)</f>
        <v>0.59031300000000009</v>
      </c>
      <c r="G42" s="10" cm="1">
        <f t="array" ref="G42">ABS(pred_GDP_now!G46-pred_GDP_now!$B46)</f>
        <v>0.54651500000000008</v>
      </c>
      <c r="H42" s="10" cm="1">
        <f t="array" ref="H42">ABS(pred_GDP_now!H46-pred_GDP_now!$B46)</f>
        <v>0.32247359896905303</v>
      </c>
      <c r="I42" s="10" cm="1">
        <f t="array" ref="I42">ABS(pred_GDP_now!I46-pred_GDP_now!$B46)</f>
        <v>0.29456204232079997</v>
      </c>
      <c r="J42" s="10" cm="1">
        <f t="array" ref="J42">ABS(pred_GDP_now!J46-pred_GDP_now!$B46)</f>
        <v>0.36293200000000003</v>
      </c>
      <c r="K42" s="10" cm="1">
        <f t="array" ref="K42">ABS(pred_GDP_now!K46-pred_GDP_now!$B46)</f>
        <v>8.5909835483789943E-2</v>
      </c>
      <c r="L42" s="10" cm="1">
        <f t="array" ref="L42">ABS(pred_GDP_now!L46-pred_GDP_now!$B46)</f>
        <v>0.49558966000000004</v>
      </c>
      <c r="M42" s="10" cm="1">
        <f t="array" ref="M42">ABS(pred_GDP_now!M46-pred_GDP_now!$B46)</f>
        <v>0.18822271658205003</v>
      </c>
      <c r="N42" s="10" cm="1">
        <f t="array" ref="N42">ABS(pred_GDP_now!N46-pred_GDP_now!$B46)</f>
        <v>0.58780174255371109</v>
      </c>
      <c r="O42" s="10" cm="1">
        <f t="array" ref="O42">ABS(pred_GDP_now!O46-pred_GDP_now!$B46)</f>
        <v>0.55567800000000001</v>
      </c>
      <c r="P42" s="10" cm="1">
        <f t="array" ref="P42">ABS(pred_GDP_now!P46-pred_GDP_now!$B46)</f>
        <v>0.41660999999999992</v>
      </c>
      <c r="Q42" s="6"/>
      <c r="R42" s="10">
        <v>6.6115275186860003E-3</v>
      </c>
      <c r="S42" s="10">
        <v>6.6259100000000001E-2</v>
      </c>
      <c r="T42" s="10">
        <v>0.12273773275599099</v>
      </c>
      <c r="U42" s="10">
        <v>6.6259100000000001E-2</v>
      </c>
      <c r="V42" s="10">
        <v>6.4205867640945005E-2</v>
      </c>
      <c r="W42" s="10">
        <v>6.0638945477485003E-2</v>
      </c>
      <c r="X42" s="10">
        <v>2.8780402176060002E-3</v>
      </c>
      <c r="Y42" s="10">
        <v>4.2656668611989997E-3</v>
      </c>
      <c r="Z42" s="10">
        <v>6.4205867640945005E-2</v>
      </c>
    </row>
    <row r="43" spans="1:26" ht="13.8" customHeight="1" x14ac:dyDescent="0.25">
      <c r="A43" s="15">
        <v>43252</v>
      </c>
      <c r="B43" s="16">
        <v>0.7</v>
      </c>
      <c r="C43" s="21" cm="1">
        <f t="array" ref="C43">ABS(pred_GDP_now!C47-pred_GDP_now!$B47)</f>
        <v>0.25959584354394405</v>
      </c>
      <c r="D43" s="10" cm="1">
        <f t="array" ref="D43">ABS(pred_GDP_now!D47-pred_GDP_now!$B47)</f>
        <v>1.1342999999999992E-2</v>
      </c>
      <c r="E43" s="10" cm="1">
        <f t="array" ref="E43">ABS(pred_GDP_now!E47-pred_GDP_now!$B47)</f>
        <v>0.14766399999999991</v>
      </c>
      <c r="F43" s="10" cm="1">
        <f t="array" ref="F43">ABS(pred_GDP_now!F47-pred_GDP_now!$B47)</f>
        <v>1.2880000000000669E-3</v>
      </c>
      <c r="G43" s="10" cm="1">
        <f t="array" ref="G43">ABS(pred_GDP_now!G47-pred_GDP_now!$B47)</f>
        <v>0.38373999999999997</v>
      </c>
      <c r="H43" s="10" cm="1">
        <f t="array" ref="H43">ABS(pred_GDP_now!H47-pred_GDP_now!$B47)</f>
        <v>0.13320853081513595</v>
      </c>
      <c r="I43" s="10" cm="1">
        <f t="array" ref="I43">ABS(pred_GDP_now!I47-pred_GDP_now!$B47)</f>
        <v>0.15106982796540991</v>
      </c>
      <c r="J43" s="10" cm="1">
        <f t="array" ref="J43">ABS(pred_GDP_now!J47-pred_GDP_now!$B47)</f>
        <v>0.13720100000000002</v>
      </c>
      <c r="K43" s="10" cm="1">
        <f t="array" ref="K43">ABS(pred_GDP_now!K47-pred_GDP_now!$B47)</f>
        <v>0.12273773275599098</v>
      </c>
      <c r="L43" s="10" cm="1">
        <f t="array" ref="L43">ABS(pred_GDP_now!L47-pred_GDP_now!$B47)</f>
        <v>6.6259099999999904E-2</v>
      </c>
      <c r="M43" s="10" cm="1">
        <f t="array" ref="M43">ABS(pred_GDP_now!M47-pred_GDP_now!$B47)</f>
        <v>0.20004159972254898</v>
      </c>
      <c r="N43" s="10" cm="1">
        <f t="array" ref="N43">ABS(pred_GDP_now!N47-pred_GDP_now!$B47)</f>
        <v>0.61321680545807</v>
      </c>
      <c r="O43" s="10" cm="1">
        <f t="array" ref="O43">ABS(pred_GDP_now!O47-pred_GDP_now!$B47)</f>
        <v>1.2100999999999917E-2</v>
      </c>
      <c r="P43" s="10" cm="1">
        <f t="array" ref="P43">ABS(pred_GDP_now!P47-pred_GDP_now!$B47)</f>
        <v>0.10361299999999996</v>
      </c>
      <c r="Q43" s="6"/>
      <c r="R43" s="10">
        <v>6.0551647160818997E-2</v>
      </c>
      <c r="S43" s="10">
        <v>4.256360970225E-3</v>
      </c>
      <c r="T43" s="10">
        <v>4.256360970225E-3</v>
      </c>
      <c r="U43" s="10">
        <v>3.5839223730270002E-3</v>
      </c>
      <c r="V43" s="10">
        <v>5.7856486438050997E-2</v>
      </c>
      <c r="W43" s="10">
        <v>5.2982565430816003E-2</v>
      </c>
      <c r="X43" s="10">
        <v>4.7709770450914998E-2</v>
      </c>
      <c r="Y43" s="10">
        <v>6.038020812192E-2</v>
      </c>
      <c r="Z43" s="10">
        <v>4.256360970225E-3</v>
      </c>
    </row>
    <row r="44" spans="1:26" ht="13.8" customHeight="1" x14ac:dyDescent="0.25">
      <c r="A44" s="15">
        <v>43344</v>
      </c>
      <c r="B44" s="16">
        <v>0.6</v>
      </c>
      <c r="C44" s="21" cm="1">
        <f t="array" ref="C44">ABS(pred_GDP_now!C48-pred_GDP_now!$B48)</f>
        <v>0.37109739262780206</v>
      </c>
      <c r="D44" s="10" cm="1">
        <f t="array" ref="D44">ABS(pred_GDP_now!D48-pred_GDP_now!$B48)</f>
        <v>7.6311999999999935E-2</v>
      </c>
      <c r="E44" s="10" cm="1">
        <f t="array" ref="E44">ABS(pred_GDP_now!E48-pred_GDP_now!$B48)</f>
        <v>0.124334</v>
      </c>
      <c r="F44" s="10" cm="1">
        <f t="array" ref="F44">ABS(pred_GDP_now!F48-pred_GDP_now!$B48)</f>
        <v>2.8575999999999935E-2</v>
      </c>
      <c r="G44" s="10" cm="1">
        <f t="array" ref="G44">ABS(pred_GDP_now!G48-pred_GDP_now!$B48)</f>
        <v>0.23822199999999999</v>
      </c>
      <c r="H44" s="10" cm="1">
        <f t="array" ref="H44">ABS(pred_GDP_now!H48-pred_GDP_now!$B48)</f>
        <v>0.48001629740860008</v>
      </c>
      <c r="I44" s="10" cm="1">
        <f t="array" ref="I44">ABS(pred_GDP_now!I48-pred_GDP_now!$B48)</f>
        <v>0.44576878418998012</v>
      </c>
      <c r="J44" s="10" cm="1">
        <f t="array" ref="J44">ABS(pred_GDP_now!J48-pred_GDP_now!$B48)</f>
        <v>0.10181600000000002</v>
      </c>
      <c r="K44" s="10" cm="1">
        <f t="array" ref="K44">ABS(pred_GDP_now!K48-pred_GDP_now!$B48)</f>
        <v>4.2563609702259697E-3</v>
      </c>
      <c r="L44" s="10" cm="1">
        <f t="array" ref="L44">ABS(pred_GDP_now!L48-pred_GDP_now!$B48)</f>
        <v>0.25250707</v>
      </c>
      <c r="M44" s="10" cm="1">
        <f t="array" ref="M44">ABS(pred_GDP_now!M48-pred_GDP_now!$B48)</f>
        <v>1.9243700929505003E-2</v>
      </c>
      <c r="N44" s="10" cm="1">
        <f t="array" ref="N44">ABS(pred_GDP_now!N48-pred_GDP_now!$B48)</f>
        <v>8.5457348823547052E-2</v>
      </c>
      <c r="O44" s="10" cm="1">
        <f t="array" ref="O44">ABS(pred_GDP_now!O48-pred_GDP_now!$B48)</f>
        <v>7.9212999999999978E-2</v>
      </c>
      <c r="P44" s="10" cm="1">
        <f t="array" ref="P44">ABS(pred_GDP_now!P48-pred_GDP_now!$B48)</f>
        <v>0.27948099999999998</v>
      </c>
      <c r="Q44" s="6"/>
      <c r="R44" s="10">
        <v>0.19957879711672999</v>
      </c>
      <c r="S44" s="10">
        <v>0.24896725942010001</v>
      </c>
      <c r="T44" s="10">
        <v>0.14688172158614701</v>
      </c>
      <c r="U44" s="10">
        <v>0.269301217487742</v>
      </c>
      <c r="V44" s="10">
        <v>0.25235301125322901</v>
      </c>
      <c r="W44" s="10">
        <v>0.247192226554376</v>
      </c>
      <c r="X44" s="10">
        <v>0.20413937719240899</v>
      </c>
      <c r="Y44" s="10">
        <v>0.20000461885166801</v>
      </c>
      <c r="Z44" s="10">
        <v>0.248535585348513</v>
      </c>
    </row>
    <row r="45" spans="1:26" ht="13.8" customHeight="1" x14ac:dyDescent="0.25">
      <c r="A45" s="15">
        <v>43435</v>
      </c>
      <c r="B45" s="16">
        <v>0.6</v>
      </c>
      <c r="C45" s="21" cm="1">
        <f t="array" ref="C45">ABS(pred_GDP_now!C49-pred_GDP_now!$B49)</f>
        <v>0.33410847368081398</v>
      </c>
      <c r="D45" s="10" cm="1">
        <f t="array" ref="D45">ABS(pred_GDP_now!D49-pred_GDP_now!$B49)</f>
        <v>0.50305999999999995</v>
      </c>
      <c r="E45" s="10" cm="1">
        <f t="array" ref="E45">ABS(pred_GDP_now!E49-pred_GDP_now!$B49)</f>
        <v>0.62168999999999996</v>
      </c>
      <c r="F45" s="10" cm="1">
        <f t="array" ref="F45">ABS(pred_GDP_now!F49-pred_GDP_now!$B49)</f>
        <v>0.35411099999999995</v>
      </c>
      <c r="G45" s="10" cm="1">
        <f t="array" ref="G45">ABS(pred_GDP_now!G49-pred_GDP_now!$B49)</f>
        <v>0.14957399999999998</v>
      </c>
      <c r="H45" s="10" cm="1">
        <f t="array" ref="H45">ABS(pred_GDP_now!H49-pred_GDP_now!$B49)</f>
        <v>0.24896725942009995</v>
      </c>
      <c r="I45" s="10" cm="1">
        <f t="array" ref="I45">ABS(pred_GDP_now!I49-pred_GDP_now!$B49)</f>
        <v>6.1246054498108049E-2</v>
      </c>
      <c r="J45" s="10" cm="1">
        <f t="array" ref="J45">ABS(pred_GDP_now!J49-pred_GDP_now!$B49)</f>
        <v>0.10308300000000004</v>
      </c>
      <c r="K45" s="10" cm="1">
        <f t="array" ref="K45">ABS(pred_GDP_now!K49-pred_GDP_now!$B49)</f>
        <v>0.14688172158614599</v>
      </c>
      <c r="L45" s="10" cm="1">
        <f t="array" ref="L45">ABS(pred_GDP_now!L49-pred_GDP_now!$B49)</f>
        <v>0.54391584399999993</v>
      </c>
      <c r="M45" s="10" cm="1">
        <f t="array" ref="M45">ABS(pred_GDP_now!M49-pred_GDP_now!$B49)</f>
        <v>0.53997128534655003</v>
      </c>
      <c r="N45" s="10" cm="1">
        <f t="array" ref="N45">ABS(pred_GDP_now!N49-pred_GDP_now!$B49)</f>
        <v>0.12548359632492101</v>
      </c>
      <c r="O45" s="10" cm="1">
        <f t="array" ref="O45">ABS(pred_GDP_now!O49-pred_GDP_now!$B49)</f>
        <v>0.482321</v>
      </c>
      <c r="P45" s="10" cm="1">
        <f t="array" ref="P45">ABS(pred_GDP_now!P49-pred_GDP_now!$B49)</f>
        <v>0.189253</v>
      </c>
      <c r="Q45" s="6"/>
      <c r="R45" s="10">
        <v>0.29223357834805203</v>
      </c>
      <c r="S45" s="10">
        <v>0.25650499999999998</v>
      </c>
      <c r="T45" s="10">
        <v>0.46154299999999998</v>
      </c>
      <c r="U45" s="10">
        <v>0.24145007754300099</v>
      </c>
      <c r="V45" s="10">
        <v>1.48637133962161E-2</v>
      </c>
      <c r="W45" s="10">
        <v>1.5501631504712799E-2</v>
      </c>
      <c r="X45" s="10">
        <v>0.20157972148325801</v>
      </c>
      <c r="Y45" s="10">
        <v>0.29175247718307001</v>
      </c>
      <c r="Z45" s="10">
        <v>0.240800702749698</v>
      </c>
    </row>
    <row r="46" spans="1:26" ht="13.8" customHeight="1" x14ac:dyDescent="0.25">
      <c r="A46" s="15">
        <v>43525</v>
      </c>
      <c r="B46" s="16">
        <v>-0.1</v>
      </c>
      <c r="C46" s="21" cm="1">
        <f t="array" ref="C46">ABS(pred_GDP_now!C50-pred_GDP_now!$B50)</f>
        <v>0.218252665541146</v>
      </c>
      <c r="D46" s="10" cm="1">
        <f t="array" ref="D46">ABS(pred_GDP_now!D50-pred_GDP_now!$B50)</f>
        <v>2.7740000000000001E-2</v>
      </c>
      <c r="E46" s="10" cm="1">
        <f t="array" ref="E46">ABS(pred_GDP_now!E50-pred_GDP_now!$B50)</f>
        <v>0.22045000000000001</v>
      </c>
      <c r="F46" s="10" cm="1">
        <f t="array" ref="F46">ABS(pred_GDP_now!F50-pred_GDP_now!$B50)</f>
        <v>0.25650499999999998</v>
      </c>
      <c r="G46" s="10" cm="1">
        <f t="array" ref="G46">ABS(pred_GDP_now!G50-pred_GDP_now!$B50)</f>
        <v>0.85638000000000003</v>
      </c>
      <c r="H46" s="10" cm="1">
        <f t="array" ref="H46">ABS(pred_GDP_now!H50-pred_GDP_now!$B50)</f>
        <v>0.61255534718245697</v>
      </c>
      <c r="I46" s="10" cm="1">
        <f t="array" ref="I46">ABS(pred_GDP_now!I50-pred_GDP_now!$B50)</f>
        <v>0.70620221756519996</v>
      </c>
      <c r="J46" s="10" cm="1">
        <f t="array" ref="J46">ABS(pred_GDP_now!J50-pred_GDP_now!$B50)</f>
        <v>0.46154300000000004</v>
      </c>
      <c r="K46" s="10" cm="1">
        <f t="array" ref="K46">ABS(pred_GDP_now!K50-pred_GDP_now!$B50)</f>
        <v>1.3809949015451711E-2</v>
      </c>
      <c r="L46" s="10" cm="1">
        <f t="array" ref="L46">ABS(pred_GDP_now!L50-pred_GDP_now!$B50)</f>
        <v>0.81092299999999995</v>
      </c>
      <c r="M46" s="10" cm="1">
        <f t="array" ref="M46">ABS(pred_GDP_now!M50-pred_GDP_now!$B50)</f>
        <v>0.71333592145004598</v>
      </c>
      <c r="N46" s="10" cm="1">
        <f t="array" ref="N46">ABS(pred_GDP_now!N50-pred_GDP_now!$B50)</f>
        <v>0.78573641777038594</v>
      </c>
      <c r="O46" s="10" cm="1">
        <f t="array" ref="O46">ABS(pred_GDP_now!O50-pred_GDP_now!$B50)</f>
        <v>0.46797699999999998</v>
      </c>
      <c r="P46" s="10" cm="1">
        <f t="array" ref="P46">ABS(pred_GDP_now!P50-pred_GDP_now!$B50)</f>
        <v>0.11914</v>
      </c>
      <c r="Q46" s="6"/>
      <c r="R46" s="10">
        <v>0.167459718749327</v>
      </c>
      <c r="S46" s="10">
        <v>0.21900900000000001</v>
      </c>
      <c r="T46" s="10">
        <v>0.24591499999999999</v>
      </c>
      <c r="U46" s="10">
        <v>0.21900900000000001</v>
      </c>
      <c r="V46" s="10">
        <v>0.20583508807734599</v>
      </c>
      <c r="W46" s="10">
        <v>0.20443254798320001</v>
      </c>
      <c r="X46" s="10">
        <v>0.18943704924831101</v>
      </c>
      <c r="Y46" s="10">
        <v>0.16778809777253101</v>
      </c>
      <c r="Z46" s="10">
        <v>0.20583508807734599</v>
      </c>
    </row>
    <row r="47" spans="1:26" ht="13.8" customHeight="1" x14ac:dyDescent="0.25">
      <c r="A47" s="15">
        <v>43617</v>
      </c>
      <c r="B47" s="16">
        <v>1.1000000000000001</v>
      </c>
      <c r="C47" s="21" cm="1">
        <f t="array" ref="C47">ABS(pred_GDP_now!C51-pred_GDP_now!$B51)</f>
        <v>1.1568352761649914E-2</v>
      </c>
      <c r="D47" s="10" cm="1">
        <f t="array" ref="D47">ABS(pred_GDP_now!D51-pred_GDP_now!$B51)</f>
        <v>0.24591500000000011</v>
      </c>
      <c r="E47" s="10" cm="1">
        <f t="array" ref="E47">ABS(pred_GDP_now!E51-pred_GDP_now!$B51)</f>
        <v>0.26245800000000008</v>
      </c>
      <c r="F47" s="10" cm="1">
        <f t="array" ref="F47">ABS(pred_GDP_now!F51-pred_GDP_now!$B51)</f>
        <v>0.29676200000000008</v>
      </c>
      <c r="G47" s="10" cm="1">
        <f t="array" ref="G47">ABS(pred_GDP_now!G51-pred_GDP_now!$B51)</f>
        <v>0.15487600000000001</v>
      </c>
      <c r="H47" s="10" cm="1">
        <f t="array" ref="H47">ABS(pred_GDP_now!H51-pred_GDP_now!$B51)</f>
        <v>5.9983399256440029E-2</v>
      </c>
      <c r="I47" s="10" cm="1">
        <f t="array" ref="I47">ABS(pred_GDP_now!I51-pred_GDP_now!$B51)</f>
        <v>0.10381755305295004</v>
      </c>
      <c r="J47" s="10" cm="1">
        <f t="array" ref="J47">ABS(pred_GDP_now!J51-pred_GDP_now!$B51)</f>
        <v>0.21900900000000012</v>
      </c>
      <c r="K47" s="10" cm="1">
        <f t="array" ref="K47">ABS(pred_GDP_now!K51-pred_GDP_now!$B51)</f>
        <v>0.22702054263023808</v>
      </c>
      <c r="L47" s="10" cm="1">
        <f t="array" ref="L47">ABS(pred_GDP_now!L51-pred_GDP_now!$B51)</f>
        <v>0.58711120000000006</v>
      </c>
      <c r="M47" s="10" cm="1">
        <f t="array" ref="M47">ABS(pred_GDP_now!M51-pred_GDP_now!$B51)</f>
        <v>0.23521609151383005</v>
      </c>
      <c r="N47" s="10" cm="1">
        <f t="array" ref="N47">ABS(pred_GDP_now!N51-pred_GDP_now!$B51)</f>
        <v>0.20905508995055988</v>
      </c>
      <c r="O47" s="10" cm="1">
        <f t="array" ref="O47">ABS(pred_GDP_now!O51-pred_GDP_now!$B51)</f>
        <v>0.12701000000000007</v>
      </c>
      <c r="P47" s="10" cm="1">
        <f t="array" ref="P47">ABS(pred_GDP_now!P51-pred_GDP_now!$B51)</f>
        <v>3.3297000000000132E-2</v>
      </c>
      <c r="Q47" s="6"/>
      <c r="R47" s="10">
        <v>0.277589706374816</v>
      </c>
      <c r="S47" s="10">
        <v>0.28031200000000001</v>
      </c>
      <c r="T47" s="10">
        <v>7.0158257943808006E-2</v>
      </c>
      <c r="U47" s="10">
        <v>0.27927159248540401</v>
      </c>
      <c r="V47" s="10">
        <v>0.16313576192052201</v>
      </c>
      <c r="W47" s="10">
        <v>0.16634621175782499</v>
      </c>
      <c r="X47" s="10">
        <v>0.211787348854899</v>
      </c>
      <c r="Y47" s="10">
        <v>0.26708364206718699</v>
      </c>
      <c r="Z47" s="10">
        <v>0.26660049130640601</v>
      </c>
    </row>
    <row r="48" spans="1:26" ht="13.8" customHeight="1" x14ac:dyDescent="0.25">
      <c r="A48" s="15">
        <v>43709</v>
      </c>
      <c r="B48" s="16">
        <v>0.4</v>
      </c>
      <c r="C48" s="21" cm="1">
        <f t="array" ref="C48">ABS(pred_GDP_now!C52-pred_GDP_now!$B52)</f>
        <v>0.29987894239150903</v>
      </c>
      <c r="D48" s="10" cm="1">
        <f t="array" ref="D48">ABS(pred_GDP_now!D52-pred_GDP_now!$B52)</f>
        <v>4.9809999999999965E-2</v>
      </c>
      <c r="E48" s="10" cm="1">
        <f t="array" ref="E48">ABS(pred_GDP_now!E52-pred_GDP_now!$B52)</f>
        <v>4.8457000000000028E-2</v>
      </c>
      <c r="F48" s="10" cm="1">
        <f t="array" ref="F48">ABS(pred_GDP_now!F52-pred_GDP_now!$B52)</f>
        <v>0.11146299999999998</v>
      </c>
      <c r="G48" s="10" cm="1">
        <f t="array" ref="G48">ABS(pred_GDP_now!G52-pred_GDP_now!$B52)</f>
        <v>0.60011599999999998</v>
      </c>
      <c r="H48" s="10" cm="1">
        <f t="array" ref="H48">ABS(pred_GDP_now!H52-pred_GDP_now!$B52)</f>
        <v>7.8874448953350995E-2</v>
      </c>
      <c r="I48" s="10" cm="1">
        <f t="array" ref="I48">ABS(pred_GDP_now!I52-pred_GDP_now!$B52)</f>
        <v>0.26429596497350893</v>
      </c>
      <c r="J48" s="10" cm="1">
        <f t="array" ref="J48">ABS(pred_GDP_now!J52-pred_GDP_now!$B52)</f>
        <v>0.28031200000000001</v>
      </c>
      <c r="K48" s="10" cm="1">
        <f t="array" ref="K48">ABS(pred_GDP_now!K52-pred_GDP_now!$B52)</f>
        <v>7.0158257943807978E-2</v>
      </c>
      <c r="L48" s="10" cm="1">
        <f t="array" ref="L48">ABS(pred_GDP_now!L52-pred_GDP_now!$B52)</f>
        <v>0.78938549999999996</v>
      </c>
      <c r="M48" s="10" cm="1">
        <f t="array" ref="M48">ABS(pred_GDP_now!M52-pred_GDP_now!$B52)</f>
        <v>0.30446534471822095</v>
      </c>
      <c r="N48" s="10" cm="1">
        <f t="array" ref="N48">ABS(pred_GDP_now!N52-pred_GDP_now!$B52)</f>
        <v>0.61489472389220989</v>
      </c>
      <c r="O48" s="10" cm="1">
        <f t="array" ref="O48">ABS(pred_GDP_now!O52-pred_GDP_now!$B52)</f>
        <v>0.40779100000000001</v>
      </c>
      <c r="P48" s="10" cm="1">
        <f t="array" ref="P48">ABS(pred_GDP_now!P52-pred_GDP_now!$B52)</f>
        <v>0.38579399999999997</v>
      </c>
      <c r="Q48" s="6"/>
      <c r="R48" s="10">
        <v>0.49911512345626902</v>
      </c>
      <c r="S48" s="10">
        <v>0.49776750170176498</v>
      </c>
      <c r="T48" s="10">
        <v>0.33248800000000001</v>
      </c>
      <c r="U48" s="10">
        <v>0.48650353615091002</v>
      </c>
      <c r="V48" s="10">
        <v>0.39049034134098098</v>
      </c>
      <c r="W48" s="10">
        <v>0.39433512466543102</v>
      </c>
      <c r="X48" s="10">
        <v>0.43155658064535102</v>
      </c>
      <c r="Y48" s="10">
        <v>0.49444103392916899</v>
      </c>
      <c r="Z48" s="10">
        <v>0.47218270587433298</v>
      </c>
    </row>
    <row r="49" spans="1:26" ht="13.8" customHeight="1" x14ac:dyDescent="0.25">
      <c r="A49" s="15">
        <v>43800</v>
      </c>
      <c r="B49" s="16">
        <v>1.2</v>
      </c>
      <c r="C49" s="21" cm="1">
        <f t="array" ref="C49">ABS(pred_GDP_now!C53-pred_GDP_now!$B53)</f>
        <v>0.62409547447595992</v>
      </c>
      <c r="D49" s="10" cm="1">
        <f t="array" ref="D49">ABS(pred_GDP_now!D53-pred_GDP_now!$B53)</f>
        <v>0.57901499999999995</v>
      </c>
      <c r="E49" s="10" cm="1">
        <f t="array" ref="E49">ABS(pred_GDP_now!E53-pred_GDP_now!$B53)</f>
        <v>0.64532299999999998</v>
      </c>
      <c r="F49" s="10" cm="1">
        <f t="array" ref="F49">ABS(pred_GDP_now!F53-pred_GDP_now!$B53)</f>
        <v>0.57649399999999995</v>
      </c>
      <c r="G49" s="10" cm="1">
        <f t="array" ref="G49">ABS(pred_GDP_now!G53-pred_GDP_now!$B53)</f>
        <v>0.91121099999999999</v>
      </c>
      <c r="H49" s="10" cm="1">
        <f t="array" ref="H49">ABS(pred_GDP_now!H53-pred_GDP_now!$B53)</f>
        <v>0.2244717137510549</v>
      </c>
      <c r="I49" s="10" cm="1">
        <f t="array" ref="I49">ABS(pred_GDP_now!I53-pred_GDP_now!$B53)</f>
        <v>7.5382591883659922E-2</v>
      </c>
      <c r="J49" s="10" cm="1">
        <f t="array" ref="J49">ABS(pred_GDP_now!J53-pred_GDP_now!$B53)</f>
        <v>0.347908</v>
      </c>
      <c r="K49" s="10" cm="1">
        <f t="array" ref="K49">ABS(pred_GDP_now!K53-pred_GDP_now!$B53)</f>
        <v>0.302198404525161</v>
      </c>
      <c r="L49" s="10" cm="1">
        <f t="array" ref="L49">ABS(pred_GDP_now!L53-pred_GDP_now!$B53)</f>
        <v>0.32632774999999992</v>
      </c>
      <c r="M49" s="10" cm="1">
        <f t="array" ref="M49">ABS(pred_GDP_now!M53-pred_GDP_now!$B53)</f>
        <v>0.49776750170176498</v>
      </c>
      <c r="N49" s="10" cm="1">
        <f t="array" ref="N49">ABS(pred_GDP_now!N53-pred_GDP_now!$B53)</f>
        <v>1.1229791685938835</v>
      </c>
      <c r="O49" s="10" cm="1">
        <f t="array" ref="O49">ABS(pred_GDP_now!O53-pred_GDP_now!$B53)</f>
        <v>0.83404599999999995</v>
      </c>
      <c r="P49" s="10" cm="1">
        <f t="array" ref="P49">ABS(pred_GDP_now!P53-pred_GDP_now!$B53)</f>
        <v>0.33248800000000001</v>
      </c>
      <c r="Q49" s="6"/>
      <c r="R49" s="10">
        <v>1.3992390251495901</v>
      </c>
      <c r="S49" s="10">
        <v>1.332603</v>
      </c>
      <c r="T49" s="10">
        <v>1.332603</v>
      </c>
      <c r="U49" s="10">
        <v>1.3202201485618299</v>
      </c>
      <c r="V49" s="10">
        <v>1.4708831114426999</v>
      </c>
      <c r="W49" s="10">
        <v>1.4705800836514999</v>
      </c>
      <c r="X49" s="10">
        <v>1.45231056420533</v>
      </c>
      <c r="Y49" s="10">
        <v>1.41299718886518</v>
      </c>
      <c r="Z49" s="10">
        <v>1.332603</v>
      </c>
    </row>
    <row r="50" spans="1:26" ht="13.8" customHeight="1" x14ac:dyDescent="0.25">
      <c r="A50" s="15">
        <v>43891</v>
      </c>
      <c r="B50" s="16">
        <v>-1.3</v>
      </c>
      <c r="C50" s="21" cm="1">
        <f t="array" ref="C50">ABS(pred_GDP_now!C54-pred_GDP_now!$B54)</f>
        <v>1.2606112519243642</v>
      </c>
      <c r="D50" s="10" cm="1">
        <f t="array" ref="D50">ABS(pred_GDP_now!D54-pred_GDP_now!$B54)</f>
        <v>1.29525</v>
      </c>
      <c r="E50" s="10" cm="1">
        <f t="array" ref="E50">ABS(pred_GDP_now!E54-pred_GDP_now!$B54)</f>
        <v>1.1533900000000001</v>
      </c>
      <c r="F50" s="10" cm="1">
        <f t="array" ref="F50">ABS(pred_GDP_now!F54-pred_GDP_now!$B54)</f>
        <v>1.4801690000000001</v>
      </c>
      <c r="G50" s="10" cm="1">
        <f t="array" ref="G50">ABS(pred_GDP_now!G54-pred_GDP_now!$B54)</f>
        <v>1.579367</v>
      </c>
      <c r="H50" s="10" cm="1">
        <f t="array" ref="H50">ABS(pred_GDP_now!H54-pred_GDP_now!$B54)</f>
        <v>1.2639838499731704</v>
      </c>
      <c r="I50" s="10" cm="1">
        <f t="array" ref="I50">ABS(pred_GDP_now!I54-pred_GDP_now!$B54)</f>
        <v>1.924116126451483</v>
      </c>
      <c r="J50" s="10" cm="1">
        <f t="array" ref="J50">ABS(pred_GDP_now!J54-pred_GDP_now!$B54)</f>
        <v>2.1396190000000002</v>
      </c>
      <c r="K50" s="10" cm="1">
        <f t="array" ref="K50">ABS(pred_GDP_now!K54-pred_GDP_now!$B54)</f>
        <v>1.5318738090357291</v>
      </c>
      <c r="L50" s="10" cm="1">
        <f t="array" ref="L50">ABS(pred_GDP_now!L54-pred_GDP_now!$B54)</f>
        <v>0.57868134000000004</v>
      </c>
      <c r="M50" s="10" cm="1">
        <f t="array" ref="M50">ABS(pred_GDP_now!M54-pred_GDP_now!$B54)</f>
        <v>1.3574058477895756</v>
      </c>
      <c r="N50" s="10" cm="1">
        <f t="array" ref="N50">ABS(pred_GDP_now!N54-pred_GDP_now!$B54)</f>
        <v>1.600211101770401</v>
      </c>
      <c r="O50" s="10" cm="1">
        <f t="array" ref="O50">ABS(pred_GDP_now!O54-pred_GDP_now!$B54)</f>
        <v>1.2721930000000001</v>
      </c>
      <c r="P50" s="10" cm="1">
        <f t="array" ref="P50">ABS(pred_GDP_now!P54-pred_GDP_now!$B54)</f>
        <v>1.332603</v>
      </c>
      <c r="Q50" s="6"/>
      <c r="R50" s="10">
        <v>1.9192591210602601</v>
      </c>
      <c r="S50" s="10">
        <v>2.0151009870290202</v>
      </c>
      <c r="T50" s="10">
        <v>1.8387899999999999</v>
      </c>
      <c r="U50" s="10">
        <v>0.16442632675169999</v>
      </c>
      <c r="V50" s="10">
        <v>2.3305924971500001</v>
      </c>
      <c r="W50" s="10">
        <v>2.3117956234205201</v>
      </c>
      <c r="X50" s="10">
        <v>2.0443938178055698</v>
      </c>
      <c r="Y50" s="10">
        <v>1.9967480735587</v>
      </c>
      <c r="Z50" s="10">
        <v>0.16442632675169999</v>
      </c>
    </row>
    <row r="51" spans="1:26" ht="13.8" customHeight="1" x14ac:dyDescent="0.25">
      <c r="A51" s="15">
        <v>43983</v>
      </c>
      <c r="B51" s="16">
        <v>-3</v>
      </c>
      <c r="C51" s="21" cm="1">
        <f t="array" ref="C51">ABS(pred_GDP_now!C55-pred_GDP_now!$B55)</f>
        <v>2.4550175620935661</v>
      </c>
      <c r="D51" s="10" cm="1">
        <f t="array" ref="D51">ABS(pred_GDP_now!D55-pred_GDP_now!$B55)</f>
        <v>1.74597</v>
      </c>
      <c r="E51" s="10" cm="1">
        <f t="array" ref="E51">ABS(pred_GDP_now!E55-pred_GDP_now!$B55)</f>
        <v>1.8387899999999999</v>
      </c>
      <c r="F51" s="10" cm="1">
        <f t="array" ref="F51">ABS(pred_GDP_now!F55-pred_GDP_now!$B55)</f>
        <v>2.5081099999999998</v>
      </c>
      <c r="G51" s="10" cm="1">
        <f t="array" ref="G51">ABS(pred_GDP_now!G55-pred_GDP_now!$B55)</f>
        <v>4.8241300000000003</v>
      </c>
      <c r="H51" s="10" cm="1">
        <f t="array" ref="H51">ABS(pred_GDP_now!H55-pred_GDP_now!$B55)</f>
        <v>2.1191515609096969</v>
      </c>
      <c r="I51" s="10" cm="1">
        <f t="array" ref="I51">ABS(pred_GDP_now!I55-pred_GDP_now!$B55)</f>
        <v>3.2533575570368578</v>
      </c>
      <c r="J51" s="10" cm="1">
        <f t="array" ref="J51">ABS(pred_GDP_now!J55-pred_GDP_now!$B55)</f>
        <v>1.5467</v>
      </c>
      <c r="K51" s="10" cm="1">
        <f t="array" ref="K51">ABS(pred_GDP_now!K55-pred_GDP_now!$B55)</f>
        <v>2.2830904134659171</v>
      </c>
      <c r="L51" s="10" cm="1">
        <f t="array" ref="L51">ABS(pred_GDP_now!L55-pred_GDP_now!$B55)</f>
        <v>3.3922768200000002</v>
      </c>
      <c r="M51" s="10" cm="1">
        <f t="array" ref="M51">ABS(pred_GDP_now!M55-pred_GDP_now!$B55)</f>
        <v>2.0151009870290197</v>
      </c>
      <c r="N51" s="10" cm="1">
        <f t="array" ref="N51">ABS(pred_GDP_now!N55-pred_GDP_now!$B55)</f>
        <v>0.16442632675170987</v>
      </c>
      <c r="O51" s="10" cm="1">
        <f t="array" ref="O51">ABS(pred_GDP_now!O55-pred_GDP_now!$B55)</f>
        <v>0.4014129999999998</v>
      </c>
      <c r="P51" s="10" cm="1">
        <f t="array" ref="P51">ABS(pred_GDP_now!P55-pred_GDP_now!$B55)</f>
        <v>1.555817</v>
      </c>
      <c r="Q51" s="6"/>
      <c r="R51" s="10">
        <v>0.61380191516546001</v>
      </c>
      <c r="S51" s="10">
        <v>0.69753327243923002</v>
      </c>
      <c r="T51" s="10">
        <v>0.80275099277496997</v>
      </c>
      <c r="U51" s="10">
        <v>0.69753327243923002</v>
      </c>
      <c r="V51" s="10">
        <v>0.59860095705370997</v>
      </c>
      <c r="W51" s="10">
        <v>0.59796409225617997</v>
      </c>
      <c r="X51" s="10">
        <v>0.63411021834947001</v>
      </c>
      <c r="Y51" s="10">
        <v>0.60793799769431001</v>
      </c>
      <c r="Z51" s="10">
        <v>0.64902729890317001</v>
      </c>
    </row>
    <row r="52" spans="1:26" ht="13.8" customHeight="1" x14ac:dyDescent="0.25">
      <c r="A52" s="15">
        <v>44075</v>
      </c>
      <c r="B52" s="16">
        <v>2.2999999999999998</v>
      </c>
      <c r="C52" s="21" cm="1">
        <f t="array" ref="C52">ABS(pred_GDP_now!C56-pred_GDP_now!$B56)</f>
        <v>0.6975332724392298</v>
      </c>
      <c r="D52" s="10" cm="1">
        <f t="array" ref="D52">ABS(pred_GDP_now!D56-pred_GDP_now!$B56)</f>
        <v>0.44626199999999971</v>
      </c>
      <c r="E52" s="10" cm="1">
        <f t="array" ref="E52">ABS(pred_GDP_now!E56-pred_GDP_now!$B56)</f>
        <v>4.7293000000000252E-2</v>
      </c>
      <c r="F52" s="10" cm="1">
        <f t="array" ref="F52">ABS(pred_GDP_now!F56-pred_GDP_now!$B56)</f>
        <v>1.2273529999999999</v>
      </c>
      <c r="G52" s="10" cm="1">
        <f t="array" ref="G52">ABS(pred_GDP_now!G56-pred_GDP_now!$B56)</f>
        <v>2.0465109999999997</v>
      </c>
      <c r="H52" s="10" cm="1">
        <f t="array" ref="H52">ABS(pred_GDP_now!H56-pred_GDP_now!$B56)</f>
        <v>0.12209649954335022</v>
      </c>
      <c r="I52" s="10" cm="1">
        <f t="array" ref="I52">ABS(pred_GDP_now!I56-pred_GDP_now!$B56)</f>
        <v>0.64902729890316979</v>
      </c>
      <c r="J52" s="10" cm="1">
        <f t="array" ref="J52">ABS(pred_GDP_now!J56-pred_GDP_now!$B56)</f>
        <v>1.0859179999999997</v>
      </c>
      <c r="K52" s="10" cm="1">
        <f t="array" ref="K52">ABS(pred_GDP_now!K56-pred_GDP_now!$B56)</f>
        <v>7.6673763183249921E-2</v>
      </c>
      <c r="L52" s="10" cm="1">
        <f t="array" ref="L52">ABS(pred_GDP_now!L56-pred_GDP_now!$B56)</f>
        <v>0.89048869999999991</v>
      </c>
      <c r="M52" s="10" cm="1">
        <f t="array" ref="M52">ABS(pred_GDP_now!M56-pred_GDP_now!$B56)</f>
        <v>1.3605083693936217</v>
      </c>
      <c r="N52" s="10" cm="1">
        <f t="array" ref="N52">ABS(pred_GDP_now!N56-pred_GDP_now!$B56)</f>
        <v>0.80275099277495987</v>
      </c>
      <c r="O52" s="10" cm="1">
        <f t="array" ref="O52">ABS(pred_GDP_now!O56-pred_GDP_now!$B56)</f>
        <v>1.477096</v>
      </c>
      <c r="P52" s="10" cm="1">
        <f t="array" ref="P52">ABS(pred_GDP_now!P56-pred_GDP_now!$B56)</f>
        <v>0.56479699999999999</v>
      </c>
      <c r="Q52" s="6"/>
      <c r="R52" s="10">
        <v>2.6030950782999999E-2</v>
      </c>
      <c r="S52" s="10">
        <v>0.16602995250183</v>
      </c>
      <c r="T52" s="10">
        <v>0.25885000000000002</v>
      </c>
      <c r="U52" s="10">
        <v>0.16602995250183</v>
      </c>
      <c r="V52" s="10">
        <v>0.10176010264733</v>
      </c>
      <c r="W52" s="10">
        <v>9.6548415223510001E-2</v>
      </c>
      <c r="X52" s="10">
        <v>7.0042222485539998E-2</v>
      </c>
      <c r="Y52" s="10">
        <v>0.13140803874538001</v>
      </c>
      <c r="Z52" s="10">
        <v>0.13140803874538001</v>
      </c>
    </row>
    <row r="53" spans="1:26" ht="13.8" customHeight="1" x14ac:dyDescent="0.25">
      <c r="A53" s="15">
        <v>44166</v>
      </c>
      <c r="B53" s="16">
        <v>1.3</v>
      </c>
      <c r="C53" s="21" cm="1">
        <f t="array" ref="C53">ABS(pred_GDP_now!C57-pred_GDP_now!$B57)</f>
        <v>0.46227780618748604</v>
      </c>
      <c r="D53" s="10" cm="1">
        <f t="array" ref="D53">ABS(pred_GDP_now!D57-pred_GDP_now!$B57)</f>
        <v>0.21725799999999995</v>
      </c>
      <c r="E53" s="10" cm="1">
        <f t="array" ref="E53">ABS(pred_GDP_now!E57-pred_GDP_now!$B57)</f>
        <v>0.25885000000000002</v>
      </c>
      <c r="F53" s="10" cm="1">
        <f t="array" ref="F53">ABS(pred_GDP_now!F57-pred_GDP_now!$B57)</f>
        <v>0.18942599999999987</v>
      </c>
      <c r="G53" s="10" cm="1">
        <f t="array" ref="G53">ABS(pred_GDP_now!G57-pred_GDP_now!$B57)</f>
        <v>2.095491</v>
      </c>
      <c r="H53" s="10" cm="1">
        <f t="array" ref="H53">ABS(pred_GDP_now!H57-pred_GDP_now!$B57)</f>
        <v>0.56171729420526995</v>
      </c>
      <c r="I53" s="10" cm="1">
        <f t="array" ref="I53">ABS(pred_GDP_now!I57-pred_GDP_now!$B57)</f>
        <v>2.2351901326610024E-2</v>
      </c>
      <c r="J53" s="10" cm="1">
        <f t="array" ref="J53">ABS(pred_GDP_now!J57-pred_GDP_now!$B57)</f>
        <v>0.64173200000000008</v>
      </c>
      <c r="K53" s="10" cm="1">
        <f t="array" ref="K53">ABS(pred_GDP_now!K57-pred_GDP_now!$B57)</f>
        <v>0.16602995250184005</v>
      </c>
      <c r="L53" s="10" cm="1">
        <f t="array" ref="L53">ABS(pred_GDP_now!L57-pred_GDP_now!$B57)</f>
        <v>1.0360466399999999</v>
      </c>
      <c r="M53" s="10" cm="1">
        <f t="array" ref="M53">ABS(pred_GDP_now!M57-pred_GDP_now!$B57)</f>
        <v>0.39111093317714207</v>
      </c>
      <c r="N53" s="10" cm="1">
        <f t="array" ref="N53">ABS(pred_GDP_now!N57-pred_GDP_now!$B57)</f>
        <v>4.4710326194760119E-2</v>
      </c>
      <c r="O53" s="10" cm="1">
        <f t="array" ref="O53">ABS(pred_GDP_now!O57-pred_GDP_now!$B57)</f>
        <v>0.64637299999999986</v>
      </c>
      <c r="P53" s="10" cm="1">
        <f t="array" ref="P53">ABS(pred_GDP_now!P57-pred_GDP_now!$B57)</f>
        <v>0.22017299999999995</v>
      </c>
      <c r="Q53" s="6"/>
      <c r="R53" s="10">
        <v>0.48578625172031997</v>
      </c>
      <c r="S53" s="10">
        <v>0.57370900000000002</v>
      </c>
      <c r="T53" s="10">
        <v>0.38983886241913002</v>
      </c>
      <c r="U53" s="10">
        <v>0.57370900000000002</v>
      </c>
      <c r="V53" s="10">
        <v>0.41441661373310001</v>
      </c>
      <c r="W53" s="10">
        <v>0.41751407228653997</v>
      </c>
      <c r="X53" s="10">
        <v>0.42005112640043002</v>
      </c>
      <c r="Y53" s="10">
        <v>0.38384758108919997</v>
      </c>
      <c r="Z53" s="10">
        <v>0.42005112640043002</v>
      </c>
    </row>
    <row r="54" spans="1:26" ht="13.8" customHeight="1" x14ac:dyDescent="0.25">
      <c r="A54" s="15">
        <v>44256</v>
      </c>
      <c r="B54" s="16">
        <v>1.8</v>
      </c>
      <c r="C54" s="21" cm="1">
        <f t="array" ref="C54">ABS(pred_GDP_now!C58-pred_GDP_now!$B58)</f>
        <v>1.0912035149110642</v>
      </c>
      <c r="D54" s="10" cm="1">
        <f t="array" ref="D54">ABS(pred_GDP_now!D58-pred_GDP_now!$B58)</f>
        <v>0.66494600000000004</v>
      </c>
      <c r="E54" s="10" cm="1">
        <f t="array" ref="E54">ABS(pred_GDP_now!E58-pred_GDP_now!$B58)</f>
        <v>0.67413999999999996</v>
      </c>
      <c r="F54" s="10" cm="1">
        <f t="array" ref="F54">ABS(pred_GDP_now!F58-pred_GDP_now!$B58)</f>
        <v>0.74281600000000014</v>
      </c>
      <c r="G54" s="10" cm="1">
        <f t="array" ref="G54">ABS(pred_GDP_now!G58-pred_GDP_now!$B58)</f>
        <v>1.5540770000000002</v>
      </c>
      <c r="H54" s="10" cm="1">
        <f t="array" ref="H54">ABS(pred_GDP_now!H58-pred_GDP_now!$B58)</f>
        <v>9.5634630243800034E-2</v>
      </c>
      <c r="I54" s="10" cm="1">
        <f t="array" ref="I54">ABS(pred_GDP_now!I58-pred_GDP_now!$B58)</f>
        <v>0.82362625008790202</v>
      </c>
      <c r="J54" s="10" cm="1">
        <f t="array" ref="J54">ABS(pred_GDP_now!J58-pred_GDP_now!$B58)</f>
        <v>0.57370900000000002</v>
      </c>
      <c r="K54" s="10" cm="1">
        <f t="array" ref="K54">ABS(pred_GDP_now!K58-pred_GDP_now!$B58)</f>
        <v>4.4101889224049895E-2</v>
      </c>
      <c r="L54" s="10" cm="1">
        <f t="array" ref="L54">ABS(pred_GDP_now!L58-pred_GDP_now!$B58)</f>
        <v>0.40509470000000003</v>
      </c>
      <c r="M54" s="10" cm="1">
        <f t="array" ref="M54">ABS(pred_GDP_now!M58-pred_GDP_now!$B58)</f>
        <v>1.0162152039262811</v>
      </c>
      <c r="N54" s="10" cm="1">
        <f t="array" ref="N54">ABS(pred_GDP_now!N58-pred_GDP_now!$B58)</f>
        <v>0.38983886241913002</v>
      </c>
      <c r="O54" s="10" cm="1">
        <f t="array" ref="O54">ABS(pred_GDP_now!O58-pred_GDP_now!$B58)</f>
        <v>2.0095999999999892E-2</v>
      </c>
      <c r="P54" s="10" cm="1">
        <f t="array" ref="P54">ABS(pred_GDP_now!P58-pred_GDP_now!$B58)</f>
        <v>9.780499999999992E-2</v>
      </c>
      <c r="Q54" s="6"/>
      <c r="R54" s="10">
        <v>0.25298574060616003</v>
      </c>
      <c r="S54" s="10">
        <v>0.16898343034572999</v>
      </c>
      <c r="T54" s="10">
        <v>0.35391600000000001</v>
      </c>
      <c r="U54" s="10">
        <v>0.16898343034572999</v>
      </c>
      <c r="V54" s="10">
        <v>0.25042334900696001</v>
      </c>
      <c r="W54" s="10">
        <v>0.25004225408251002</v>
      </c>
      <c r="X54" s="10">
        <v>0.28318140294760002</v>
      </c>
      <c r="Y54" s="10">
        <v>0.25785234795224998</v>
      </c>
      <c r="Z54" s="10">
        <v>0.25042334900696001</v>
      </c>
    </row>
    <row r="55" spans="1:26" ht="13.8" customHeight="1" x14ac:dyDescent="0.25">
      <c r="A55" s="15">
        <v>44348</v>
      </c>
      <c r="B55" s="16">
        <v>0.9</v>
      </c>
      <c r="C55" s="21" cm="1">
        <f t="array" ref="C55">ABS(pred_GDP_now!C59-pred_GDP_now!$B59)</f>
        <v>0.10339286381802104</v>
      </c>
      <c r="D55" s="10" cm="1">
        <f t="array" ref="D55">ABS(pred_GDP_now!D59-pred_GDP_now!$B59)</f>
        <v>0.15321400000000007</v>
      </c>
      <c r="E55" s="10" cm="1">
        <f t="array" ref="E55">ABS(pred_GDP_now!E59-pred_GDP_now!$B59)</f>
        <v>1.6154000000000002E-2</v>
      </c>
      <c r="F55" s="10" cm="1">
        <f t="array" ref="F55">ABS(pred_GDP_now!F59-pred_GDP_now!$B59)</f>
        <v>3.9467999999999948E-2</v>
      </c>
      <c r="G55" s="10" cm="1">
        <f t="array" ref="G55">ABS(pred_GDP_now!G59-pred_GDP_now!$B59)</f>
        <v>0.75725300000000006</v>
      </c>
      <c r="H55" s="10" cm="1">
        <f t="array" ref="H55">ABS(pred_GDP_now!H59-pred_GDP_now!$B59)</f>
        <v>1.0715396532201598</v>
      </c>
      <c r="I55" s="10" cm="1">
        <f t="array" ref="I55">ABS(pred_GDP_now!I59-pred_GDP_now!$B59)</f>
        <v>0.27892843737267004</v>
      </c>
      <c r="J55" s="10" cm="1">
        <f t="array" ref="J55">ABS(pred_GDP_now!J59-pred_GDP_now!$B59)</f>
        <v>0.41110600000000008</v>
      </c>
      <c r="K55" s="10" cm="1">
        <f t="array" ref="K55">ABS(pred_GDP_now!K59-pred_GDP_now!$B59)</f>
        <v>0.16898343034573993</v>
      </c>
      <c r="L55" s="10" cm="1">
        <f t="array" ref="L55">ABS(pred_GDP_now!L59-pred_GDP_now!$B59)</f>
        <v>0.69546389999999991</v>
      </c>
      <c r="M55" s="10" cm="1">
        <f t="array" ref="M55">ABS(pred_GDP_now!M59-pred_GDP_now!$B59)</f>
        <v>7.9509928874249014E-2</v>
      </c>
      <c r="N55" s="10" cm="1">
        <f t="array" ref="N55">ABS(pred_GDP_now!N59-pred_GDP_now!$B59)</f>
        <v>0.41070899963378993</v>
      </c>
      <c r="O55" s="10" cm="1">
        <f t="array" ref="O55">ABS(pred_GDP_now!O59-pred_GDP_now!$B59)</f>
        <v>0.12776500000000002</v>
      </c>
      <c r="P55" s="10" cm="1">
        <f t="array" ref="P55">ABS(pred_GDP_now!P59-pred_GDP_now!$B59)</f>
        <v>0.35391600000000001</v>
      </c>
      <c r="Q55" s="6"/>
      <c r="R55" s="10">
        <v>0.76287972973443197</v>
      </c>
      <c r="S55" s="10">
        <v>0.76006889859060001</v>
      </c>
      <c r="T55" s="10">
        <v>0.94445273744210001</v>
      </c>
      <c r="U55" s="10">
        <v>0.759589307636093</v>
      </c>
      <c r="V55" s="10">
        <v>0.84211913218317802</v>
      </c>
      <c r="W55" s="10">
        <v>0.83879051856493803</v>
      </c>
      <c r="X55" s="10">
        <v>0.87131381995258705</v>
      </c>
      <c r="Y55" s="10">
        <v>0.77741985975077199</v>
      </c>
      <c r="Z55" s="10">
        <v>0.77732676058150996</v>
      </c>
    </row>
    <row r="56" spans="1:26" ht="13.8" customHeight="1" x14ac:dyDescent="0.25">
      <c r="A56" s="15">
        <v>44440</v>
      </c>
      <c r="B56" s="16">
        <v>0.1</v>
      </c>
      <c r="C56" s="21" cm="1">
        <f t="array" ref="C56">ABS(pred_GDP_now!C60-pred_GDP_now!$B60)</f>
        <v>1.4832175181652199</v>
      </c>
      <c r="D56" s="10" cm="1">
        <f t="array" ref="D56">ABS(pred_GDP_now!D60-pred_GDP_now!$B60)</f>
        <v>0.47208600000000001</v>
      </c>
      <c r="E56" s="10" cm="1">
        <f t="array" ref="E56">ABS(pred_GDP_now!E60-pred_GDP_now!$B60)</f>
        <v>0.40907700000000002</v>
      </c>
      <c r="F56" s="10" cm="1">
        <f t="array" ref="F56">ABS(pred_GDP_now!F60-pred_GDP_now!$B60)</f>
        <v>0.49174499999999999</v>
      </c>
      <c r="G56" s="10" cm="1">
        <f t="array" ref="G56">ABS(pred_GDP_now!G60-pred_GDP_now!$B60)</f>
        <v>0.18534</v>
      </c>
      <c r="H56" s="10" cm="1">
        <f t="array" ref="H56">ABS(pred_GDP_now!H60-pred_GDP_now!$B60)</f>
        <v>1.03610755989835</v>
      </c>
      <c r="I56" s="10" cm="1">
        <f t="array" ref="I56">ABS(pred_GDP_now!I60-pred_GDP_now!$B60)</f>
        <v>0.73216766361269303</v>
      </c>
      <c r="J56" s="10" cm="1">
        <f t="array" ref="J56">ABS(pred_GDP_now!J60-pred_GDP_now!$B60)</f>
        <v>0.84798700000000005</v>
      </c>
      <c r="K56" s="10" cm="1">
        <f t="array" ref="K56">ABS(pred_GDP_now!K60-pred_GDP_now!$B60)</f>
        <v>0.94445273744210001</v>
      </c>
      <c r="L56" s="10" cm="1">
        <f t="array" ref="L56">ABS(pred_GDP_now!L60-pred_GDP_now!$B60)</f>
        <v>0.23896959999999998</v>
      </c>
      <c r="M56" s="10" cm="1">
        <f t="array" ref="M56">ABS(pred_GDP_now!M60-pred_GDP_now!$B60)</f>
        <v>0.76006889859060001</v>
      </c>
      <c r="N56" s="10" cm="1">
        <f t="array" ref="N56">ABS(pred_GDP_now!N60-pred_GDP_now!$B60)</f>
        <v>0.80601950883865403</v>
      </c>
      <c r="O56" s="10" cm="1">
        <f t="array" ref="O56">ABS(pred_GDP_now!O60-pred_GDP_now!$B60)</f>
        <v>0.48193799999999998</v>
      </c>
      <c r="P56" s="10" cm="1">
        <f t="array" ref="P56">ABS(pred_GDP_now!P60-pred_GDP_now!$B60)</f>
        <v>1.2136</v>
      </c>
      <c r="Q56" s="6"/>
      <c r="R56" s="10">
        <v>0.26932793078359002</v>
      </c>
      <c r="S56" s="10">
        <v>0.18783900000000001</v>
      </c>
      <c r="T56" s="10">
        <v>4.7076E-2</v>
      </c>
      <c r="U56" s="10">
        <v>0.15627312039936</v>
      </c>
      <c r="V56" s="10">
        <v>6.2288726335779997E-2</v>
      </c>
      <c r="W56" s="10">
        <v>6.7214254087440001E-2</v>
      </c>
      <c r="X56" s="10">
        <v>0.16815686333093999</v>
      </c>
      <c r="Y56" s="10">
        <v>0.22797153678377999</v>
      </c>
      <c r="Z56" s="10">
        <v>0.16661353638234</v>
      </c>
    </row>
    <row r="57" spans="1:26" ht="13.8" customHeight="1" x14ac:dyDescent="0.25">
      <c r="A57" s="15">
        <v>44531</v>
      </c>
      <c r="B57" s="16">
        <v>1.4</v>
      </c>
      <c r="C57" s="21" cm="1">
        <f t="array" ref="C57">ABS(pred_GDP_now!C61-pred_GDP_now!$B61)</f>
        <v>0.72947652632612792</v>
      </c>
      <c r="D57" s="10" cm="1">
        <f t="array" ref="D57">ABS(pred_GDP_now!D61-pred_GDP_now!$B61)</f>
        <v>0.10331899999999994</v>
      </c>
      <c r="E57" s="10" cm="1">
        <f t="array" ref="E57">ABS(pred_GDP_now!E61-pred_GDP_now!$B61)</f>
        <v>4.7075999999999896E-2</v>
      </c>
      <c r="F57" s="10" cm="1">
        <f t="array" ref="F57">ABS(pred_GDP_now!F61-pred_GDP_now!$B61)</f>
        <v>0.18783899999999987</v>
      </c>
      <c r="G57" s="10" cm="1">
        <f t="array" ref="G57">ABS(pred_GDP_now!G61-pred_GDP_now!$B61)</f>
        <v>0.13966099999999981</v>
      </c>
      <c r="H57" s="10" cm="1">
        <f t="array" ref="H57">ABS(pred_GDP_now!H61-pred_GDP_now!$B61)</f>
        <v>0.82648622602374389</v>
      </c>
      <c r="I57" s="10" cm="1">
        <f t="array" ref="I57">ABS(pred_GDP_now!I61-pred_GDP_now!$B61)</f>
        <v>0.67913198448424794</v>
      </c>
      <c r="J57" s="10" cm="1">
        <f t="array" ref="J57">ABS(pred_GDP_now!J61-pred_GDP_now!$B61)</f>
        <v>0.29573100000000019</v>
      </c>
      <c r="K57" s="10" cm="1">
        <f t="array" ref="K57">ABS(pred_GDP_now!K61-pred_GDP_now!$B61)</f>
        <v>8.2600388128239999E-2</v>
      </c>
      <c r="L57" s="10" cm="1">
        <f t="array" ref="L57">ABS(pred_GDP_now!L61-pred_GDP_now!$B61)</f>
        <v>0.72230573999999992</v>
      </c>
      <c r="M57" s="10" cm="1">
        <f t="array" ref="M57">ABS(pred_GDP_now!M61-pred_GDP_now!$B61)</f>
        <v>0.65384187723783294</v>
      </c>
      <c r="N57" s="10" cm="1">
        <f t="array" ref="N57">ABS(pred_GDP_now!N61-pred_GDP_now!$B61)</f>
        <v>0.44569935798644988</v>
      </c>
      <c r="O57" s="10" cm="1">
        <f t="array" ref="O57">ABS(pred_GDP_now!O61-pred_GDP_now!$B61)</f>
        <v>0.33576899999999998</v>
      </c>
      <c r="P57" s="10" cm="1">
        <f t="array" ref="P57">ABS(pred_GDP_now!P61-pred_GDP_now!$B61)</f>
        <v>0.34501300000000001</v>
      </c>
      <c r="Q57" s="6"/>
      <c r="R57" s="10">
        <v>0.189259904801405</v>
      </c>
      <c r="S57" s="10">
        <v>0.169855594816955</v>
      </c>
      <c r="T57" s="10">
        <v>0.13652900000000001</v>
      </c>
      <c r="U57" s="10">
        <v>0.169855594816955</v>
      </c>
      <c r="V57" s="10">
        <v>0.156086053487377</v>
      </c>
      <c r="W57" s="10">
        <v>0.15604069575337101</v>
      </c>
      <c r="X57" s="10">
        <v>0.167033385075712</v>
      </c>
      <c r="Y57" s="10">
        <v>0.174964375725919</v>
      </c>
      <c r="Z57" s="10">
        <v>0.169855594816955</v>
      </c>
    </row>
    <row r="58" spans="1:26" ht="13.8" customHeight="1" x14ac:dyDescent="0.25">
      <c r="A58" s="15">
        <v>44621</v>
      </c>
      <c r="B58" s="16">
        <v>0.7</v>
      </c>
      <c r="C58" s="21" cm="1">
        <f t="array" ref="C58">ABS(pred_GDP_now!C62-pred_GDP_now!$B62)</f>
        <v>0.53484862610723005</v>
      </c>
      <c r="D58" s="10" cm="1">
        <f t="array" ref="D58">ABS(pred_GDP_now!D62-pred_GDP_now!$B62)</f>
        <v>0.14420700000000009</v>
      </c>
      <c r="E58" s="10" cm="1">
        <f t="array" ref="E58">ABS(pred_GDP_now!E62-pred_GDP_now!$B62)</f>
        <v>0.13652900000000001</v>
      </c>
      <c r="F58" s="10" cm="1">
        <f t="array" ref="F58">ABS(pred_GDP_now!F62-pred_GDP_now!$B62)</f>
        <v>0.17666999999999999</v>
      </c>
      <c r="G58" s="10" cm="1">
        <f t="array" ref="G58">ABS(pred_GDP_now!G62-pred_GDP_now!$B62)</f>
        <v>0.27516000000000007</v>
      </c>
      <c r="H58" s="10" cm="1">
        <f t="array" ref="H58">ABS(pred_GDP_now!H62-pred_GDP_now!$B62)</f>
        <v>0.169855594816955</v>
      </c>
      <c r="I58" s="10" cm="1">
        <f t="array" ref="I58">ABS(pred_GDP_now!I62-pred_GDP_now!$B62)</f>
        <v>0.16538675668013603</v>
      </c>
      <c r="J58" s="10" cm="1">
        <f t="array" ref="J58">ABS(pred_GDP_now!J62-pred_GDP_now!$B62)</f>
        <v>0.81737100000000007</v>
      </c>
      <c r="K58" s="10" cm="1">
        <f t="array" ref="K58">ABS(pred_GDP_now!K62-pred_GDP_now!$B62)</f>
        <v>7.7584820272020849E-3</v>
      </c>
      <c r="L58" s="10" cm="1">
        <f t="array" ref="L58">ABS(pred_GDP_now!L62-pred_GDP_now!$B62)</f>
        <v>0.38631094999999993</v>
      </c>
      <c r="M58" s="10" cm="1">
        <f t="array" ref="M58">ABS(pred_GDP_now!M62-pred_GDP_now!$B62)</f>
        <v>1.9861657381175069E-2</v>
      </c>
      <c r="N58" s="10" cm="1">
        <f t="array" ref="N58">ABS(pred_GDP_now!N62-pred_GDP_now!$B62)</f>
        <v>0.22264759540557899</v>
      </c>
      <c r="O58" s="10" cm="1">
        <f t="array" ref="O58">ABS(pred_GDP_now!O62-pred_GDP_now!$B62)</f>
        <v>0.193021</v>
      </c>
      <c r="P58" s="10" cm="1">
        <f t="array" ref="P58">ABS(pred_GDP_now!P62-pred_GDP_now!$B62)</f>
        <v>0.25853300000000001</v>
      </c>
      <c r="Q58" s="6"/>
      <c r="R58" s="10">
        <v>0.232694468802153</v>
      </c>
      <c r="S58" s="10">
        <v>0.316518940294163</v>
      </c>
      <c r="T58" s="10">
        <v>0.40805000000000002</v>
      </c>
      <c r="U58" s="10">
        <v>0.31753412279388699</v>
      </c>
      <c r="V58" s="10">
        <v>0.383859076462645</v>
      </c>
      <c r="W58" s="10">
        <v>0.38019985048605298</v>
      </c>
      <c r="X58" s="10">
        <v>0.34172689953580199</v>
      </c>
      <c r="Y58" s="10">
        <v>0.25425346696311002</v>
      </c>
      <c r="Z58" s="10">
        <v>0.31786891182301102</v>
      </c>
    </row>
    <row r="59" spans="1:26" ht="13.8" customHeight="1" x14ac:dyDescent="0.25">
      <c r="A59" s="15">
        <v>44713</v>
      </c>
      <c r="B59" s="16">
        <v>0.8</v>
      </c>
      <c r="C59" s="21" cm="1">
        <f t="array" ref="C59">ABS(pred_GDP_now!C63-pred_GDP_now!$B63)</f>
        <v>0.41686398720882506</v>
      </c>
      <c r="D59" s="10" cm="1">
        <f t="array" ref="D59">ABS(pred_GDP_now!D63-pred_GDP_now!$B63)</f>
        <v>0.42623700000000003</v>
      </c>
      <c r="E59" s="10" cm="1">
        <f t="array" ref="E59">ABS(pred_GDP_now!E63-pred_GDP_now!$B63)</f>
        <v>0.40805000000000002</v>
      </c>
      <c r="F59" s="10" cm="1">
        <f t="array" ref="F59">ABS(pred_GDP_now!F63-pred_GDP_now!$B63)</f>
        <v>0.35025700000000004</v>
      </c>
      <c r="G59" s="10" cm="1">
        <f t="array" ref="G59">ABS(pred_GDP_now!G63-pred_GDP_now!$B63)</f>
        <v>0.316168</v>
      </c>
      <c r="H59" s="10" cm="1">
        <f t="array" ref="H59">ABS(pred_GDP_now!H63-pred_GDP_now!$B63)</f>
        <v>4.0058009570277053E-2</v>
      </c>
      <c r="I59" s="10" cm="1">
        <f t="array" ref="I59">ABS(pred_GDP_now!I63-pred_GDP_now!$B63)</f>
        <v>8.2830359263546982E-2</v>
      </c>
      <c r="J59" s="10" cm="1">
        <f t="array" ref="J59">ABS(pred_GDP_now!J63-pred_GDP_now!$B63)</f>
        <v>0.47236900000000004</v>
      </c>
      <c r="K59" s="10" cm="1">
        <f t="array" ref="K59">ABS(pred_GDP_now!K63-pred_GDP_now!$B63)</f>
        <v>0.31651894029416205</v>
      </c>
      <c r="L59" s="10" cm="1">
        <f t="array" ref="L59">ABS(pred_GDP_now!L63-pred_GDP_now!$B63)</f>
        <v>8.0455470000000084E-2</v>
      </c>
      <c r="M59" s="10" cm="1">
        <f t="array" ref="M59">ABS(pred_GDP_now!M63-pred_GDP_now!$B63)</f>
        <v>0.614323089453505</v>
      </c>
      <c r="N59" s="10" cm="1">
        <f t="array" ref="N59">ABS(pred_GDP_now!N63-pred_GDP_now!$B63)</f>
        <v>0.165215957164764</v>
      </c>
      <c r="O59" s="10" cm="1">
        <f t="array" ref="O59">ABS(pred_GDP_now!O63-pred_GDP_now!$B63)</f>
        <v>0.53138900000000011</v>
      </c>
      <c r="P59" s="10" cm="1">
        <f t="array" ref="P59">ABS(pred_GDP_now!P63-pred_GDP_now!$B63)</f>
        <v>0.23085900000000004</v>
      </c>
      <c r="Q59" s="6"/>
      <c r="R59" s="10">
        <v>0.216885322048327</v>
      </c>
      <c r="S59" s="10">
        <v>0.22239780630841299</v>
      </c>
      <c r="T59" s="10">
        <v>7.2000000000000002E-5</v>
      </c>
      <c r="U59" s="10">
        <v>0.22239780630841299</v>
      </c>
      <c r="V59" s="10">
        <v>0.121258886906461</v>
      </c>
      <c r="W59" s="10">
        <v>0.127112070815732</v>
      </c>
      <c r="X59" s="10">
        <v>0.181309836009347</v>
      </c>
      <c r="Y59" s="10">
        <v>0.222954019621492</v>
      </c>
      <c r="Z59" s="10">
        <v>0.216885322048327</v>
      </c>
    </row>
    <row r="60" spans="1:26" ht="13.8" customHeight="1" x14ac:dyDescent="0.25">
      <c r="A60" s="15">
        <v>44805</v>
      </c>
      <c r="B60" s="16">
        <v>0.2</v>
      </c>
      <c r="C60" s="21" cm="1">
        <f t="array" ref="C60">ABS(pred_GDP_now!C64-pred_GDP_now!$B64)</f>
        <v>0.23518208614852551</v>
      </c>
      <c r="D60" s="10" cm="1">
        <f t="array" ref="D60">ABS(pred_GDP_now!D64-pred_GDP_now!$B64)</f>
        <v>7.2000000000016495E-5</v>
      </c>
      <c r="E60" s="10" cm="1">
        <f t="array" ref="E60">ABS(pred_GDP_now!E64-pred_GDP_now!$B64)</f>
        <v>0.10474600000000001</v>
      </c>
      <c r="F60" s="10" cm="1">
        <f t="array" ref="F60">ABS(pred_GDP_now!F64-pred_GDP_now!$B64)</f>
        <v>0.14061899999999999</v>
      </c>
      <c r="G60" s="10" cm="1">
        <f t="array" ref="G60">ABS(pred_GDP_now!G64-pred_GDP_now!$B64)</f>
        <v>0.84116999999999997</v>
      </c>
      <c r="H60" s="10" cm="1">
        <f t="array" ref="H60">ABS(pred_GDP_now!H64-pred_GDP_now!$B64)</f>
        <v>8.9937769275357016E-2</v>
      </c>
      <c r="I60" s="10" cm="1">
        <f t="array" ref="I60">ABS(pred_GDP_now!I64-pred_GDP_now!$B64)</f>
        <v>0.22239780630841299</v>
      </c>
      <c r="J60" s="10" cm="1">
        <f t="array" ref="J60">ABS(pred_GDP_now!J64-pred_GDP_now!$B64)</f>
        <v>0.67311199999999993</v>
      </c>
      <c r="K60" s="10" cm="1">
        <f t="array" ref="K60">ABS(pred_GDP_now!K64-pred_GDP_now!$B64)</f>
        <v>0.42004694232161494</v>
      </c>
      <c r="L60" s="10" cm="1">
        <f t="array" ref="L60">ABS(pred_GDP_now!L64-pred_GDP_now!$B64)</f>
        <v>0.48461346999999994</v>
      </c>
      <c r="M60" s="10" cm="1">
        <f t="array" ref="M60">ABS(pred_GDP_now!M64-pred_GDP_now!$B64)</f>
        <v>9.7138965300262017E-2</v>
      </c>
      <c r="N60" s="10" cm="1">
        <f t="array" ref="N60">ABS(pred_GDP_now!N64-pred_GDP_now!$B64)</f>
        <v>0.44097625017166103</v>
      </c>
      <c r="O60" s="10" cm="1">
        <f t="array" ref="O60">ABS(pred_GDP_now!O64-pred_GDP_now!$B64)</f>
        <v>0.38890699999999995</v>
      </c>
      <c r="P60" s="10" cm="1">
        <f t="array" ref="P60">ABS(pred_GDP_now!P64-pred_GDP_now!$B64)</f>
        <v>0.39603799999999995</v>
      </c>
      <c r="Q60" s="6"/>
      <c r="R60" s="10">
        <v>3.0880136163871998E-2</v>
      </c>
      <c r="S60" s="10">
        <v>0.13844999999999999</v>
      </c>
      <c r="T60" s="10">
        <v>0.48486000000000001</v>
      </c>
      <c r="U60" s="10">
        <v>0.24609930192896801</v>
      </c>
      <c r="V60" s="10">
        <v>0.36991820538431802</v>
      </c>
      <c r="W60" s="10">
        <v>0.36253580945547698</v>
      </c>
      <c r="X60" s="10">
        <v>0.11945348324031201</v>
      </c>
      <c r="Y60" s="10">
        <v>3.2630483258749003E-2</v>
      </c>
      <c r="Z60" s="10">
        <v>0.211991635547401</v>
      </c>
    </row>
    <row r="61" spans="1:26" ht="13.8" customHeight="1" x14ac:dyDescent="0.25">
      <c r="A61" s="15">
        <v>44896</v>
      </c>
      <c r="B61" s="16">
        <v>-0.3</v>
      </c>
      <c r="C61" s="21" cm="1">
        <f t="array" ref="C61">ABS(pred_GDP_now!C65-pred_GDP_now!$B65)</f>
        <v>0.50932658317772894</v>
      </c>
      <c r="D61" s="10" cm="1">
        <f t="array" ref="D61">ABS(pred_GDP_now!D65-pred_GDP_now!$B65)</f>
        <v>0.48486000000000001</v>
      </c>
      <c r="E61" s="10" cm="1">
        <f t="array" ref="E61">ABS(pred_GDP_now!E65-pred_GDP_now!$B65)</f>
        <v>0.63253000000000004</v>
      </c>
      <c r="F61" s="10" cm="1">
        <f t="array" ref="F61">ABS(pred_GDP_now!F65-pred_GDP_now!$B65)</f>
        <v>0.25035999999999997</v>
      </c>
      <c r="G61" s="10" cm="1">
        <f t="array" ref="G61">ABS(pred_GDP_now!G65-pred_GDP_now!$B65)</f>
        <v>0.26235999999999998</v>
      </c>
      <c r="H61" s="10" cm="1">
        <f t="array" ref="H61">ABS(pred_GDP_now!H65-pred_GDP_now!$B65)</f>
        <v>0.30430738701820664</v>
      </c>
      <c r="I61" s="10" cm="1">
        <f t="array" ref="I61">ABS(pred_GDP_now!I65-pred_GDP_now!$B65)</f>
        <v>0.75885565076943307</v>
      </c>
      <c r="J61" s="10" cm="1">
        <f t="array" ref="J61">ABS(pred_GDP_now!J65-pred_GDP_now!$B65)</f>
        <v>0.13845000000000002</v>
      </c>
      <c r="K61" s="10" cm="1">
        <f t="array" ref="K61">ABS(pred_GDP_now!K65-pred_GDP_now!$B65)</f>
        <v>0.34564943352870897</v>
      </c>
      <c r="L61" s="10" cm="1">
        <f t="array" ref="L61">ABS(pred_GDP_now!L65-pred_GDP_now!$B65)</f>
        <v>0.28131604999999998</v>
      </c>
      <c r="M61" s="10" cm="1">
        <f t="array" ref="M61">ABS(pred_GDP_now!M65-pred_GDP_now!$B65)</f>
        <v>0.45493006030823602</v>
      </c>
      <c r="N61" s="10" cm="1">
        <f t="array" ref="N61">ABS(pred_GDP_now!N65-pred_GDP_now!$B65)</f>
        <v>0.58175333142280605</v>
      </c>
      <c r="O61" s="10" cm="1">
        <f t="array" ref="O61">ABS(pred_GDP_now!O65-pred_GDP_now!$B65)</f>
        <v>0.41497400000000001</v>
      </c>
      <c r="P61" s="10" cm="1">
        <f t="array" ref="P61">ABS(pred_GDP_now!P65-pred_GDP_now!$B65)</f>
        <v>0.13512099999999999</v>
      </c>
      <c r="Q61" s="6"/>
      <c r="R61" s="10" cm="1">
        <f t="array" ref="R61">ABS(pred_GDP_now!R65-pred_GDP_now!$B65)</f>
        <v>4.0736024962893025E-2</v>
      </c>
      <c r="S61" s="10" cm="1">
        <f t="array" ref="S61">ABS(pred_GDP_now!S65-pred_GDP_now!$B65)</f>
        <v>0.13512099999999999</v>
      </c>
      <c r="T61" s="10" cm="1">
        <f t="array" ref="T61">ABS(pred_GDP_now!T65-pred_GDP_now!$B65)</f>
        <v>0.48486000000000001</v>
      </c>
      <c r="U61" s="10" cm="1">
        <f t="array" ref="U61">ABS(pred_GDP_now!U65-pred_GDP_now!$B65)</f>
        <v>0.33194466604247902</v>
      </c>
      <c r="V61" s="10" cm="1">
        <f t="array" ref="V61">ABS(pred_GDP_now!V65-pred_GDP_now!$B65)</f>
        <v>0.56153551366324805</v>
      </c>
      <c r="W61" s="10" cm="1">
        <f t="array" ref="W61">ABS(pred_GDP_now!W65-pred_GDP_now!$B65)</f>
        <v>0.51073761323242595</v>
      </c>
      <c r="X61" s="10" cm="1">
        <f t="array" ref="X61">ABS(pred_GDP_now!X65-pred_GDP_now!$B65)</f>
        <v>0.167867633832473</v>
      </c>
      <c r="Y61" s="10" cm="1">
        <f t="array" ref="Y61">ABS(pred_GDP_now!Y65-pred_GDP_now!$B65)</f>
        <v>5.2693659914975988E-2</v>
      </c>
      <c r="Z61" s="10" cm="1">
        <f t="array" ref="Z61">ABS(pred_GDP_now!Z65-pred_GDP_now!$B65)</f>
        <v>0.18237347333070703</v>
      </c>
    </row>
    <row r="62" spans="1:26" ht="13.8" customHeight="1" x14ac:dyDescent="0.25">
      <c r="A62" s="20"/>
      <c r="B62" s="20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3.8" customHeight="1" x14ac:dyDescent="0.25">
      <c r="A63" s="22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8" customHeight="1" x14ac:dyDescent="0.25">
      <c r="A64" s="23" t="s">
        <v>25</v>
      </c>
      <c r="B64" s="24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22"/>
      <c r="V64" s="6"/>
      <c r="W64" s="6"/>
      <c r="X64" s="6"/>
      <c r="Y64" s="6"/>
      <c r="Z64" s="6"/>
    </row>
    <row r="65" spans="1:26" ht="13.8" customHeight="1" x14ac:dyDescent="0.25">
      <c r="A65" s="25" t="s">
        <v>26</v>
      </c>
      <c r="B65" s="24"/>
      <c r="C65" s="6"/>
      <c r="D65" s="10" cm="1">
        <f t="array" ref="D65">AVERAGE(D2:D61)</f>
        <v>0.59523926196681176</v>
      </c>
      <c r="E65" s="10" cm="1">
        <f t="array" ref="E65">AVERAGE(E2:E61)</f>
        <v>0.58880662048929222</v>
      </c>
      <c r="F65" s="6"/>
      <c r="G65" s="6"/>
      <c r="H65" s="6"/>
      <c r="I65" s="6"/>
      <c r="J65" s="6"/>
      <c r="K65" s="10" cm="1">
        <f t="array" ref="K65">AVERAGE(K2:K61)</f>
        <v>0.46519128244593444</v>
      </c>
      <c r="L65" s="6"/>
      <c r="M65" s="10" cm="1">
        <f t="array" ref="M65">AVERAGE(M2:M61)</f>
        <v>0.53907487396786757</v>
      </c>
      <c r="N65" s="10" cm="1">
        <f t="array" ref="N65">AVERAGE(N2:N61)</f>
        <v>0.52680480770766736</v>
      </c>
      <c r="O65" s="10" cm="1">
        <f t="array" ref="O65">AVERAGE(O2:O61)</f>
        <v>0.53933568940417753</v>
      </c>
      <c r="P65" s="10" cm="1">
        <f t="array" ref="P65">AVERAGE(P2:P61)</f>
        <v>0.52934706229468453</v>
      </c>
      <c r="Q65" s="6"/>
      <c r="R65" s="10" cm="1">
        <f t="array" ref="R65">AVERAGE(R2:R61)</f>
        <v>0.44113529583253452</v>
      </c>
      <c r="S65" s="10" cm="1">
        <f t="array" ref="S65">AVERAGE(S2:S61)</f>
        <v>0.46608878568780393</v>
      </c>
      <c r="T65" s="26" cm="1">
        <f t="array" ref="T65">AVERAGE(T2:T61)</f>
        <v>0.50609224949854636</v>
      </c>
      <c r="U65" s="27" cm="1">
        <f t="array" ref="U65">AVERAGE(U2:U61)</f>
        <v>0.42020278181087145</v>
      </c>
      <c r="V65" s="21" cm="1">
        <f t="array" ref="V65">AVERAGE(V2:V61)</f>
        <v>0.47872545584502324</v>
      </c>
      <c r="W65" s="10" cm="1">
        <f t="array" ref="W65">AVERAGE(W2:W61)</f>
        <v>0.47674735963097331</v>
      </c>
      <c r="X65" s="10" cm="1">
        <f t="array" ref="X65">AVERAGE(X2:X61)</f>
        <v>0.45239503843054207</v>
      </c>
      <c r="Y65" s="10" cm="1">
        <f t="array" ref="Y65">AVERAGE(Y2:Y61)</f>
        <v>0.44087881768613374</v>
      </c>
      <c r="Z65" s="10" cm="1">
        <f t="array" ref="Z65">AVERAGE(Z2:Z61)</f>
        <v>0.3811868836548552</v>
      </c>
    </row>
    <row r="66" spans="1:26" ht="13.8" customHeight="1" x14ac:dyDescent="0.25">
      <c r="A66" s="28" t="s">
        <v>27</v>
      </c>
      <c r="B66" s="24"/>
      <c r="C66" s="6"/>
      <c r="D66" s="10" cm="1">
        <f t="array" ref="D66">AVERAGE(D2:D9)</f>
        <v>1.3979040852397335</v>
      </c>
      <c r="E66" s="10" cm="1">
        <f t="array" ref="E66">AVERAGE(E2:E9)</f>
        <v>1.64960477408804</v>
      </c>
      <c r="F66" s="6"/>
      <c r="G66" s="6"/>
      <c r="H66" s="6"/>
      <c r="I66" s="6"/>
      <c r="J66" s="6"/>
      <c r="K66" s="10" cm="1">
        <f t="array" ref="K66">AVERAGE(K2:K9)</f>
        <v>1.1586829812575263</v>
      </c>
      <c r="L66" s="6"/>
      <c r="M66" s="10" cm="1">
        <f t="array" ref="M66">AVERAGE(M2:M9)</f>
        <v>1.0783670471096694</v>
      </c>
      <c r="N66" s="10" cm="1">
        <f t="array" ref="N66">AVERAGE(N2:N9)</f>
        <v>1.21022325642407</v>
      </c>
      <c r="O66" s="10" cm="1">
        <f t="array" ref="O66">AVERAGE(O2:O9)</f>
        <v>0.82927163763572187</v>
      </c>
      <c r="P66" s="10" cm="1">
        <f t="array" ref="P66">AVERAGE(P2:P9)</f>
        <v>1.1363429039308257</v>
      </c>
      <c r="Q66" s="6"/>
      <c r="R66" s="10" cm="1">
        <f t="array" ref="R66">AVERAGE(R2:R9)</f>
        <v>1.0966361448535842</v>
      </c>
      <c r="S66" s="10" cm="1">
        <f t="array" ref="S66">AVERAGE(S2:S9)</f>
        <v>1.1687752939681126</v>
      </c>
      <c r="T66" s="26" cm="1">
        <f t="array" ref="T66">AVERAGE(T2:T9)</f>
        <v>1.247927067007897</v>
      </c>
      <c r="U66" s="29" cm="1">
        <f t="array" ref="U66">AVERAGE(U2:U9)</f>
        <v>0.91356361803322061</v>
      </c>
      <c r="V66" s="21" cm="1">
        <f t="array" ref="V66">AVERAGE(V2:V9)</f>
        <v>1.2140597635592076</v>
      </c>
      <c r="W66" s="10" cm="1">
        <f t="array" ref="W66">AVERAGE(W2:W9)</f>
        <v>1.2129703028976966</v>
      </c>
      <c r="X66" s="10" cm="1">
        <f t="array" ref="X66">AVERAGE(X2:X9)</f>
        <v>1.1042723149677771</v>
      </c>
      <c r="Y66" s="10" cm="1">
        <f t="array" ref="Y66">AVERAGE(Y2:Y9)</f>
        <v>1.0916547561735079</v>
      </c>
      <c r="Z66" s="10" cm="1">
        <f t="array" ref="Z66">AVERAGE(Z2:Z9)</f>
        <v>0.80596899272332312</v>
      </c>
    </row>
  </sheetData>
  <phoneticPr fontId="1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A61E-6DD9-4133-8EEB-BFAFDDA2F4FE}">
  <dimension ref="A1:Z66"/>
  <sheetViews>
    <sheetView showGridLines="0" tabSelected="1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J36" sqref="J36"/>
    </sheetView>
  </sheetViews>
  <sheetFormatPr defaultColWidth="10.44140625" defaultRowHeight="15.75" customHeight="1" x14ac:dyDescent="0.25"/>
  <cols>
    <col min="1" max="27" width="10.44140625" style="1" customWidth="1"/>
    <col min="28" max="16384" width="10.44140625" style="1"/>
  </cols>
  <sheetData>
    <row r="1" spans="1:26" ht="15.45" customHeight="1" x14ac:dyDescent="0.25">
      <c r="A1" s="2"/>
      <c r="B1" s="3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6"/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</row>
    <row r="2" spans="1:26" ht="15.45" customHeight="1" x14ac:dyDescent="0.25">
      <c r="A2" s="8">
        <v>39142</v>
      </c>
      <c r="B2" s="9">
        <v>1.8</v>
      </c>
      <c r="C2" s="24" t="e">
        <f>NA()</f>
        <v>#N/A</v>
      </c>
      <c r="D2" s="10">
        <v>0.864427136587409</v>
      </c>
      <c r="E2" s="10">
        <v>1.230193148602154</v>
      </c>
      <c r="F2" s="24" t="e">
        <f>NA()</f>
        <v>#N/A</v>
      </c>
      <c r="G2" s="24" t="e">
        <f>NA()</f>
        <v>#N/A</v>
      </c>
      <c r="H2" s="24" t="e">
        <f>NA()</f>
        <v>#N/A</v>
      </c>
      <c r="I2" s="24" t="e">
        <f>NA()</f>
        <v>#N/A</v>
      </c>
      <c r="J2" s="6" t="e">
        <f>NA()</f>
        <v>#N/A</v>
      </c>
      <c r="K2" s="10">
        <v>0.85574178397770684</v>
      </c>
      <c r="L2" s="24" t="e">
        <f>NA()</f>
        <v>#N/A</v>
      </c>
      <c r="M2" s="10">
        <v>1.2303641257027149</v>
      </c>
      <c r="N2" s="10">
        <v>1.387634873390198</v>
      </c>
      <c r="O2" s="10">
        <v>4.640460787535719E-2</v>
      </c>
      <c r="P2" s="10">
        <v>-5.1158263247676687E-2</v>
      </c>
      <c r="Q2" s="6"/>
      <c r="R2" s="10">
        <v>0.79480105898398001</v>
      </c>
      <c r="S2" s="10">
        <v>0.864427136587409</v>
      </c>
      <c r="T2" s="10">
        <v>0.79480105898398001</v>
      </c>
      <c r="U2" s="10">
        <v>0.864427136587409</v>
      </c>
      <c r="V2" s="10">
        <v>0.79480105898398001</v>
      </c>
      <c r="W2" s="10">
        <v>0.79480105898398001</v>
      </c>
      <c r="X2" s="10">
        <v>0.79480105898398001</v>
      </c>
      <c r="Y2" s="10">
        <v>0.79480105898398001</v>
      </c>
      <c r="Z2" s="10">
        <v>0.79480105898398001</v>
      </c>
    </row>
    <row r="3" spans="1:26" ht="15.45" customHeight="1" x14ac:dyDescent="0.25">
      <c r="A3" s="11">
        <v>39234</v>
      </c>
      <c r="B3" s="12">
        <v>1.7</v>
      </c>
      <c r="C3" s="24" t="e">
        <f>NA()</f>
        <v>#N/A</v>
      </c>
      <c r="D3" s="10">
        <v>1.4248629357041409</v>
      </c>
      <c r="E3" s="10">
        <v>1.1242106479222971</v>
      </c>
      <c r="F3" s="24" t="e">
        <f>NA()</f>
        <v>#N/A</v>
      </c>
      <c r="G3" s="24" t="e">
        <f>NA()</f>
        <v>#N/A</v>
      </c>
      <c r="H3" s="24" t="e">
        <f>NA()</f>
        <v>#N/A</v>
      </c>
      <c r="I3" s="24" t="e">
        <f>NA()</f>
        <v>#N/A</v>
      </c>
      <c r="J3" s="6" t="e">
        <f>NA()</f>
        <v>#N/A</v>
      </c>
      <c r="K3" s="10">
        <v>1.07349721528723</v>
      </c>
      <c r="L3" s="24" t="e">
        <f>NA()</f>
        <v>#N/A</v>
      </c>
      <c r="M3" s="10">
        <v>1.1206924608640021</v>
      </c>
      <c r="N3" s="10">
        <v>1.300306558609009</v>
      </c>
      <c r="O3" s="10">
        <v>0.5140800076753439</v>
      </c>
      <c r="P3" s="10">
        <v>2.5377583707651641</v>
      </c>
      <c r="Q3" s="6"/>
      <c r="R3" s="10">
        <v>1.2993440281181601</v>
      </c>
      <c r="S3" s="10">
        <v>1.12421064792229</v>
      </c>
      <c r="T3" s="10">
        <v>1.2993440281181601</v>
      </c>
      <c r="U3" s="10">
        <v>1.12421064792229</v>
      </c>
      <c r="V3" s="10">
        <v>1.2993440281181601</v>
      </c>
      <c r="W3" s="10">
        <v>1.2993440281181601</v>
      </c>
      <c r="X3" s="10">
        <v>1.2993440281181601</v>
      </c>
      <c r="Y3" s="10">
        <v>1.2993440281181601</v>
      </c>
      <c r="Z3" s="10">
        <v>2.5377583707651601</v>
      </c>
    </row>
    <row r="4" spans="1:26" ht="15.45" customHeight="1" x14ac:dyDescent="0.25">
      <c r="A4" s="11">
        <v>39326</v>
      </c>
      <c r="B4" s="12">
        <v>1.2</v>
      </c>
      <c r="C4" s="24" t="e">
        <f>NA()</f>
        <v>#N/A</v>
      </c>
      <c r="D4" s="10">
        <v>1.0936434353062909</v>
      </c>
      <c r="E4" s="10">
        <v>1.0912067346620089</v>
      </c>
      <c r="F4" s="24" t="e">
        <f>NA()</f>
        <v>#N/A</v>
      </c>
      <c r="G4" s="24" t="e">
        <f>NA()</f>
        <v>#N/A</v>
      </c>
      <c r="H4" s="24" t="e">
        <f>NA()</f>
        <v>#N/A</v>
      </c>
      <c r="I4" s="24" t="e">
        <f>NA()</f>
        <v>#N/A</v>
      </c>
      <c r="J4" s="6" t="e">
        <f>NA()</f>
        <v>#N/A</v>
      </c>
      <c r="K4" s="10">
        <v>1.0670952228270509</v>
      </c>
      <c r="L4" s="24" t="e">
        <f>NA()</f>
        <v>#N/A</v>
      </c>
      <c r="M4" s="10">
        <v>1.2356662866491681</v>
      </c>
      <c r="N4" s="10">
        <v>1.3452914953231809</v>
      </c>
      <c r="O4" s="10">
        <v>0.52405204211064027</v>
      </c>
      <c r="P4" s="10">
        <v>1.3545633497342491</v>
      </c>
      <c r="Q4" s="6"/>
      <c r="R4" s="10">
        <v>1.10164550951608</v>
      </c>
      <c r="S4" s="10">
        <v>1.09364343530629</v>
      </c>
      <c r="T4" s="10">
        <v>1.10164550951608</v>
      </c>
      <c r="U4" s="10">
        <v>1.09364343530629</v>
      </c>
      <c r="V4" s="10">
        <v>1.10164550951608</v>
      </c>
      <c r="W4" s="10">
        <v>1.10164550951608</v>
      </c>
      <c r="X4" s="10">
        <v>1.10164550951608</v>
      </c>
      <c r="Y4" s="10">
        <v>1.10164550951608</v>
      </c>
      <c r="Z4" s="10">
        <v>1.10164550951608</v>
      </c>
    </row>
    <row r="5" spans="1:26" ht="15.45" customHeight="1" x14ac:dyDescent="0.25">
      <c r="A5" s="13">
        <v>39417</v>
      </c>
      <c r="B5" s="14">
        <v>2</v>
      </c>
      <c r="C5" s="24" t="e">
        <f>NA()</f>
        <v>#N/A</v>
      </c>
      <c r="D5" s="10">
        <v>0.96044935262309394</v>
      </c>
      <c r="E5" s="10">
        <v>0.86325001202443019</v>
      </c>
      <c r="F5" s="24" t="e">
        <f>NA()</f>
        <v>#N/A</v>
      </c>
      <c r="G5" s="24" t="e">
        <f>NA()</f>
        <v>#N/A</v>
      </c>
      <c r="H5" s="24" t="e">
        <f>NA()</f>
        <v>#N/A</v>
      </c>
      <c r="I5" s="24" t="e">
        <f>NA()</f>
        <v>#N/A</v>
      </c>
      <c r="J5" s="6" t="e">
        <f>NA()</f>
        <v>#N/A</v>
      </c>
      <c r="K5" s="10">
        <v>0.83776121256496783</v>
      </c>
      <c r="L5" s="24" t="e">
        <f>NA()</f>
        <v>#N/A</v>
      </c>
      <c r="M5" s="10">
        <v>1.181118833353376</v>
      </c>
      <c r="N5" s="10">
        <v>1.386424779891968</v>
      </c>
      <c r="O5" s="10">
        <v>-0.1460407036559464</v>
      </c>
      <c r="P5" s="10">
        <v>0.46173778159339679</v>
      </c>
      <c r="Q5" s="6"/>
      <c r="R5" s="10">
        <v>0.79210018119932601</v>
      </c>
      <c r="S5" s="10">
        <v>0.86325001202442997</v>
      </c>
      <c r="T5" s="10">
        <v>0.79210018119932601</v>
      </c>
      <c r="U5" s="10">
        <v>0.74763380018215497</v>
      </c>
      <c r="V5" s="10">
        <v>0.79210018119932601</v>
      </c>
      <c r="W5" s="10">
        <v>0.79210018119932601</v>
      </c>
      <c r="X5" s="10">
        <v>0.79210018119932601</v>
      </c>
      <c r="Y5" s="10">
        <v>0.79210018119932601</v>
      </c>
      <c r="Z5" s="10">
        <v>0.79210018119932601</v>
      </c>
    </row>
    <row r="6" spans="1:26" ht="15.45" customHeight="1" x14ac:dyDescent="0.25">
      <c r="A6" s="15">
        <v>39508</v>
      </c>
      <c r="B6" s="16">
        <v>0.8</v>
      </c>
      <c r="C6" s="24" t="e">
        <f>NA()</f>
        <v>#N/A</v>
      </c>
      <c r="D6" s="10">
        <v>1.177892889022303</v>
      </c>
      <c r="E6" s="10">
        <v>0.88547617278198487</v>
      </c>
      <c r="F6" s="24" t="e">
        <f>NA()</f>
        <v>#N/A</v>
      </c>
      <c r="G6" s="24" t="e">
        <f>NA()</f>
        <v>#N/A</v>
      </c>
      <c r="H6" s="24" t="e">
        <f>NA()</f>
        <v>#N/A</v>
      </c>
      <c r="I6" s="24" t="e">
        <f>NA()</f>
        <v>#N/A</v>
      </c>
      <c r="J6" s="6" t="e">
        <f>NA()</f>
        <v>#N/A</v>
      </c>
      <c r="K6" s="10">
        <v>1.18614170650739</v>
      </c>
      <c r="L6" s="24" t="e">
        <f>NA()</f>
        <v>#N/A</v>
      </c>
      <c r="M6" s="10">
        <v>0.97026939239390686</v>
      </c>
      <c r="N6" s="10">
        <v>1.364481925964355</v>
      </c>
      <c r="O6" s="10">
        <v>-0.1244539875029184</v>
      </c>
      <c r="P6" s="10">
        <v>-9.2016470345587631E-2</v>
      </c>
      <c r="Q6" s="6"/>
      <c r="R6" s="17">
        <v>0.76682737554591895</v>
      </c>
      <c r="S6" s="17">
        <v>0.97026939239390597</v>
      </c>
      <c r="T6" s="17">
        <v>1.1778928890222999</v>
      </c>
      <c r="U6" s="17">
        <v>0.97026939239390597</v>
      </c>
      <c r="V6" s="17">
        <v>0.987230026063592</v>
      </c>
      <c r="W6" s="17">
        <v>0.97978048139787799</v>
      </c>
      <c r="X6" s="17">
        <v>1.07771883139657</v>
      </c>
      <c r="Y6" s="17">
        <v>1.0273638363278801</v>
      </c>
      <c r="Z6" s="17">
        <v>1.1778928890222999</v>
      </c>
    </row>
    <row r="7" spans="1:26" ht="15.45" customHeight="1" x14ac:dyDescent="0.25">
      <c r="A7" s="15">
        <v>39600</v>
      </c>
      <c r="B7" s="16">
        <v>0.4</v>
      </c>
      <c r="C7" s="24" t="e">
        <f>NA()</f>
        <v>#N/A</v>
      </c>
      <c r="D7" s="10">
        <v>0.58763549416962491</v>
      </c>
      <c r="E7" s="10">
        <v>0.47440268445058109</v>
      </c>
      <c r="F7" s="24" t="e">
        <f>NA()</f>
        <v>#N/A</v>
      </c>
      <c r="G7" s="24" t="e">
        <f>NA()</f>
        <v>#N/A</v>
      </c>
      <c r="H7" s="24" t="e">
        <f>NA()</f>
        <v>#N/A</v>
      </c>
      <c r="I7" s="24" t="e">
        <f>NA()</f>
        <v>#N/A</v>
      </c>
      <c r="J7" s="6" t="e">
        <f>NA()</f>
        <v>#N/A</v>
      </c>
      <c r="K7" s="10">
        <v>1.3406980170889611</v>
      </c>
      <c r="L7" s="24" t="e">
        <f>NA()</f>
        <v>#N/A</v>
      </c>
      <c r="M7" s="10">
        <v>1.0854290540297009</v>
      </c>
      <c r="N7" s="10">
        <v>1.444493889808655</v>
      </c>
      <c r="O7" s="10">
        <v>0.714549597393215</v>
      </c>
      <c r="P7" s="10">
        <v>0.1689214492352934</v>
      </c>
      <c r="Q7" s="6"/>
      <c r="R7" s="17">
        <v>0.83087574088228999</v>
      </c>
      <c r="S7" s="17">
        <v>0.714549597393215</v>
      </c>
      <c r="T7" s="17">
        <v>1.0854290540297</v>
      </c>
      <c r="U7" s="17">
        <v>0.714549597393215</v>
      </c>
      <c r="V7" s="17">
        <v>0.93794568692250002</v>
      </c>
      <c r="W7" s="17">
        <v>0.93394854480273504</v>
      </c>
      <c r="X7" s="17">
        <v>0.97289932125698797</v>
      </c>
      <c r="Y7" s="17">
        <v>0.90976377469940795</v>
      </c>
      <c r="Z7" s="17">
        <v>0.871923207095613</v>
      </c>
    </row>
    <row r="8" spans="1:26" ht="15.45" customHeight="1" x14ac:dyDescent="0.25">
      <c r="A8" s="15">
        <v>39692</v>
      </c>
      <c r="B8" s="16">
        <v>0.7</v>
      </c>
      <c r="C8" s="24" t="e">
        <f>NA()</f>
        <v>#N/A</v>
      </c>
      <c r="D8" s="10">
        <v>1.150663428449761</v>
      </c>
      <c r="E8" s="10">
        <v>1.045443320081141</v>
      </c>
      <c r="F8" s="24" t="e">
        <f>NA()</f>
        <v>#N/A</v>
      </c>
      <c r="G8" s="24" t="e">
        <f>NA()</f>
        <v>#N/A</v>
      </c>
      <c r="H8" s="24" t="e">
        <f>NA()</f>
        <v>#N/A</v>
      </c>
      <c r="I8" s="24" t="e">
        <f>NA()</f>
        <v>#N/A</v>
      </c>
      <c r="J8" s="6" t="e">
        <f>NA()</f>
        <v>#N/A</v>
      </c>
      <c r="K8" s="10">
        <v>0.71022351246633919</v>
      </c>
      <c r="L8" s="24" t="e">
        <f>NA()</f>
        <v>#N/A</v>
      </c>
      <c r="M8" s="10">
        <v>0.8549188544542039</v>
      </c>
      <c r="N8" s="10">
        <v>1.367214679718018</v>
      </c>
      <c r="O8" s="10">
        <v>-0.2257192138810469</v>
      </c>
      <c r="P8" s="10">
        <v>1.1573916530295689</v>
      </c>
      <c r="Q8" s="6"/>
      <c r="R8" s="17">
        <v>0.86573374775971201</v>
      </c>
      <c r="S8" s="17">
        <v>1.0454433200811399</v>
      </c>
      <c r="T8" s="17">
        <v>1.0454433200811399</v>
      </c>
      <c r="U8" s="17">
        <v>1.0454433200811399</v>
      </c>
      <c r="V8" s="17">
        <v>1.0332427716147901</v>
      </c>
      <c r="W8" s="17">
        <v>1.03147228573917</v>
      </c>
      <c r="X8" s="17">
        <v>0.988723150275306</v>
      </c>
      <c r="Y8" s="17">
        <v>0.976894807599618</v>
      </c>
      <c r="Z8" s="17">
        <v>1.0332427716147901</v>
      </c>
    </row>
    <row r="9" spans="1:26" ht="15.45" customHeight="1" x14ac:dyDescent="0.25">
      <c r="A9" s="15">
        <v>39783</v>
      </c>
      <c r="B9" s="16">
        <v>-3.4</v>
      </c>
      <c r="C9" s="24" t="e">
        <f>NA()</f>
        <v>#N/A</v>
      </c>
      <c r="D9" s="10">
        <v>1.4961726026420761</v>
      </c>
      <c r="E9" s="10">
        <v>1.226858634571393</v>
      </c>
      <c r="F9" s="24" t="e">
        <f>NA()</f>
        <v>#N/A</v>
      </c>
      <c r="G9" s="24" t="e">
        <f>NA()</f>
        <v>#N/A</v>
      </c>
      <c r="H9" s="24" t="e">
        <f>NA()</f>
        <v>#N/A</v>
      </c>
      <c r="I9" s="24" t="e">
        <f>NA()</f>
        <v>#N/A</v>
      </c>
      <c r="J9" s="6" t="e">
        <f>NA()</f>
        <v>#N/A</v>
      </c>
      <c r="K9" s="10">
        <v>1.1488182163935261</v>
      </c>
      <c r="L9" s="24" t="e">
        <f>NA()</f>
        <v>#N/A</v>
      </c>
      <c r="M9" s="10">
        <v>0.71528838146032969</v>
      </c>
      <c r="N9" s="10">
        <v>1.3194888830184941</v>
      </c>
      <c r="O9" s="10">
        <v>-0.43706610232981818</v>
      </c>
      <c r="P9" s="10">
        <v>1.384851699988688</v>
      </c>
      <c r="Q9" s="6"/>
      <c r="R9" s="17">
        <v>0.97920175939209797</v>
      </c>
      <c r="S9" s="17">
        <v>1.2268586345713901</v>
      </c>
      <c r="T9" s="17">
        <v>1.2268586345713901</v>
      </c>
      <c r="U9" s="17">
        <v>1.18114475529811</v>
      </c>
      <c r="V9" s="17">
        <v>1.1523654854654899</v>
      </c>
      <c r="W9" s="17">
        <v>1.1518298242104299</v>
      </c>
      <c r="X9" s="17">
        <v>1.1000458206380499</v>
      </c>
      <c r="Y9" s="17">
        <v>1.11099855624332</v>
      </c>
      <c r="Z9" s="17">
        <v>1.1523654854654899</v>
      </c>
    </row>
    <row r="10" spans="1:26" ht="15.45" customHeight="1" x14ac:dyDescent="0.25">
      <c r="A10" s="15">
        <v>39873</v>
      </c>
      <c r="B10" s="16">
        <v>0.3</v>
      </c>
      <c r="C10" s="24" t="e">
        <f>NA()</f>
        <v>#N/A</v>
      </c>
      <c r="D10" s="10">
        <v>1.732162837109819</v>
      </c>
      <c r="E10" s="10">
        <v>1.2878710360379131</v>
      </c>
      <c r="F10" s="24" t="e">
        <f>NA()</f>
        <v>#N/A</v>
      </c>
      <c r="G10" s="24" t="e">
        <f>NA()</f>
        <v>#N/A</v>
      </c>
      <c r="H10" s="24" t="e">
        <f>NA()</f>
        <v>#N/A</v>
      </c>
      <c r="I10" s="24" t="e">
        <f>NA()</f>
        <v>#N/A</v>
      </c>
      <c r="J10" s="6" t="e">
        <f>NA()</f>
        <v>#N/A</v>
      </c>
      <c r="K10" s="10">
        <v>1.536791381494409</v>
      </c>
      <c r="L10" s="24" t="e">
        <f>NA()</f>
        <v>#N/A</v>
      </c>
      <c r="M10" s="10">
        <v>0.79394187004880901</v>
      </c>
      <c r="N10" s="10">
        <v>1.2847210168838501</v>
      </c>
      <c r="O10" s="10">
        <v>-1.676280227306042</v>
      </c>
      <c r="P10" s="10">
        <v>0.89076160275250738</v>
      </c>
      <c r="Q10" s="6"/>
      <c r="R10" s="17">
        <v>0.83570993100303803</v>
      </c>
      <c r="S10" s="17">
        <v>1.2847210168838501</v>
      </c>
      <c r="T10" s="17">
        <v>0.79394187004880901</v>
      </c>
      <c r="U10" s="17">
        <v>1.0877413098181701</v>
      </c>
      <c r="V10" s="17">
        <v>0.37015906034356799</v>
      </c>
      <c r="W10" s="17">
        <v>0.39846198856614301</v>
      </c>
      <c r="X10" s="17">
        <v>0.48657282342018299</v>
      </c>
      <c r="Y10" s="17">
        <v>-0.870298117805831</v>
      </c>
      <c r="Z10" s="17">
        <v>-1.67628022730604</v>
      </c>
    </row>
    <row r="11" spans="1:26" ht="15.45" customHeight="1" x14ac:dyDescent="0.25">
      <c r="A11" s="15">
        <v>39965</v>
      </c>
      <c r="B11" s="16">
        <v>1.4</v>
      </c>
      <c r="C11" s="24" t="e">
        <f>NA()</f>
        <v>#N/A</v>
      </c>
      <c r="D11" s="10">
        <v>3.9445536442912039</v>
      </c>
      <c r="E11" s="10">
        <v>3.8739051509866229</v>
      </c>
      <c r="F11" s="24" t="e">
        <f>NA()</f>
        <v>#N/A</v>
      </c>
      <c r="G11" s="24" t="e">
        <f>NA()</f>
        <v>#N/A</v>
      </c>
      <c r="H11" s="24" t="e">
        <f>NA()</f>
        <v>#N/A</v>
      </c>
      <c r="I11" s="24" t="e">
        <f>NA()</f>
        <v>#N/A</v>
      </c>
      <c r="J11" s="6" t="e">
        <f>NA()</f>
        <v>#N/A</v>
      </c>
      <c r="K11" s="10">
        <v>1.7849668416525299</v>
      </c>
      <c r="L11" s="24" t="e">
        <f>NA()</f>
        <v>#N/A</v>
      </c>
      <c r="M11" s="10">
        <v>1.2974802690363141</v>
      </c>
      <c r="N11" s="10">
        <v>1.212615489959717</v>
      </c>
      <c r="O11" s="10">
        <v>1.2458616051828619</v>
      </c>
      <c r="P11" s="10">
        <v>0.53363090212219322</v>
      </c>
      <c r="Q11" s="6"/>
      <c r="R11" s="17">
        <v>1.9847162718902001</v>
      </c>
      <c r="S11" s="17">
        <v>1.2974802690363101</v>
      </c>
      <c r="T11" s="17">
        <v>1.2974802690363101</v>
      </c>
      <c r="U11" s="17">
        <v>1.2974802690363101</v>
      </c>
      <c r="V11" s="17">
        <v>1.7662131096679601</v>
      </c>
      <c r="W11" s="17">
        <v>1.7777991890135501</v>
      </c>
      <c r="X11" s="17">
        <v>1.8783053493892701</v>
      </c>
      <c r="Y11" s="17">
        <v>1.4782136270052499</v>
      </c>
      <c r="Z11" s="17">
        <v>1.4782136270052499</v>
      </c>
    </row>
    <row r="12" spans="1:26" ht="15.45" customHeight="1" x14ac:dyDescent="0.25">
      <c r="A12" s="15">
        <v>40057</v>
      </c>
      <c r="B12" s="16">
        <v>3.1</v>
      </c>
      <c r="C12" s="24" t="e">
        <f>NA()</f>
        <v>#N/A</v>
      </c>
      <c r="D12" s="10">
        <v>1.202527772224649</v>
      </c>
      <c r="E12" s="10">
        <v>1.324149055919754</v>
      </c>
      <c r="F12" s="24" t="e">
        <f>NA()</f>
        <v>#N/A</v>
      </c>
      <c r="G12" s="24" t="e">
        <f>NA()</f>
        <v>#N/A</v>
      </c>
      <c r="H12" s="24" t="e">
        <f>NA()</f>
        <v>#N/A</v>
      </c>
      <c r="I12" s="24" t="e">
        <f>NA()</f>
        <v>#N/A</v>
      </c>
      <c r="J12" s="6" t="e">
        <f>NA()</f>
        <v>#N/A</v>
      </c>
      <c r="K12" s="10">
        <v>1.351280146366886</v>
      </c>
      <c r="L12" s="24" t="e">
        <f>NA()</f>
        <v>#N/A</v>
      </c>
      <c r="M12" s="10">
        <v>1.1548389519019591</v>
      </c>
      <c r="N12" s="10">
        <v>1.2717133760452271</v>
      </c>
      <c r="O12" s="10">
        <v>0.19109416674045429</v>
      </c>
      <c r="P12" s="10">
        <v>0.85574655258426358</v>
      </c>
      <c r="Q12" s="6"/>
      <c r="R12" s="17">
        <v>1.0501928602547399</v>
      </c>
      <c r="S12" s="17">
        <v>1.2025277722246399</v>
      </c>
      <c r="T12" s="17">
        <v>1.15483895190195</v>
      </c>
      <c r="U12" s="17">
        <v>1.1786833620632999</v>
      </c>
      <c r="V12" s="17">
        <v>0.97174794829767797</v>
      </c>
      <c r="W12" s="17">
        <v>0.97607775021577403</v>
      </c>
      <c r="X12" s="17">
        <v>0.96337706385554001</v>
      </c>
      <c r="Y12" s="17">
        <v>0.59398597433872302</v>
      </c>
      <c r="Z12" s="17">
        <v>1.15483895190195</v>
      </c>
    </row>
    <row r="13" spans="1:26" ht="15.45" customHeight="1" x14ac:dyDescent="0.25">
      <c r="A13" s="15">
        <v>40148</v>
      </c>
      <c r="B13" s="16">
        <v>0.7</v>
      </c>
      <c r="C13" s="24" t="e">
        <f>NA()</f>
        <v>#N/A</v>
      </c>
      <c r="D13" s="10">
        <v>0.53964978448881595</v>
      </c>
      <c r="E13" s="10">
        <v>2.238765896733419</v>
      </c>
      <c r="F13" s="24" t="e">
        <f>NA()</f>
        <v>#N/A</v>
      </c>
      <c r="G13" s="24" t="e">
        <f>NA()</f>
        <v>#N/A</v>
      </c>
      <c r="H13" s="24" t="e">
        <f>NA()</f>
        <v>#N/A</v>
      </c>
      <c r="I13" s="24" t="e">
        <f>NA()</f>
        <v>#N/A</v>
      </c>
      <c r="J13" s="6" t="e">
        <f>NA()</f>
        <v>#N/A</v>
      </c>
      <c r="K13" s="10">
        <v>1.2690578098489349</v>
      </c>
      <c r="L13" s="24" t="e">
        <f>NA()</f>
        <v>#N/A</v>
      </c>
      <c r="M13" s="10">
        <v>1.231078155336365</v>
      </c>
      <c r="N13" s="10">
        <v>1.2703278064727781</v>
      </c>
      <c r="O13" s="10">
        <v>0.53382567572388029</v>
      </c>
      <c r="P13" s="10">
        <v>1.3328419237337701</v>
      </c>
      <c r="Q13" s="6"/>
      <c r="R13" s="17">
        <v>1.20222100747685</v>
      </c>
      <c r="S13" s="17">
        <v>1.26905780984893</v>
      </c>
      <c r="T13" s="17">
        <v>1.26905780984893</v>
      </c>
      <c r="U13" s="17">
        <v>1.26905780984893</v>
      </c>
      <c r="V13" s="17">
        <v>1.1630815679626201</v>
      </c>
      <c r="W13" s="17">
        <v>1.16559448387655</v>
      </c>
      <c r="X13" s="17">
        <v>1.1791647384080699</v>
      </c>
      <c r="Y13" s="17">
        <v>1.0222215720635399</v>
      </c>
      <c r="Z13" s="17">
        <v>1.2310781553363599</v>
      </c>
    </row>
    <row r="14" spans="1:26" ht="15.45" customHeight="1" x14ac:dyDescent="0.25">
      <c r="A14" s="15">
        <v>40238</v>
      </c>
      <c r="B14" s="16">
        <v>2.2999999999999998</v>
      </c>
      <c r="C14" s="24" t="e">
        <f>NA()</f>
        <v>#N/A</v>
      </c>
      <c r="D14" s="10">
        <v>1.639244417933128</v>
      </c>
      <c r="E14" s="10">
        <v>2.6577413743904539</v>
      </c>
      <c r="F14" s="24" t="e">
        <f>NA()</f>
        <v>#N/A</v>
      </c>
      <c r="G14" s="24" t="e">
        <f>NA()</f>
        <v>#N/A</v>
      </c>
      <c r="H14" s="24" t="e">
        <f>NA()</f>
        <v>#N/A</v>
      </c>
      <c r="I14" s="24" t="e">
        <f>NA()</f>
        <v>#N/A</v>
      </c>
      <c r="J14" s="6" t="e">
        <f>NA()</f>
        <v>#N/A</v>
      </c>
      <c r="K14" s="10">
        <v>1.1331406900023351</v>
      </c>
      <c r="L14" s="24" t="e">
        <f>NA()</f>
        <v>#N/A</v>
      </c>
      <c r="M14" s="10">
        <v>1.359258386401466</v>
      </c>
      <c r="N14" s="10">
        <v>1.3675603866577151</v>
      </c>
      <c r="O14" s="10">
        <v>5.1515068179102598E-2</v>
      </c>
      <c r="P14" s="10">
        <v>0.20863691054551989</v>
      </c>
      <c r="Q14" s="6"/>
      <c r="R14" s="17">
        <v>1.20244246201567</v>
      </c>
      <c r="S14" s="17">
        <v>1.35925838640146</v>
      </c>
      <c r="T14" s="17">
        <v>1.35925838640146</v>
      </c>
      <c r="U14" s="17">
        <v>1.35925838640146</v>
      </c>
      <c r="V14" s="17">
        <v>1.1506986985029</v>
      </c>
      <c r="W14" s="17">
        <v>1.15221374303653</v>
      </c>
      <c r="X14" s="17">
        <v>1.16826023023367</v>
      </c>
      <c r="Y14" s="17">
        <v>1.14113579319291</v>
      </c>
      <c r="Z14" s="17">
        <v>1.2135064380840801</v>
      </c>
    </row>
    <row r="15" spans="1:26" ht="15.45" customHeight="1" x14ac:dyDescent="0.25">
      <c r="A15" s="15">
        <v>40330</v>
      </c>
      <c r="B15" s="16">
        <v>1.6</v>
      </c>
      <c r="C15" s="24" t="e">
        <f>NA()</f>
        <v>#N/A</v>
      </c>
      <c r="D15" s="10">
        <v>0.42748891424722052</v>
      </c>
      <c r="E15" s="10">
        <v>1.3323516248561871</v>
      </c>
      <c r="F15" s="24" t="e">
        <f>NA()</f>
        <v>#N/A</v>
      </c>
      <c r="G15" s="24" t="e">
        <f>NA()</f>
        <v>#N/A</v>
      </c>
      <c r="H15" s="24" t="e">
        <f>NA()</f>
        <v>#N/A</v>
      </c>
      <c r="I15" s="24" t="e">
        <f>NA()</f>
        <v>#N/A</v>
      </c>
      <c r="J15" s="6" t="e">
        <f>NA()</f>
        <v>#N/A</v>
      </c>
      <c r="K15" s="10">
        <v>1.667989595134006</v>
      </c>
      <c r="L15" s="24" t="e">
        <f>NA()</f>
        <v>#N/A</v>
      </c>
      <c r="M15" s="10">
        <v>1.1482953811490371</v>
      </c>
      <c r="N15" s="10">
        <v>1.0297502279281621</v>
      </c>
      <c r="O15" s="10">
        <v>1.0229967853879629</v>
      </c>
      <c r="P15" s="10">
        <v>2.3199022773508431</v>
      </c>
      <c r="Q15" s="6"/>
      <c r="R15" s="17">
        <v>1.2783964008647699</v>
      </c>
      <c r="S15" s="17">
        <v>1.14829538114903</v>
      </c>
      <c r="T15" s="17">
        <v>1.14829538114903</v>
      </c>
      <c r="U15" s="17">
        <v>1.14829538114903</v>
      </c>
      <c r="V15" s="17">
        <v>1.2849828304536901</v>
      </c>
      <c r="W15" s="17">
        <v>1.28494175716993</v>
      </c>
      <c r="X15" s="17">
        <v>1.28113693902726</v>
      </c>
      <c r="Y15" s="17">
        <v>1.2830419861507301</v>
      </c>
      <c r="Z15" s="17">
        <v>1.2783964008647699</v>
      </c>
    </row>
    <row r="16" spans="1:26" ht="15.45" customHeight="1" x14ac:dyDescent="0.25">
      <c r="A16" s="15">
        <v>40422</v>
      </c>
      <c r="B16" s="16">
        <v>1</v>
      </c>
      <c r="C16" s="24" t="e">
        <f>NA()</f>
        <v>#N/A</v>
      </c>
      <c r="D16" s="10">
        <v>1.0519950217769749</v>
      </c>
      <c r="E16" s="10">
        <v>1.3885077644177459</v>
      </c>
      <c r="F16" s="24" t="e">
        <f>NA()</f>
        <v>#N/A</v>
      </c>
      <c r="G16" s="24" t="e">
        <f>NA()</f>
        <v>#N/A</v>
      </c>
      <c r="H16" s="24" t="e">
        <f>NA()</f>
        <v>#N/A</v>
      </c>
      <c r="I16" s="24" t="e">
        <f>NA()</f>
        <v>#N/A</v>
      </c>
      <c r="J16" s="6" t="e">
        <f>NA()</f>
        <v>#N/A</v>
      </c>
      <c r="K16" s="10">
        <v>1.2831191616829789</v>
      </c>
      <c r="L16" s="24" t="e">
        <f>NA()</f>
        <v>#N/A</v>
      </c>
      <c r="M16" s="10">
        <v>1.0748973481646431</v>
      </c>
      <c r="N16" s="10">
        <v>0.94549232721328735</v>
      </c>
      <c r="O16" s="10">
        <v>0.96444928513748529</v>
      </c>
      <c r="P16" s="10">
        <v>0.80421014649550904</v>
      </c>
      <c r="Q16" s="6"/>
      <c r="R16" s="17">
        <v>1.0732387221269399</v>
      </c>
      <c r="S16" s="17">
        <v>1.05199502177697</v>
      </c>
      <c r="T16" s="17">
        <v>1.07489734816464</v>
      </c>
      <c r="U16" s="17">
        <v>1.06261687195196</v>
      </c>
      <c r="V16" s="17">
        <v>1.11104371110585</v>
      </c>
      <c r="W16" s="17">
        <v>1.10972180156907</v>
      </c>
      <c r="X16" s="17">
        <v>1.1044992631194299</v>
      </c>
      <c r="Y16" s="17">
        <v>1.1224685183576999</v>
      </c>
      <c r="Z16" s="17">
        <v>1.07489734816464</v>
      </c>
    </row>
    <row r="17" spans="1:26" ht="15.45" customHeight="1" x14ac:dyDescent="0.25">
      <c r="A17" s="15">
        <v>40513</v>
      </c>
      <c r="B17" s="16">
        <v>1.4</v>
      </c>
      <c r="C17" s="24" t="e">
        <f>NA()</f>
        <v>#N/A</v>
      </c>
      <c r="D17" s="10">
        <v>1.4565853085803939</v>
      </c>
      <c r="E17" s="10">
        <v>1.3630977935315871</v>
      </c>
      <c r="F17" s="24" t="e">
        <f>NA()</f>
        <v>#N/A</v>
      </c>
      <c r="G17" s="24" t="e">
        <f>NA()</f>
        <v>#N/A</v>
      </c>
      <c r="H17" s="24" t="e">
        <f>NA()</f>
        <v>#N/A</v>
      </c>
      <c r="I17" s="24" t="e">
        <f>NA()</f>
        <v>#N/A</v>
      </c>
      <c r="J17" s="6" t="e">
        <f>NA()</f>
        <v>#N/A</v>
      </c>
      <c r="K17" s="10">
        <v>1.257947549882974</v>
      </c>
      <c r="L17" s="24" t="e">
        <f>NA()</f>
        <v>#N/A</v>
      </c>
      <c r="M17" s="10">
        <v>1.2760588648082509</v>
      </c>
      <c r="N17" s="10">
        <v>0.92295944690704346</v>
      </c>
      <c r="O17" s="10">
        <v>-4.4292673586568722E-2</v>
      </c>
      <c r="P17" s="10">
        <v>0.66047307811661915</v>
      </c>
      <c r="Q17" s="6"/>
      <c r="R17" s="17">
        <v>0.98468990974861403</v>
      </c>
      <c r="S17" s="17">
        <v>1.25794754988297</v>
      </c>
      <c r="T17" s="17">
        <v>1.27605886480825</v>
      </c>
      <c r="U17" s="17">
        <v>1.25794754988297</v>
      </c>
      <c r="V17" s="17">
        <v>1.1975799313127</v>
      </c>
      <c r="W17" s="17">
        <v>1.1942055582545399</v>
      </c>
      <c r="X17" s="17">
        <v>1.13026174703317</v>
      </c>
      <c r="Y17" s="17">
        <v>1.1141977383708099</v>
      </c>
      <c r="Z17" s="17">
        <v>1.19661408477331</v>
      </c>
    </row>
    <row r="18" spans="1:26" ht="15.45" customHeight="1" x14ac:dyDescent="0.25">
      <c r="A18" s="15">
        <v>40603</v>
      </c>
      <c r="B18" s="16">
        <v>1</v>
      </c>
      <c r="C18" s="24" t="e">
        <f>NA()</f>
        <v>#N/A</v>
      </c>
      <c r="D18" s="10">
        <v>1.032989602889955</v>
      </c>
      <c r="E18" s="10">
        <v>1.051267865366867</v>
      </c>
      <c r="F18" s="24" t="e">
        <f>NA()</f>
        <v>#N/A</v>
      </c>
      <c r="G18" s="24" t="e">
        <f>NA()</f>
        <v>#N/A</v>
      </c>
      <c r="H18" s="24" t="e">
        <f>NA()</f>
        <v>#N/A</v>
      </c>
      <c r="I18" s="24" t="e">
        <f>NA()</f>
        <v>#N/A</v>
      </c>
      <c r="J18" s="6" t="e">
        <f>NA()</f>
        <v>#N/A</v>
      </c>
      <c r="K18" s="10">
        <v>0.98701352541193188</v>
      </c>
      <c r="L18" s="24" t="e">
        <f>NA()</f>
        <v>#N/A</v>
      </c>
      <c r="M18" s="10">
        <v>1.20964359812273</v>
      </c>
      <c r="N18" s="10">
        <v>1.2558135986328121</v>
      </c>
      <c r="O18" s="10">
        <v>0.5125813068997771</v>
      </c>
      <c r="P18" s="10">
        <v>-8.0816106851966163E-2</v>
      </c>
      <c r="Q18" s="6"/>
      <c r="R18" s="17">
        <v>0.85264191292458602</v>
      </c>
      <c r="S18" s="17">
        <v>1.0329896028899499</v>
      </c>
      <c r="T18" s="17">
        <v>1.0512678653668599</v>
      </c>
      <c r="U18" s="17">
        <v>0.95325748088968099</v>
      </c>
      <c r="V18" s="17">
        <v>1.0238042740614699</v>
      </c>
      <c r="W18" s="17">
        <v>1.01856877447924</v>
      </c>
      <c r="X18" s="17">
        <v>1.0435231842485999</v>
      </c>
      <c r="Y18" s="17">
        <v>1.0113970539728501</v>
      </c>
      <c r="Z18" s="17">
        <v>1.0238042740614699</v>
      </c>
    </row>
    <row r="19" spans="1:26" ht="15.45" customHeight="1" x14ac:dyDescent="0.25">
      <c r="A19" s="15">
        <v>40695</v>
      </c>
      <c r="B19" s="16">
        <v>0.4</v>
      </c>
      <c r="C19" s="24" t="e">
        <f>NA()</f>
        <v>#N/A</v>
      </c>
      <c r="D19" s="10">
        <v>0.53369320072675919</v>
      </c>
      <c r="E19" s="10">
        <v>0.87704934037660109</v>
      </c>
      <c r="F19" s="24" t="e">
        <f>NA()</f>
        <v>#N/A</v>
      </c>
      <c r="G19" s="24" t="e">
        <f>NA()</f>
        <v>#N/A</v>
      </c>
      <c r="H19" s="24" t="e">
        <f>NA()</f>
        <v>#N/A</v>
      </c>
      <c r="I19" s="24" t="e">
        <f>NA()</f>
        <v>#N/A</v>
      </c>
      <c r="J19" s="6" t="e">
        <f>NA()</f>
        <v>#N/A</v>
      </c>
      <c r="K19" s="10">
        <v>0.86886700025837982</v>
      </c>
      <c r="L19" s="24" t="e">
        <f>NA()</f>
        <v>#N/A</v>
      </c>
      <c r="M19" s="10">
        <v>1.256066584383148</v>
      </c>
      <c r="N19" s="10">
        <v>1.521642684936523</v>
      </c>
      <c r="O19" s="10">
        <v>-0.50975906022558226</v>
      </c>
      <c r="P19" s="10">
        <v>0.50641946835910834</v>
      </c>
      <c r="Q19" s="6"/>
      <c r="R19" s="17">
        <v>0.72199703125927595</v>
      </c>
      <c r="S19" s="17">
        <v>0.86886700025837904</v>
      </c>
      <c r="T19" s="17">
        <v>0.87704934037660098</v>
      </c>
      <c r="U19" s="17">
        <v>0.86886700025837904</v>
      </c>
      <c r="V19" s="17">
        <v>1.030918894637</v>
      </c>
      <c r="W19" s="17">
        <v>1.03039121325163</v>
      </c>
      <c r="X19" s="17">
        <v>0.94609014571804795</v>
      </c>
      <c r="Y19" s="17">
        <v>0.82823909590258005</v>
      </c>
      <c r="Z19" s="17">
        <v>0.86886700025837904</v>
      </c>
    </row>
    <row r="20" spans="1:26" ht="15.45" customHeight="1" x14ac:dyDescent="0.25">
      <c r="A20" s="15">
        <v>40787</v>
      </c>
      <c r="B20" s="16">
        <v>0.5</v>
      </c>
      <c r="C20" s="24" t="e">
        <f>NA()</f>
        <v>#N/A</v>
      </c>
      <c r="D20" s="10">
        <v>1.0316063193013041</v>
      </c>
      <c r="E20" s="10">
        <v>1.1092393664162259</v>
      </c>
      <c r="F20" s="24" t="e">
        <f>NA()</f>
        <v>#N/A</v>
      </c>
      <c r="G20" s="24" t="e">
        <f>NA()</f>
        <v>#N/A</v>
      </c>
      <c r="H20" s="24" t="e">
        <f>NA()</f>
        <v>#N/A</v>
      </c>
      <c r="I20" s="24" t="e">
        <f>NA()</f>
        <v>#N/A</v>
      </c>
      <c r="J20" s="6" t="e">
        <f>NA()</f>
        <v>#N/A</v>
      </c>
      <c r="K20" s="10">
        <v>1.44048094375427</v>
      </c>
      <c r="L20" s="24" t="e">
        <f>NA()</f>
        <v>#N/A</v>
      </c>
      <c r="M20" s="10">
        <v>1.10325247922194</v>
      </c>
      <c r="N20" s="10">
        <v>1.2057250738143921</v>
      </c>
      <c r="O20" s="10">
        <v>-0.27738336029920457</v>
      </c>
      <c r="P20" s="10">
        <v>1.3748652374572641</v>
      </c>
      <c r="Q20" s="6"/>
      <c r="R20" s="17">
        <v>0.99825515138088405</v>
      </c>
      <c r="S20" s="17">
        <v>1.1092393664162199</v>
      </c>
      <c r="T20" s="17">
        <v>1.1092393664162199</v>
      </c>
      <c r="U20" s="17">
        <v>1.1080810226578099</v>
      </c>
      <c r="V20" s="17">
        <v>1.16274964021738</v>
      </c>
      <c r="W20" s="17">
        <v>1.1635457605673201</v>
      </c>
      <c r="X20" s="17">
        <v>1.06157707033203</v>
      </c>
      <c r="Y20" s="17">
        <v>1.07778524356911</v>
      </c>
      <c r="Z20" s="17">
        <v>1.1092393664162199</v>
      </c>
    </row>
    <row r="21" spans="1:26" ht="15.45" customHeight="1" x14ac:dyDescent="0.25">
      <c r="A21" s="15">
        <v>40878</v>
      </c>
      <c r="B21" s="16">
        <v>0.7</v>
      </c>
      <c r="C21" s="24" t="e">
        <f>NA()</f>
        <v>#N/A</v>
      </c>
      <c r="D21" s="10">
        <v>1.3492198468426859</v>
      </c>
      <c r="E21" s="10">
        <v>1.1682881742844491</v>
      </c>
      <c r="F21" s="24" t="e">
        <f>NA()</f>
        <v>#N/A</v>
      </c>
      <c r="G21" s="24" t="e">
        <f>NA()</f>
        <v>#N/A</v>
      </c>
      <c r="H21" s="24" t="e">
        <f>NA()</f>
        <v>#N/A</v>
      </c>
      <c r="I21" s="24" t="e">
        <f>NA()</f>
        <v>#N/A</v>
      </c>
      <c r="J21" s="6" t="e">
        <f>NA()</f>
        <v>#N/A</v>
      </c>
      <c r="K21" s="10">
        <v>1.2593335830293491</v>
      </c>
      <c r="L21" s="24" t="e">
        <f>NA()</f>
        <v>#N/A</v>
      </c>
      <c r="M21" s="10">
        <v>0.76286317646061885</v>
      </c>
      <c r="N21" s="10">
        <v>1.205299377441406</v>
      </c>
      <c r="O21" s="10">
        <v>0.16258599806145449</v>
      </c>
      <c r="P21" s="10">
        <v>0.86749705880395733</v>
      </c>
      <c r="Q21" s="6"/>
      <c r="R21" s="17">
        <v>0.96786960213198803</v>
      </c>
      <c r="S21" s="17">
        <v>1.16828817428444</v>
      </c>
      <c r="T21" s="17">
        <v>1.25933358302934</v>
      </c>
      <c r="U21" s="17">
        <v>1.16828817428444</v>
      </c>
      <c r="V21" s="17">
        <v>1.1946128127762701</v>
      </c>
      <c r="W21" s="17">
        <v>1.18975266231876</v>
      </c>
      <c r="X21" s="17">
        <v>1.1623627583998</v>
      </c>
      <c r="Y21" s="17">
        <v>1.0437914360221701</v>
      </c>
      <c r="Z21" s="17">
        <v>1.16828817428444</v>
      </c>
    </row>
    <row r="22" spans="1:26" ht="15.45" customHeight="1" x14ac:dyDescent="0.25">
      <c r="A22" s="15">
        <v>40969</v>
      </c>
      <c r="B22" s="16">
        <v>1</v>
      </c>
      <c r="C22" s="24" t="e">
        <f>NA()</f>
        <v>#N/A</v>
      </c>
      <c r="D22" s="10">
        <v>1.312445683739405</v>
      </c>
      <c r="E22" s="10">
        <v>1.277094273831914</v>
      </c>
      <c r="F22" s="24" t="e">
        <f>NA()</f>
        <v>#N/A</v>
      </c>
      <c r="G22" s="24" t="e">
        <f>NA()</f>
        <v>#N/A</v>
      </c>
      <c r="H22" s="24" t="e">
        <f>NA()</f>
        <v>#N/A</v>
      </c>
      <c r="I22" s="24" t="e">
        <f>NA()</f>
        <v>#N/A</v>
      </c>
      <c r="J22" s="6" t="e">
        <f>NA()</f>
        <v>#N/A</v>
      </c>
      <c r="K22" s="10">
        <v>0.83161267818432449</v>
      </c>
      <c r="L22" s="24" t="e">
        <f>NA()</f>
        <v>#N/A</v>
      </c>
      <c r="M22" s="10">
        <v>0.88012791577307325</v>
      </c>
      <c r="N22" s="10">
        <v>0.88304120302200317</v>
      </c>
      <c r="O22" s="10">
        <v>0.15845326741614951</v>
      </c>
      <c r="P22" s="10">
        <v>0.51717783598665912</v>
      </c>
      <c r="Q22" s="6"/>
      <c r="R22" s="17">
        <v>0.83713612256478898</v>
      </c>
      <c r="S22" s="17">
        <v>0.88012791577307303</v>
      </c>
      <c r="T22" s="17">
        <v>1.27709427383191</v>
      </c>
      <c r="U22" s="17">
        <v>0.88012791577307303</v>
      </c>
      <c r="V22" s="17">
        <v>1.2763985079932401</v>
      </c>
      <c r="W22" s="17">
        <v>1.26942351748718</v>
      </c>
      <c r="X22" s="17">
        <v>0.96751286730366004</v>
      </c>
      <c r="Y22" s="17">
        <v>0.87767322076591203</v>
      </c>
      <c r="Z22" s="17">
        <v>0.88012791577307303</v>
      </c>
    </row>
    <row r="23" spans="1:26" ht="15.45" customHeight="1" x14ac:dyDescent="0.25">
      <c r="A23" s="15">
        <v>41061</v>
      </c>
      <c r="B23" s="16">
        <v>0.4</v>
      </c>
      <c r="C23" s="24" t="e">
        <f>NA()</f>
        <v>#N/A</v>
      </c>
      <c r="D23" s="10">
        <v>1.3849412933154781</v>
      </c>
      <c r="E23" s="10">
        <v>1.359126282053857</v>
      </c>
      <c r="F23" s="24" t="e">
        <f>NA()</f>
        <v>#N/A</v>
      </c>
      <c r="G23" s="24" t="e">
        <f>NA()</f>
        <v>#N/A</v>
      </c>
      <c r="H23" s="24" t="e">
        <f>NA()</f>
        <v>#N/A</v>
      </c>
      <c r="I23" s="24" t="e">
        <f>NA()</f>
        <v>#N/A</v>
      </c>
      <c r="J23" s="6" t="e">
        <f>NA()</f>
        <v>#N/A</v>
      </c>
      <c r="K23" s="10">
        <v>1.3189886973521541</v>
      </c>
      <c r="L23" s="24" t="e">
        <f>NA()</f>
        <v>#N/A</v>
      </c>
      <c r="M23" s="10">
        <v>1.0321335924751289</v>
      </c>
      <c r="N23" s="10">
        <v>0.62495523691177368</v>
      </c>
      <c r="O23" s="10">
        <v>0.14499030941274491</v>
      </c>
      <c r="P23" s="10">
        <v>0.1155677456057851</v>
      </c>
      <c r="Q23" s="6"/>
      <c r="R23" s="17">
        <v>0.85438616530384603</v>
      </c>
      <c r="S23" s="17">
        <v>1.03213359247512</v>
      </c>
      <c r="T23" s="17">
        <v>1.03213359247512</v>
      </c>
      <c r="U23" s="17">
        <v>1.03213359247512</v>
      </c>
      <c r="V23" s="17">
        <v>1.16423380608746</v>
      </c>
      <c r="W23" s="17">
        <v>1.15440042936978</v>
      </c>
      <c r="X23" s="17">
        <v>0.95360975756303601</v>
      </c>
      <c r="Y23" s="17">
        <v>0.89434333970666602</v>
      </c>
      <c r="Z23" s="17">
        <v>1.03213359247512</v>
      </c>
    </row>
    <row r="24" spans="1:26" ht="15.45" customHeight="1" x14ac:dyDescent="0.25">
      <c r="A24" s="15">
        <v>41153</v>
      </c>
      <c r="B24" s="16">
        <v>0.4</v>
      </c>
      <c r="C24" s="24" t="e">
        <f>NA()</f>
        <v>#N/A</v>
      </c>
      <c r="D24" s="10">
        <v>1.166315396038442</v>
      </c>
      <c r="E24" s="10">
        <v>1.342529299970074</v>
      </c>
      <c r="F24" s="24" t="e">
        <f>NA()</f>
        <v>#N/A</v>
      </c>
      <c r="G24" s="24" t="e">
        <f>NA()</f>
        <v>#N/A</v>
      </c>
      <c r="H24" s="24" t="e">
        <f>NA()</f>
        <v>#N/A</v>
      </c>
      <c r="I24" s="24" t="e">
        <f>NA()</f>
        <v>#N/A</v>
      </c>
      <c r="J24" s="6" t="e">
        <f>NA()</f>
        <v>#N/A</v>
      </c>
      <c r="K24" s="10">
        <v>1.5378799527253939</v>
      </c>
      <c r="L24" s="24" t="e">
        <f>NA()</f>
        <v>#N/A</v>
      </c>
      <c r="M24" s="10">
        <v>0.48749314851045478</v>
      </c>
      <c r="N24" s="10">
        <v>0.64289474487304688</v>
      </c>
      <c r="O24" s="10">
        <v>0.34848275473056489</v>
      </c>
      <c r="P24" s="10">
        <v>0.24937648125902931</v>
      </c>
      <c r="Q24" s="6"/>
      <c r="R24" s="17">
        <v>0.82499596830099997</v>
      </c>
      <c r="S24" s="17">
        <v>0.64289474487304599</v>
      </c>
      <c r="T24" s="17">
        <v>0.487493148510454</v>
      </c>
      <c r="U24" s="17">
        <v>0.64289474487304599</v>
      </c>
      <c r="V24" s="17">
        <v>0.54253829140941301</v>
      </c>
      <c r="W24" s="17">
        <v>0.55113774443552499</v>
      </c>
      <c r="X24" s="17">
        <v>0.71992774808364401</v>
      </c>
      <c r="Y24" s="17">
        <v>0.78783476054966395</v>
      </c>
      <c r="Z24" s="17">
        <v>0.64289474487304599</v>
      </c>
    </row>
    <row r="25" spans="1:26" ht="15.45" customHeight="1" x14ac:dyDescent="0.25">
      <c r="A25" s="15">
        <v>41244</v>
      </c>
      <c r="B25" s="16">
        <v>0.7</v>
      </c>
      <c r="C25" s="24" t="e">
        <f>NA()</f>
        <v>#N/A</v>
      </c>
      <c r="D25" s="10">
        <v>1.663989911786423</v>
      </c>
      <c r="E25" s="10">
        <v>1.5531277106640931</v>
      </c>
      <c r="F25" s="24" t="e">
        <f>NA()</f>
        <v>#N/A</v>
      </c>
      <c r="G25" s="24" t="e">
        <f>NA()</f>
        <v>#N/A</v>
      </c>
      <c r="H25" s="24" t="e">
        <f>NA()</f>
        <v>#N/A</v>
      </c>
      <c r="I25" s="24" t="e">
        <f>NA()</f>
        <v>#N/A</v>
      </c>
      <c r="J25" s="6" t="e">
        <f>NA()</f>
        <v>#N/A</v>
      </c>
      <c r="K25" s="10">
        <v>0.98335660997025798</v>
      </c>
      <c r="L25" s="24" t="e">
        <f>NA()</f>
        <v>#N/A</v>
      </c>
      <c r="M25" s="10">
        <v>0.85408976588575802</v>
      </c>
      <c r="N25" s="10">
        <v>0.6445346474647522</v>
      </c>
      <c r="O25" s="10">
        <v>5.4993577796115509E-2</v>
      </c>
      <c r="P25" s="10">
        <v>0.46265826272410993</v>
      </c>
      <c r="Q25" s="6"/>
      <c r="R25" s="17">
        <v>0.88810721232735801</v>
      </c>
      <c r="S25" s="17">
        <v>0.85408976588575802</v>
      </c>
      <c r="T25" s="17">
        <v>0.64453464746475198</v>
      </c>
      <c r="U25" s="17">
        <v>0.86453944255920401</v>
      </c>
      <c r="V25" s="17">
        <v>0.61908636034264497</v>
      </c>
      <c r="W25" s="17">
        <v>0.61942541765690595</v>
      </c>
      <c r="X25" s="17">
        <v>0.69431645076194903</v>
      </c>
      <c r="Y25" s="17">
        <v>0.81652651204275495</v>
      </c>
      <c r="Z25" s="17">
        <v>0.81652651204275495</v>
      </c>
    </row>
    <row r="26" spans="1:26" ht="15.45" customHeight="1" x14ac:dyDescent="0.25">
      <c r="A26" s="15">
        <v>41334</v>
      </c>
      <c r="B26" s="16">
        <v>0.8</v>
      </c>
      <c r="C26" s="24" t="e">
        <f>NA()</f>
        <v>#N/A</v>
      </c>
      <c r="D26" s="10">
        <v>1.2504758459927601</v>
      </c>
      <c r="E26" s="10">
        <v>1.3703237106033941</v>
      </c>
      <c r="F26" s="24" t="e">
        <f>NA()</f>
        <v>#N/A</v>
      </c>
      <c r="G26" s="24" t="e">
        <f>NA()</f>
        <v>#N/A</v>
      </c>
      <c r="H26" s="24" t="e">
        <f>NA()</f>
        <v>#N/A</v>
      </c>
      <c r="I26" s="24" t="e">
        <f>NA()</f>
        <v>#N/A</v>
      </c>
      <c r="J26" s="6" t="e">
        <f>NA()</f>
        <v>#N/A</v>
      </c>
      <c r="K26" s="10">
        <v>0.51067364320461905</v>
      </c>
      <c r="L26" s="24" t="e">
        <f>NA()</f>
        <v>#N/A</v>
      </c>
      <c r="M26" s="10">
        <v>0.97098024719339493</v>
      </c>
      <c r="N26" s="10">
        <v>1.2290892601013179</v>
      </c>
      <c r="O26" s="10">
        <v>-0.21588960779588909</v>
      </c>
      <c r="P26" s="10">
        <v>0.40959472419862142</v>
      </c>
      <c r="Q26" s="6"/>
      <c r="R26" s="17">
        <v>0.78932111764260204</v>
      </c>
      <c r="S26" s="17">
        <v>0.97098024719339404</v>
      </c>
      <c r="T26" s="17">
        <v>0.97098024719339404</v>
      </c>
      <c r="U26" s="17">
        <v>0.93017502361807403</v>
      </c>
      <c r="V26" s="17">
        <v>0.847366661094061</v>
      </c>
      <c r="W26" s="17">
        <v>0.83959710320737302</v>
      </c>
      <c r="X26" s="17">
        <v>0.94894382894267104</v>
      </c>
      <c r="Y26" s="17">
        <v>0.76658105505821095</v>
      </c>
      <c r="Z26" s="17">
        <v>0.93017502361807403</v>
      </c>
    </row>
    <row r="27" spans="1:26" ht="15.45" customHeight="1" x14ac:dyDescent="0.25">
      <c r="A27" s="15">
        <v>41426</v>
      </c>
      <c r="B27" s="16">
        <v>1.1000000000000001</v>
      </c>
      <c r="C27" s="24" t="e">
        <f>NA()</f>
        <v>#N/A</v>
      </c>
      <c r="D27" s="10">
        <v>0.83922119737440681</v>
      </c>
      <c r="E27" s="10">
        <v>1.3660316391305829</v>
      </c>
      <c r="F27" s="24" t="e">
        <f>NA()</f>
        <v>#N/A</v>
      </c>
      <c r="G27" s="24" t="e">
        <f>NA()</f>
        <v>#N/A</v>
      </c>
      <c r="H27" s="24" t="e">
        <f>NA()</f>
        <v>#N/A</v>
      </c>
      <c r="I27" s="24" t="e">
        <f>NA()</f>
        <v>#N/A</v>
      </c>
      <c r="J27" s="6" t="e">
        <f>NA()</f>
        <v>#N/A</v>
      </c>
      <c r="K27" s="10">
        <v>1.0802105065027521</v>
      </c>
      <c r="L27" s="24" t="e">
        <f>NA()</f>
        <v>#N/A</v>
      </c>
      <c r="M27" s="10">
        <v>0.7154893697795387</v>
      </c>
      <c r="N27" s="10">
        <v>1.1549943685531621</v>
      </c>
      <c r="O27" s="10">
        <v>2.3025046397842971E-2</v>
      </c>
      <c r="P27" s="10">
        <v>0.59461321536521083</v>
      </c>
      <c r="Q27" s="6"/>
      <c r="R27" s="17">
        <v>0.82479790615764204</v>
      </c>
      <c r="S27" s="17">
        <v>0.83922119737440604</v>
      </c>
      <c r="T27" s="17">
        <v>0.71548936977953803</v>
      </c>
      <c r="U27" s="17">
        <v>0.82827591214581597</v>
      </c>
      <c r="V27" s="17">
        <v>0.79776169378713602</v>
      </c>
      <c r="W27" s="17">
        <v>0.79515982538754704</v>
      </c>
      <c r="X27" s="17">
        <v>0.81669948744851595</v>
      </c>
      <c r="Y27" s="17">
        <v>0.79735207993851498</v>
      </c>
      <c r="Z27" s="17">
        <v>0.81669948744851595</v>
      </c>
    </row>
    <row r="28" spans="1:26" ht="15.45" customHeight="1" x14ac:dyDescent="0.25">
      <c r="A28" s="15">
        <v>41518</v>
      </c>
      <c r="B28" s="16">
        <v>1</v>
      </c>
      <c r="C28" s="24" t="e">
        <f>NA()</f>
        <v>#N/A</v>
      </c>
      <c r="D28" s="10">
        <v>1.3344077703914441</v>
      </c>
      <c r="E28" s="10">
        <v>1.535398609095928</v>
      </c>
      <c r="F28" s="24" t="e">
        <f>NA()</f>
        <v>#N/A</v>
      </c>
      <c r="G28" s="24" t="e">
        <f>NA()</f>
        <v>#N/A</v>
      </c>
      <c r="H28" s="24" t="e">
        <f>NA()</f>
        <v>#N/A</v>
      </c>
      <c r="I28" s="24" t="e">
        <f>NA()</f>
        <v>#N/A</v>
      </c>
      <c r="J28" s="6" t="e">
        <f>NA()</f>
        <v>#N/A</v>
      </c>
      <c r="K28" s="10">
        <v>0.98179846059969123</v>
      </c>
      <c r="L28" s="24" t="e">
        <f>NA()</f>
        <v>#N/A</v>
      </c>
      <c r="M28" s="10">
        <v>0.91308426967169221</v>
      </c>
      <c r="N28" s="10">
        <v>1.208168148994446</v>
      </c>
      <c r="O28" s="10">
        <v>0.1040891441804723</v>
      </c>
      <c r="P28" s="10">
        <v>0.49602282371730788</v>
      </c>
      <c r="Q28" s="6"/>
      <c r="R28" s="17">
        <v>0.93899560380728297</v>
      </c>
      <c r="S28" s="17">
        <v>0.981798460599691</v>
      </c>
      <c r="T28" s="17">
        <v>0.91308426967169198</v>
      </c>
      <c r="U28" s="17">
        <v>0.96491731556264804</v>
      </c>
      <c r="V28" s="17">
        <v>0.93989864166248305</v>
      </c>
      <c r="W28" s="17">
        <v>0.93893632674780703</v>
      </c>
      <c r="X28" s="17">
        <v>0.960018111281429</v>
      </c>
      <c r="Y28" s="17">
        <v>0.947531498510649</v>
      </c>
      <c r="Z28" s="17">
        <v>0.947531498510649</v>
      </c>
    </row>
    <row r="29" spans="1:26" ht="15.45" customHeight="1" x14ac:dyDescent="0.25">
      <c r="A29" s="15">
        <v>41609</v>
      </c>
      <c r="B29" s="16">
        <v>0.9</v>
      </c>
      <c r="C29" s="24" t="e">
        <f>NA()</f>
        <v>#N/A</v>
      </c>
      <c r="D29" s="10">
        <v>1.658346398240873</v>
      </c>
      <c r="E29" s="10">
        <v>1.4738922997013399</v>
      </c>
      <c r="F29" s="24" t="e">
        <f>NA()</f>
        <v>#N/A</v>
      </c>
      <c r="G29" s="24" t="e">
        <f>NA()</f>
        <v>#N/A</v>
      </c>
      <c r="H29" s="24" t="e">
        <f>NA()</f>
        <v>#N/A</v>
      </c>
      <c r="I29" s="24" t="e">
        <f>NA()</f>
        <v>#N/A</v>
      </c>
      <c r="J29" s="6" t="e">
        <f>NA()</f>
        <v>#N/A</v>
      </c>
      <c r="K29" s="10">
        <v>0.50963166117262304</v>
      </c>
      <c r="L29" s="24" t="e">
        <f>NA()</f>
        <v>#N/A</v>
      </c>
      <c r="M29" s="10">
        <v>0.84553219066195195</v>
      </c>
      <c r="N29" s="10">
        <v>1.198779821395874</v>
      </c>
      <c r="O29" s="10">
        <v>-0.2220243917173102</v>
      </c>
      <c r="P29" s="10">
        <v>0.25113060768508799</v>
      </c>
      <c r="Q29" s="6"/>
      <c r="R29" s="17">
        <v>0.81646979816291998</v>
      </c>
      <c r="S29" s="17">
        <v>0.84553219066195195</v>
      </c>
      <c r="T29" s="17">
        <v>0.84553219066195195</v>
      </c>
      <c r="U29" s="17">
        <v>0.84553219066195195</v>
      </c>
      <c r="V29" s="17">
        <v>0.83413156759490203</v>
      </c>
      <c r="W29" s="17">
        <v>0.83730508816613403</v>
      </c>
      <c r="X29" s="17">
        <v>0.81262987244523999</v>
      </c>
      <c r="Y29" s="17">
        <v>0.86110238673651096</v>
      </c>
      <c r="Z29" s="17">
        <v>0.84553219066195195</v>
      </c>
    </row>
    <row r="30" spans="1:26" ht="15.45" customHeight="1" x14ac:dyDescent="0.25">
      <c r="A30" s="15">
        <v>41699</v>
      </c>
      <c r="B30" s="16">
        <v>0.8</v>
      </c>
      <c r="C30" s="24" t="e">
        <f>NA()</f>
        <v>#N/A</v>
      </c>
      <c r="D30" s="10">
        <v>0.81223567906913985</v>
      </c>
      <c r="E30" s="10">
        <v>1.252740177433509</v>
      </c>
      <c r="F30" s="24" t="e">
        <f>NA()</f>
        <v>#N/A</v>
      </c>
      <c r="G30" s="24" t="e">
        <f>NA()</f>
        <v>#N/A</v>
      </c>
      <c r="H30" s="24" t="e">
        <f>NA()</f>
        <v>#N/A</v>
      </c>
      <c r="I30" s="24" t="e">
        <f>NA()</f>
        <v>#N/A</v>
      </c>
      <c r="J30" s="6" t="e">
        <f>NA()</f>
        <v>#N/A</v>
      </c>
      <c r="K30" s="10">
        <v>0.68137244922472817</v>
      </c>
      <c r="L30" s="24" t="e">
        <f>NA()</f>
        <v>#N/A</v>
      </c>
      <c r="M30" s="10">
        <v>0.87999350096966056</v>
      </c>
      <c r="N30" s="10">
        <v>0.91728490591049194</v>
      </c>
      <c r="O30" s="10">
        <v>-0.21406897462943111</v>
      </c>
      <c r="P30" s="10">
        <v>0.32865236392615021</v>
      </c>
      <c r="Q30" s="6"/>
      <c r="R30" s="17">
        <v>0.66545858598632102</v>
      </c>
      <c r="S30" s="17">
        <v>0.81223567906913896</v>
      </c>
      <c r="T30" s="17">
        <v>0.87999350096966</v>
      </c>
      <c r="U30" s="17">
        <v>0.80465090664584904</v>
      </c>
      <c r="V30" s="17">
        <v>0.81517080516863905</v>
      </c>
      <c r="W30" s="17">
        <v>0.81399026667215602</v>
      </c>
      <c r="X30" s="17">
        <v>0.80495997546585996</v>
      </c>
      <c r="Y30" s="17">
        <v>0.74978653222515101</v>
      </c>
      <c r="Z30" s="17">
        <v>0.81100980992104199</v>
      </c>
    </row>
    <row r="31" spans="1:26" ht="15.45" customHeight="1" x14ac:dyDescent="0.25">
      <c r="A31" s="15">
        <v>41791</v>
      </c>
      <c r="B31" s="16">
        <v>0.9</v>
      </c>
      <c r="C31" s="24" t="e">
        <f>NA()</f>
        <v>#N/A</v>
      </c>
      <c r="D31" s="10">
        <v>1.075195985876753</v>
      </c>
      <c r="E31" s="10">
        <v>1.309689388180324</v>
      </c>
      <c r="F31" s="24" t="e">
        <f>NA()</f>
        <v>#N/A</v>
      </c>
      <c r="G31" s="24" t="e">
        <f>NA()</f>
        <v>#N/A</v>
      </c>
      <c r="H31" s="24" t="e">
        <f>NA()</f>
        <v>#N/A</v>
      </c>
      <c r="I31" s="24" t="e">
        <f>NA()</f>
        <v>#N/A</v>
      </c>
      <c r="J31" s="6" t="e">
        <f>NA()</f>
        <v>#N/A</v>
      </c>
      <c r="K31" s="10">
        <v>0.81147514841312685</v>
      </c>
      <c r="L31" s="24" t="e">
        <f>NA()</f>
        <v>#N/A</v>
      </c>
      <c r="M31" s="10">
        <v>0.80001404268390386</v>
      </c>
      <c r="N31" s="10">
        <v>1.172089695930481</v>
      </c>
      <c r="O31" s="10">
        <v>-0.2597198800504561</v>
      </c>
      <c r="P31" s="10">
        <v>0.36903586464926152</v>
      </c>
      <c r="Q31" s="6"/>
      <c r="R31" s="17">
        <v>0.75396860652619901</v>
      </c>
      <c r="S31" s="17">
        <v>0.81147514841312596</v>
      </c>
      <c r="T31" s="17">
        <v>0.81147514841312596</v>
      </c>
      <c r="U31" s="17">
        <v>0.80442619378047497</v>
      </c>
      <c r="V31" s="17">
        <v>0.93567973352137401</v>
      </c>
      <c r="W31" s="17">
        <v>0.93403595252146598</v>
      </c>
      <c r="X31" s="17">
        <v>0.92884154692589804</v>
      </c>
      <c r="Y31" s="17">
        <v>0.856345564223702</v>
      </c>
      <c r="Z31" s="17">
        <v>0.81147514841312596</v>
      </c>
    </row>
    <row r="32" spans="1:26" ht="15.45" customHeight="1" x14ac:dyDescent="0.25">
      <c r="A32" s="15">
        <v>41883</v>
      </c>
      <c r="B32" s="16">
        <v>0.3</v>
      </c>
      <c r="C32" s="24" t="e">
        <f>NA()</f>
        <v>#N/A</v>
      </c>
      <c r="D32" s="10">
        <v>1.0261425507613</v>
      </c>
      <c r="E32" s="10">
        <v>1.2717685753901971</v>
      </c>
      <c r="F32" s="24" t="e">
        <f>NA()</f>
        <v>#N/A</v>
      </c>
      <c r="G32" s="24" t="e">
        <f>NA()</f>
        <v>#N/A</v>
      </c>
      <c r="H32" s="24" t="e">
        <f>NA()</f>
        <v>#N/A</v>
      </c>
      <c r="I32" s="24" t="e">
        <f>NA()</f>
        <v>#N/A</v>
      </c>
      <c r="J32" s="6" t="e">
        <f>NA()</f>
        <v>#N/A</v>
      </c>
      <c r="K32" s="10">
        <v>0.95902860435936077</v>
      </c>
      <c r="L32" s="24" t="e">
        <f>NA()</f>
        <v>#N/A</v>
      </c>
      <c r="M32" s="10">
        <v>0.74112028793989571</v>
      </c>
      <c r="N32" s="10">
        <v>0.91955405473709106</v>
      </c>
      <c r="O32" s="10">
        <v>-0.24074362694291099</v>
      </c>
      <c r="P32" s="10">
        <v>0.40006218888012401</v>
      </c>
      <c r="Q32" s="6"/>
      <c r="R32" s="17">
        <v>0.72527609073215105</v>
      </c>
      <c r="S32" s="17">
        <v>0.91955405473709095</v>
      </c>
      <c r="T32" s="17">
        <v>0.91955405473709095</v>
      </c>
      <c r="U32" s="17">
        <v>0.91955405473709095</v>
      </c>
      <c r="V32" s="17">
        <v>0.88294718734049604</v>
      </c>
      <c r="W32" s="17">
        <v>0.88190594178822701</v>
      </c>
      <c r="X32" s="17">
        <v>0.78986121483590699</v>
      </c>
      <c r="Y32" s="17">
        <v>0.82202352369130205</v>
      </c>
      <c r="Z32" s="17">
        <v>0.88289349402415196</v>
      </c>
    </row>
    <row r="33" spans="1:26" ht="15.45" customHeight="1" x14ac:dyDescent="0.25">
      <c r="A33" s="15">
        <v>41974</v>
      </c>
      <c r="B33" s="16">
        <v>0.5</v>
      </c>
      <c r="C33" s="24" t="e">
        <f>NA()</f>
        <v>#N/A</v>
      </c>
      <c r="D33" s="10">
        <v>1.0458523070076</v>
      </c>
      <c r="E33" s="10">
        <v>1.232410276514706</v>
      </c>
      <c r="F33" s="24" t="e">
        <f>NA()</f>
        <v>#N/A</v>
      </c>
      <c r="G33" s="24" t="e">
        <f>NA()</f>
        <v>#N/A</v>
      </c>
      <c r="H33" s="24" t="e">
        <f>NA()</f>
        <v>#N/A</v>
      </c>
      <c r="I33" s="24" t="e">
        <f>NA()</f>
        <v>#N/A</v>
      </c>
      <c r="J33" s="6" t="e">
        <f>NA()</f>
        <v>#N/A</v>
      </c>
      <c r="K33" s="10">
        <v>0.9763485678491115</v>
      </c>
      <c r="L33" s="24" t="e">
        <f>NA()</f>
        <v>#N/A</v>
      </c>
      <c r="M33" s="10">
        <v>0.76413633603688591</v>
      </c>
      <c r="N33" s="10">
        <v>1.1771397590637209</v>
      </c>
      <c r="O33" s="10">
        <v>2.8313624656483939E-2</v>
      </c>
      <c r="P33" s="10">
        <v>0.34645177592915799</v>
      </c>
      <c r="Q33" s="6"/>
      <c r="R33" s="17">
        <v>0.79580752100823804</v>
      </c>
      <c r="S33" s="17">
        <v>0.97634856784911095</v>
      </c>
      <c r="T33" s="17">
        <v>0.97634856784911095</v>
      </c>
      <c r="U33" s="17">
        <v>0.93215573841166599</v>
      </c>
      <c r="V33" s="17">
        <v>0.88672322233574796</v>
      </c>
      <c r="W33" s="17">
        <v>0.88724377914433805</v>
      </c>
      <c r="X33" s="17">
        <v>0.854283658770851</v>
      </c>
      <c r="Y33" s="17">
        <v>0.85109590333445595</v>
      </c>
      <c r="Z33" s="17">
        <v>0.88734450943126197</v>
      </c>
    </row>
    <row r="34" spans="1:26" ht="15.45" customHeight="1" x14ac:dyDescent="0.25">
      <c r="A34" s="15">
        <v>42064</v>
      </c>
      <c r="B34" s="16">
        <v>0.9</v>
      </c>
      <c r="C34" s="24" t="e">
        <f>NA()</f>
        <v>#N/A</v>
      </c>
      <c r="D34" s="10">
        <v>1.101762515454396</v>
      </c>
      <c r="E34" s="10">
        <v>1.3305324490465511</v>
      </c>
      <c r="F34" s="24" t="e">
        <f>NA()</f>
        <v>#N/A</v>
      </c>
      <c r="G34" s="24" t="e">
        <f>NA()</f>
        <v>#N/A</v>
      </c>
      <c r="H34" s="24" t="e">
        <f>NA()</f>
        <v>#N/A</v>
      </c>
      <c r="I34" s="24" t="e">
        <f>NA()</f>
        <v>#N/A</v>
      </c>
      <c r="J34" s="6" t="e">
        <f>NA()</f>
        <v>#N/A</v>
      </c>
      <c r="K34" s="10">
        <v>1.180455430099048</v>
      </c>
      <c r="L34" s="24" t="e">
        <f>NA()</f>
        <v>#N/A</v>
      </c>
      <c r="M34" s="10">
        <v>0.61475281794862213</v>
      </c>
      <c r="N34" s="10">
        <v>1.198205947875977</v>
      </c>
      <c r="O34" s="10">
        <v>0.1153359171143077</v>
      </c>
      <c r="P34" s="10">
        <v>0.79874380430528724</v>
      </c>
      <c r="Q34" s="6"/>
      <c r="R34" s="17">
        <v>0.90568412597774095</v>
      </c>
      <c r="S34" s="17">
        <v>1.10176251545439</v>
      </c>
      <c r="T34" s="17">
        <v>0.79874380430528702</v>
      </c>
      <c r="U34" s="17">
        <v>1.0274086990789699</v>
      </c>
      <c r="V34" s="17">
        <v>0.85375418279498905</v>
      </c>
      <c r="W34" s="17">
        <v>0.86073347169831704</v>
      </c>
      <c r="X34" s="17">
        <v>0.87234774741302701</v>
      </c>
      <c r="Y34" s="17">
        <v>0.93186405836604402</v>
      </c>
      <c r="Z34" s="17">
        <v>0.91405868148403702</v>
      </c>
    </row>
    <row r="35" spans="1:26" ht="15.45" customHeight="1" x14ac:dyDescent="0.25">
      <c r="A35" s="15">
        <v>42156</v>
      </c>
      <c r="B35" s="16">
        <v>0.4</v>
      </c>
      <c r="C35" s="24" t="e">
        <f>NA()</f>
        <v>#N/A</v>
      </c>
      <c r="D35" s="10">
        <v>0.89843928191672973</v>
      </c>
      <c r="E35" s="10">
        <v>1.233084746620605</v>
      </c>
      <c r="F35" s="24" t="e">
        <f>NA()</f>
        <v>#N/A</v>
      </c>
      <c r="G35" s="24" t="e">
        <f>NA()</f>
        <v>#N/A</v>
      </c>
      <c r="H35" s="24" t="e">
        <f>NA()</f>
        <v>#N/A</v>
      </c>
      <c r="I35" s="24" t="e">
        <f>NA()</f>
        <v>#N/A</v>
      </c>
      <c r="J35" s="6" t="e">
        <f>NA()</f>
        <v>#N/A</v>
      </c>
      <c r="K35" s="10">
        <v>0.7454440042262469</v>
      </c>
      <c r="L35" s="24" t="e">
        <f>NA()</f>
        <v>#N/A</v>
      </c>
      <c r="M35" s="10">
        <v>0.79994837527185836</v>
      </c>
      <c r="N35" s="10">
        <v>1.387703418731689</v>
      </c>
      <c r="O35" s="10">
        <v>0.1592108954581081</v>
      </c>
      <c r="P35" s="10">
        <v>0.71423347962136419</v>
      </c>
      <c r="Q35" s="6"/>
      <c r="R35" s="17">
        <v>0.848294885978086</v>
      </c>
      <c r="S35" s="17">
        <v>0.79994837527185803</v>
      </c>
      <c r="T35" s="17">
        <v>0.74544400422624602</v>
      </c>
      <c r="U35" s="17">
        <v>0.79994837527185803</v>
      </c>
      <c r="V35" s="17">
        <v>0.79423668713874696</v>
      </c>
      <c r="W35" s="17">
        <v>0.79792393416375795</v>
      </c>
      <c r="X35" s="17">
        <v>0.832623722799823</v>
      </c>
      <c r="Y35" s="17">
        <v>0.86282404459901096</v>
      </c>
      <c r="Z35" s="17">
        <v>0.79994837527185803</v>
      </c>
    </row>
    <row r="36" spans="1:26" ht="15.45" customHeight="1" x14ac:dyDescent="0.25">
      <c r="A36" s="15">
        <v>42248</v>
      </c>
      <c r="B36" s="16">
        <v>1.5</v>
      </c>
      <c r="C36" s="24" t="e">
        <f>NA()</f>
        <v>#N/A</v>
      </c>
      <c r="D36" s="10">
        <v>0.90954625846091375</v>
      </c>
      <c r="E36" s="10">
        <v>1.2300220177555941</v>
      </c>
      <c r="F36" s="24" t="e">
        <f>NA()</f>
        <v>#N/A</v>
      </c>
      <c r="G36" s="24" t="e">
        <f>NA()</f>
        <v>#N/A</v>
      </c>
      <c r="H36" s="24" t="e">
        <f>NA()</f>
        <v>#N/A</v>
      </c>
      <c r="I36" s="24" t="e">
        <f>NA()</f>
        <v>#N/A</v>
      </c>
      <c r="J36" s="6" t="e">
        <f>NA()</f>
        <v>#N/A</v>
      </c>
      <c r="K36" s="10">
        <v>1.100863627811282</v>
      </c>
      <c r="L36" s="24" t="e">
        <f>NA()</f>
        <v>#N/A</v>
      </c>
      <c r="M36" s="10">
        <v>0.63285247023005697</v>
      </c>
      <c r="N36" s="10">
        <v>0.42978188395500178</v>
      </c>
      <c r="O36" s="10">
        <v>-9.9212777059081964E-2</v>
      </c>
      <c r="P36" s="10">
        <v>0.48609819807459942</v>
      </c>
      <c r="Q36" s="6"/>
      <c r="R36" s="17">
        <v>0.669993097032623</v>
      </c>
      <c r="S36" s="17">
        <v>0.63285247023005697</v>
      </c>
      <c r="T36" s="17">
        <v>0.63285247023005697</v>
      </c>
      <c r="U36" s="17">
        <v>0.63285247023005697</v>
      </c>
      <c r="V36" s="17">
        <v>0.552767832999849</v>
      </c>
      <c r="W36" s="17">
        <v>0.55715927774057195</v>
      </c>
      <c r="X36" s="17">
        <v>0.57790238367700397</v>
      </c>
      <c r="Y36" s="17">
        <v>0.65282475726197298</v>
      </c>
      <c r="Z36" s="17">
        <v>0.63285247023005697</v>
      </c>
    </row>
    <row r="37" spans="1:26" ht="15.45" customHeight="1" x14ac:dyDescent="0.25">
      <c r="A37" s="15">
        <v>42339</v>
      </c>
      <c r="B37" s="16">
        <v>0.8</v>
      </c>
      <c r="C37" s="24" t="e">
        <f>NA()</f>
        <v>#N/A</v>
      </c>
      <c r="D37" s="10">
        <v>1.1911039760828861</v>
      </c>
      <c r="E37" s="10">
        <v>1.3320987200595269</v>
      </c>
      <c r="F37" s="24" t="e">
        <f>NA()</f>
        <v>#N/A</v>
      </c>
      <c r="G37" s="24" t="e">
        <f>NA()</f>
        <v>#N/A</v>
      </c>
      <c r="H37" s="24" t="e">
        <f>NA()</f>
        <v>#N/A</v>
      </c>
      <c r="I37" s="24" t="e">
        <f>NA()</f>
        <v>#N/A</v>
      </c>
      <c r="J37" s="6" t="e">
        <f>NA()</f>
        <v>#N/A</v>
      </c>
      <c r="K37" s="10">
        <v>1.0662739251360911</v>
      </c>
      <c r="L37" s="24" t="e">
        <f>NA()</f>
        <v>#N/A</v>
      </c>
      <c r="M37" s="10">
        <v>0.83048683010285229</v>
      </c>
      <c r="N37" s="10">
        <v>0.67596346139907837</v>
      </c>
      <c r="O37" s="10">
        <v>0.1751240545727758</v>
      </c>
      <c r="P37" s="10">
        <v>0.53095387095825985</v>
      </c>
      <c r="Q37" s="6"/>
      <c r="R37" s="17">
        <v>0.82885783404449498</v>
      </c>
      <c r="S37" s="17">
        <v>0.83048683010285196</v>
      </c>
      <c r="T37" s="17">
        <v>0.83048683010285196</v>
      </c>
      <c r="U37" s="17">
        <v>0.83048683010285196</v>
      </c>
      <c r="V37" s="17">
        <v>0.99402617998600895</v>
      </c>
      <c r="W37" s="17">
        <v>0.99181057513778503</v>
      </c>
      <c r="X37" s="17">
        <v>0.935266956174996</v>
      </c>
      <c r="Y37" s="17">
        <v>0.88369253595659603</v>
      </c>
      <c r="Z37" s="17">
        <v>0.83222654388998996</v>
      </c>
    </row>
    <row r="38" spans="1:26" ht="15.45" customHeight="1" x14ac:dyDescent="0.25">
      <c r="A38" s="15">
        <v>42430</v>
      </c>
      <c r="B38" s="16">
        <v>0.3</v>
      </c>
      <c r="C38" s="24" t="e">
        <f>NA()</f>
        <v>#N/A</v>
      </c>
      <c r="D38" s="19">
        <v>0.82747739892177208</v>
      </c>
      <c r="E38" s="19">
        <v>1.0817977214818699</v>
      </c>
      <c r="F38" s="24" t="e">
        <f>NA()</f>
        <v>#N/A</v>
      </c>
      <c r="G38" s="24" t="e">
        <f>NA()</f>
        <v>#N/A</v>
      </c>
      <c r="H38" s="24" t="e">
        <f>NA()</f>
        <v>#N/A</v>
      </c>
      <c r="I38" s="24" t="e">
        <f>NA()</f>
        <v>#N/A</v>
      </c>
      <c r="J38" s="6" t="e">
        <f>NA()</f>
        <v>#N/A</v>
      </c>
      <c r="K38" s="19">
        <v>0.76611712193246717</v>
      </c>
      <c r="L38" s="24" t="e">
        <f>NA()</f>
        <v>#N/A</v>
      </c>
      <c r="M38" s="19">
        <v>0.74429481288525035</v>
      </c>
      <c r="N38" s="19">
        <v>0.75382518768310547</v>
      </c>
      <c r="O38" s="19">
        <v>0.1247430367309265</v>
      </c>
      <c r="P38" s="19">
        <v>0.34360976568285068</v>
      </c>
      <c r="Q38" s="19"/>
      <c r="R38" s="17">
        <v>0.66312357790260601</v>
      </c>
      <c r="S38" s="17">
        <v>0.75382518768310502</v>
      </c>
      <c r="T38" s="17">
        <v>0.76611712193246695</v>
      </c>
      <c r="U38" s="17">
        <v>0.75382518768310502</v>
      </c>
      <c r="V38" s="17">
        <v>0.76182684002081202</v>
      </c>
      <c r="W38" s="17">
        <v>0.76101682940223303</v>
      </c>
      <c r="X38" s="17">
        <v>0.73442749431926702</v>
      </c>
      <c r="Y38" s="17">
        <v>0.70277764846078805</v>
      </c>
      <c r="Z38" s="17">
        <v>0.75382518768310502</v>
      </c>
    </row>
    <row r="39" spans="1:26" ht="15.45" customHeight="1" x14ac:dyDescent="0.25">
      <c r="A39" s="15">
        <v>42522</v>
      </c>
      <c r="B39" s="16">
        <v>1.2</v>
      </c>
      <c r="C39" s="18">
        <v>0.52186999999999995</v>
      </c>
      <c r="D39" s="19">
        <v>0.68174000000000001</v>
      </c>
      <c r="E39" s="19">
        <v>0.60907999999999995</v>
      </c>
      <c r="F39" s="19">
        <v>0.40931000000000001</v>
      </c>
      <c r="G39" s="24" t="e">
        <f>NA()</f>
        <v>#N/A</v>
      </c>
      <c r="H39" s="19">
        <v>1.07836</v>
      </c>
      <c r="I39" s="19">
        <v>0.98704000000000003</v>
      </c>
      <c r="J39" s="19">
        <v>-3.4840000000000003E-2</v>
      </c>
      <c r="K39" s="19">
        <v>0.85592000000000001</v>
      </c>
      <c r="L39" s="19">
        <v>0.8</v>
      </c>
      <c r="M39" s="19">
        <v>0.79073000000000004</v>
      </c>
      <c r="N39" s="19">
        <v>1.1046899999999999</v>
      </c>
      <c r="O39" s="19">
        <v>0.64990999999999999</v>
      </c>
      <c r="P39" s="19">
        <v>0.98633999999999999</v>
      </c>
      <c r="Q39" s="19"/>
      <c r="R39" s="17">
        <v>0.72616538461538405</v>
      </c>
      <c r="S39" s="17">
        <v>0.79073000000000004</v>
      </c>
      <c r="T39" s="17">
        <v>0.72616538461538405</v>
      </c>
      <c r="U39" s="17">
        <v>0.79073000000000004</v>
      </c>
      <c r="V39" s="17">
        <v>0.72616538461538405</v>
      </c>
      <c r="W39" s="17">
        <v>0.72616538461538405</v>
      </c>
      <c r="X39" s="17">
        <v>0.72616538461538405</v>
      </c>
      <c r="Y39" s="17">
        <v>0.72616538461538405</v>
      </c>
      <c r="Z39" s="17">
        <v>0.72616538461538405</v>
      </c>
    </row>
    <row r="40" spans="1:26" ht="15.45" customHeight="1" x14ac:dyDescent="0.25">
      <c r="A40" s="15">
        <v>42614</v>
      </c>
      <c r="B40" s="16">
        <v>0.4</v>
      </c>
      <c r="C40" s="18">
        <v>0.78732000000000002</v>
      </c>
      <c r="D40" s="19">
        <v>0.45251000000000002</v>
      </c>
      <c r="E40" s="19">
        <v>0.44079000000000002</v>
      </c>
      <c r="F40" s="19">
        <v>0.64712000000000003</v>
      </c>
      <c r="G40" s="24" t="e">
        <f>NA()</f>
        <v>#N/A</v>
      </c>
      <c r="H40" s="19">
        <v>1.0460100000000001</v>
      </c>
      <c r="I40" s="19">
        <v>0.88749</v>
      </c>
      <c r="J40" s="19">
        <v>0.41443999999999998</v>
      </c>
      <c r="K40" s="19">
        <v>0.50363999999999998</v>
      </c>
      <c r="L40" s="19">
        <v>0.8</v>
      </c>
      <c r="M40" s="19">
        <v>0.40578999999999998</v>
      </c>
      <c r="N40" s="19">
        <v>1.1350499999999999</v>
      </c>
      <c r="O40" s="19">
        <v>0.68818999999999997</v>
      </c>
      <c r="P40" s="19">
        <v>1.01989</v>
      </c>
      <c r="Q40" s="19"/>
      <c r="R40" s="17">
        <v>0.70986461538461498</v>
      </c>
      <c r="S40" s="17">
        <v>0.68818999999999997</v>
      </c>
      <c r="T40" s="17">
        <v>0.70986461538461498</v>
      </c>
      <c r="U40" s="17">
        <v>0.68818999999999997</v>
      </c>
      <c r="V40" s="17">
        <v>0.70986461538461498</v>
      </c>
      <c r="W40" s="17">
        <v>0.70986461538461498</v>
      </c>
      <c r="X40" s="17">
        <v>0.70986461538461498</v>
      </c>
      <c r="Y40" s="17">
        <v>0.70986461538461498</v>
      </c>
      <c r="Z40" s="17">
        <v>0.40578999999999998</v>
      </c>
    </row>
    <row r="41" spans="1:26" ht="15.45" customHeight="1" x14ac:dyDescent="0.25">
      <c r="A41" s="15">
        <v>42705</v>
      </c>
      <c r="B41" s="16">
        <v>0.6</v>
      </c>
      <c r="C41" s="18">
        <v>0.61675999999999997</v>
      </c>
      <c r="D41" s="19">
        <v>0.46306999999999998</v>
      </c>
      <c r="E41" s="19">
        <v>0.39906000000000003</v>
      </c>
      <c r="F41" s="19">
        <v>0.68147999999999997</v>
      </c>
      <c r="G41" s="24" t="e">
        <f>NA()</f>
        <v>#N/A</v>
      </c>
      <c r="H41" s="19">
        <v>0.55462</v>
      </c>
      <c r="I41" s="19">
        <v>0.66954999999999998</v>
      </c>
      <c r="J41" s="19">
        <v>0.2402</v>
      </c>
      <c r="K41" s="19">
        <v>0.69037999999999999</v>
      </c>
      <c r="L41" s="19">
        <v>0.7</v>
      </c>
      <c r="M41" s="19">
        <v>0.52939000000000003</v>
      </c>
      <c r="N41" s="19">
        <v>1.2468600000000001</v>
      </c>
      <c r="O41" s="19">
        <v>0.63080000000000003</v>
      </c>
      <c r="P41" s="19">
        <v>0.85448000000000002</v>
      </c>
      <c r="Q41" s="19"/>
      <c r="R41" s="17">
        <v>0.63666538461538402</v>
      </c>
      <c r="S41" s="17">
        <v>0.63080000000000003</v>
      </c>
      <c r="T41" s="17">
        <v>0.63666538461538402</v>
      </c>
      <c r="U41" s="17">
        <v>0.63080000000000003</v>
      </c>
      <c r="V41" s="17">
        <v>0.63666538461538402</v>
      </c>
      <c r="W41" s="17">
        <v>0.63666538461538402</v>
      </c>
      <c r="X41" s="17">
        <v>0.63666538461538402</v>
      </c>
      <c r="Y41" s="17">
        <v>0.63666538461538402</v>
      </c>
      <c r="Z41" s="17">
        <v>0.63666538461538402</v>
      </c>
    </row>
    <row r="42" spans="1:26" ht="15.45" customHeight="1" x14ac:dyDescent="0.25">
      <c r="A42" s="15">
        <v>42795</v>
      </c>
      <c r="B42" s="16">
        <v>1</v>
      </c>
      <c r="C42" s="18">
        <v>1.08965</v>
      </c>
      <c r="D42" s="19">
        <v>0.91608999999999996</v>
      </c>
      <c r="E42" s="19">
        <v>0.87748999999999999</v>
      </c>
      <c r="F42" s="19">
        <v>0.78580000000000005</v>
      </c>
      <c r="G42" s="24" t="e">
        <f>NA()</f>
        <v>#N/A</v>
      </c>
      <c r="H42" s="19">
        <v>1.34307</v>
      </c>
      <c r="I42" s="19">
        <v>1.0983499999999999</v>
      </c>
      <c r="J42" s="19">
        <v>0.10692</v>
      </c>
      <c r="K42" s="19">
        <v>0.18384</v>
      </c>
      <c r="L42" s="19">
        <v>0.8</v>
      </c>
      <c r="M42" s="19">
        <v>0.67762999999999995</v>
      </c>
      <c r="N42" s="19">
        <v>1.2422200000000001</v>
      </c>
      <c r="O42" s="19">
        <v>0.98541999999999996</v>
      </c>
      <c r="P42" s="19">
        <v>1.1592800000000001</v>
      </c>
      <c r="Q42" s="19"/>
      <c r="R42" s="17">
        <v>0.86659692307692304</v>
      </c>
      <c r="S42" s="17">
        <v>0.91608999999999996</v>
      </c>
      <c r="T42" s="17">
        <v>0.86659692307692304</v>
      </c>
      <c r="U42" s="17">
        <v>0.88531361138576203</v>
      </c>
      <c r="V42" s="17">
        <v>0.86659692307692304</v>
      </c>
      <c r="W42" s="17">
        <v>0.86659692307692304</v>
      </c>
      <c r="X42" s="17">
        <v>0.86659692307692304</v>
      </c>
      <c r="Y42" s="17">
        <v>0.86659692307692304</v>
      </c>
      <c r="Z42" s="17">
        <v>0.87374501249167102</v>
      </c>
    </row>
    <row r="43" spans="1:26" ht="15.45" customHeight="1" x14ac:dyDescent="0.25">
      <c r="A43" s="15">
        <v>42887</v>
      </c>
      <c r="B43" s="16">
        <v>0.8</v>
      </c>
      <c r="C43" s="18">
        <v>0.70762000000000003</v>
      </c>
      <c r="D43" s="19">
        <v>0.46972999999999998</v>
      </c>
      <c r="E43" s="19">
        <v>0.45019999999999999</v>
      </c>
      <c r="F43" s="19">
        <v>0.85792000000000002</v>
      </c>
      <c r="G43" s="24" t="e">
        <f>NA()</f>
        <v>#N/A</v>
      </c>
      <c r="H43" s="19">
        <v>1.0483499999999999</v>
      </c>
      <c r="I43" s="19">
        <v>1.08067</v>
      </c>
      <c r="J43" s="19">
        <v>0.40665000000000001</v>
      </c>
      <c r="K43" s="19">
        <v>-0.35810999999999998</v>
      </c>
      <c r="L43" s="19">
        <v>0.6</v>
      </c>
      <c r="M43" s="19">
        <v>0.40988999999999998</v>
      </c>
      <c r="N43" s="19">
        <v>1.0012099999999999</v>
      </c>
      <c r="O43" s="19">
        <v>0.77854999999999996</v>
      </c>
      <c r="P43" s="19">
        <v>1.2376499999999999</v>
      </c>
      <c r="Q43" s="19"/>
      <c r="R43" s="17">
        <v>0.66848692307692303</v>
      </c>
      <c r="S43" s="17">
        <v>0.70762000000000003</v>
      </c>
      <c r="T43" s="17">
        <v>0.46972999999999998</v>
      </c>
      <c r="U43" s="17">
        <v>0.51927274289468395</v>
      </c>
      <c r="V43" s="17">
        <v>0.67453110349249501</v>
      </c>
      <c r="W43" s="17">
        <v>0.67633940865573094</v>
      </c>
      <c r="X43" s="17">
        <v>0.68253372943113699</v>
      </c>
      <c r="Y43" s="17">
        <v>0.67701684623093294</v>
      </c>
      <c r="Z43" s="17">
        <v>0.67535938606452905</v>
      </c>
    </row>
    <row r="44" spans="1:26" ht="15.45" customHeight="1" x14ac:dyDescent="0.25">
      <c r="A44" s="15">
        <v>42979</v>
      </c>
      <c r="B44" s="16">
        <v>1.4</v>
      </c>
      <c r="C44" s="18">
        <v>0.92213000000000001</v>
      </c>
      <c r="D44" s="19">
        <v>0.50070999999999999</v>
      </c>
      <c r="E44" s="19">
        <v>0.44907999999999998</v>
      </c>
      <c r="F44" s="19">
        <v>0.91335999999999995</v>
      </c>
      <c r="G44" s="24" t="e">
        <f>NA()</f>
        <v>#N/A</v>
      </c>
      <c r="H44" s="19">
        <v>0.58606000000000003</v>
      </c>
      <c r="I44" s="19">
        <v>0.71640000000000004</v>
      </c>
      <c r="J44" s="19">
        <v>0.12469</v>
      </c>
      <c r="K44" s="19">
        <v>0.24671999999999999</v>
      </c>
      <c r="L44" s="19">
        <v>1.1000000000000001</v>
      </c>
      <c r="M44" s="19">
        <v>0.45234000000000002</v>
      </c>
      <c r="N44" s="19">
        <v>0.91078999999999999</v>
      </c>
      <c r="O44" s="19">
        <v>0.84538999999999997</v>
      </c>
      <c r="P44" s="19">
        <v>1.2185699999999999</v>
      </c>
      <c r="Q44" s="19"/>
      <c r="R44" s="17">
        <v>0.69124923076922995</v>
      </c>
      <c r="S44" s="17">
        <v>0.71640000000000004</v>
      </c>
      <c r="T44" s="17">
        <v>0.91335999999999995</v>
      </c>
      <c r="U44" s="17">
        <v>0.71593570679806795</v>
      </c>
      <c r="V44" s="17">
        <v>0.75219789176881802</v>
      </c>
      <c r="W44" s="17">
        <v>0.75159836623946297</v>
      </c>
      <c r="X44" s="17">
        <v>0.74964790825810701</v>
      </c>
      <c r="Y44" s="17">
        <v>0.70694506643594301</v>
      </c>
      <c r="Z44" s="17">
        <v>0.72894349312665196</v>
      </c>
    </row>
    <row r="45" spans="1:26" ht="15.45" customHeight="1" x14ac:dyDescent="0.25">
      <c r="A45" s="15">
        <v>43070</v>
      </c>
      <c r="B45" s="16">
        <v>-0.3</v>
      </c>
      <c r="C45" s="18">
        <v>0.97253999999999996</v>
      </c>
      <c r="D45" s="19">
        <v>0.54774999999999996</v>
      </c>
      <c r="E45" s="19">
        <v>0.46282000000000001</v>
      </c>
      <c r="F45" s="19">
        <v>0.43925999999999998</v>
      </c>
      <c r="G45" s="24" t="e">
        <f>NA()</f>
        <v>#N/A</v>
      </c>
      <c r="H45" s="19">
        <v>0.98616999999999999</v>
      </c>
      <c r="I45" s="19">
        <v>1.05751</v>
      </c>
      <c r="J45" s="19">
        <v>8.4089999999999998E-2</v>
      </c>
      <c r="K45" s="19">
        <v>0.42293999999999998</v>
      </c>
      <c r="L45" s="19">
        <v>0.9</v>
      </c>
      <c r="M45" s="19">
        <v>0.50966999999999996</v>
      </c>
      <c r="N45" s="19">
        <v>1.2478</v>
      </c>
      <c r="O45" s="19">
        <v>0.84938000000000002</v>
      </c>
      <c r="P45" s="19">
        <v>1.12079</v>
      </c>
      <c r="Q45" s="19"/>
      <c r="R45" s="17">
        <v>0.73851692307692296</v>
      </c>
      <c r="S45" s="17">
        <v>0.84938000000000002</v>
      </c>
      <c r="T45" s="17">
        <v>0.9</v>
      </c>
      <c r="U45" s="17">
        <v>0.84962573041726497</v>
      </c>
      <c r="V45" s="17">
        <v>0.87033076022084099</v>
      </c>
      <c r="W45" s="17">
        <v>0.86921792326253899</v>
      </c>
      <c r="X45" s="17">
        <v>0.84661974830100495</v>
      </c>
      <c r="Y45" s="17">
        <v>0.78168732734719804</v>
      </c>
      <c r="Z45" s="17">
        <v>0.850831777382282</v>
      </c>
    </row>
    <row r="46" spans="1:26" ht="15.45" customHeight="1" x14ac:dyDescent="0.25">
      <c r="A46" s="15">
        <v>43160</v>
      </c>
      <c r="B46" s="16">
        <v>1.3</v>
      </c>
      <c r="C46" s="18">
        <v>0.92491000000000001</v>
      </c>
      <c r="D46" s="19">
        <v>0.66942000000000002</v>
      </c>
      <c r="E46" s="19">
        <v>0.61394000000000004</v>
      </c>
      <c r="F46" s="19">
        <v>0.97133000000000003</v>
      </c>
      <c r="G46" s="24" t="e">
        <f>NA()</f>
        <v>#N/A</v>
      </c>
      <c r="H46" s="19">
        <v>0.83767000000000003</v>
      </c>
      <c r="I46" s="19">
        <v>0.79708000000000001</v>
      </c>
      <c r="J46" s="19">
        <v>0.20646</v>
      </c>
      <c r="K46" s="19">
        <v>0.63151999999999997</v>
      </c>
      <c r="L46" s="19">
        <v>1.1000000000000001</v>
      </c>
      <c r="M46" s="19">
        <v>0.66630999999999996</v>
      </c>
      <c r="N46" s="19">
        <v>0.87300999999999995</v>
      </c>
      <c r="O46" s="19">
        <v>0.54878000000000005</v>
      </c>
      <c r="P46" s="19">
        <v>0.77248000000000006</v>
      </c>
      <c r="Q46" s="19"/>
      <c r="R46" s="17">
        <v>0.73945461538461499</v>
      </c>
      <c r="S46" s="17">
        <v>0.77248000000000006</v>
      </c>
      <c r="T46" s="17">
        <v>0.97133000000000003</v>
      </c>
      <c r="U46" s="17">
        <v>0.77248000000000006</v>
      </c>
      <c r="V46" s="17">
        <v>0.91757987871767599</v>
      </c>
      <c r="W46" s="17">
        <v>0.91012943760521303</v>
      </c>
      <c r="X46" s="17">
        <v>0.77201107246191603</v>
      </c>
      <c r="Y46" s="17">
        <v>0.75255442905245395</v>
      </c>
      <c r="Z46" s="17">
        <v>0.77248000000000006</v>
      </c>
    </row>
    <row r="47" spans="1:26" ht="15.45" customHeight="1" x14ac:dyDescent="0.25">
      <c r="A47" s="15">
        <v>43252</v>
      </c>
      <c r="B47" s="16">
        <v>0.7</v>
      </c>
      <c r="C47" s="18">
        <v>0.61097000000000001</v>
      </c>
      <c r="D47" s="19">
        <v>0.68940000000000001</v>
      </c>
      <c r="E47" s="19">
        <v>0.65110999999999997</v>
      </c>
      <c r="F47" s="19">
        <v>0.51504000000000005</v>
      </c>
      <c r="G47" s="24" t="e">
        <f>NA()</f>
        <v>#N/A</v>
      </c>
      <c r="H47" s="19">
        <v>0.33401999999999998</v>
      </c>
      <c r="I47" s="19">
        <v>0.49375000000000002</v>
      </c>
      <c r="J47" s="19">
        <v>0.27146999999999999</v>
      </c>
      <c r="K47" s="19">
        <v>0.48024</v>
      </c>
      <c r="L47" s="19">
        <v>0.6</v>
      </c>
      <c r="M47" s="19">
        <v>0.57425000000000004</v>
      </c>
      <c r="N47" s="19">
        <v>0.78232000000000002</v>
      </c>
      <c r="O47" s="19">
        <v>0.66344999999999998</v>
      </c>
      <c r="P47" s="19">
        <v>1.0026600000000001</v>
      </c>
      <c r="Q47" s="19"/>
      <c r="R47" s="17">
        <v>0.58989846153846104</v>
      </c>
      <c r="S47" s="17">
        <v>0.6</v>
      </c>
      <c r="T47" s="17">
        <v>0.6</v>
      </c>
      <c r="U47" s="17">
        <v>0.6</v>
      </c>
      <c r="V47" s="17">
        <v>0.52340810266902404</v>
      </c>
      <c r="W47" s="17">
        <v>0.52599076940713896</v>
      </c>
      <c r="X47" s="17">
        <v>0.59014132254999097</v>
      </c>
      <c r="Y47" s="17">
        <v>0.59393043119325595</v>
      </c>
      <c r="Z47" s="17">
        <v>0.59393043119325595</v>
      </c>
    </row>
    <row r="48" spans="1:26" ht="15.45" customHeight="1" x14ac:dyDescent="0.25">
      <c r="A48" s="15">
        <v>43344</v>
      </c>
      <c r="B48" s="16">
        <v>0.6</v>
      </c>
      <c r="C48" s="18">
        <v>1.0481799999999999</v>
      </c>
      <c r="D48" s="19">
        <v>0.60772999999999999</v>
      </c>
      <c r="E48" s="19">
        <v>0.56542999999999999</v>
      </c>
      <c r="F48" s="19">
        <v>0.79571000000000003</v>
      </c>
      <c r="G48" s="24" t="e">
        <f>NA()</f>
        <v>#N/A</v>
      </c>
      <c r="H48" s="19">
        <v>1.2752399999999999</v>
      </c>
      <c r="I48" s="19">
        <v>0.92318999999999996</v>
      </c>
      <c r="J48" s="19">
        <v>0.19797000000000001</v>
      </c>
      <c r="K48" s="19">
        <v>0.64220999999999995</v>
      </c>
      <c r="L48" s="19">
        <v>0.8</v>
      </c>
      <c r="M48" s="19">
        <v>0.57913000000000003</v>
      </c>
      <c r="N48" s="19">
        <v>1.4617599999999999</v>
      </c>
      <c r="O48" s="19">
        <v>0.6069</v>
      </c>
      <c r="P48" s="19">
        <v>0.84057000000000004</v>
      </c>
      <c r="Q48" s="19"/>
      <c r="R48" s="17">
        <v>0.79569384615384597</v>
      </c>
      <c r="S48" s="17">
        <v>0.79571000000000003</v>
      </c>
      <c r="T48" s="17">
        <v>0.8</v>
      </c>
      <c r="U48" s="17">
        <v>0.79590816358874195</v>
      </c>
      <c r="V48" s="17">
        <v>0.79481614044536197</v>
      </c>
      <c r="W48" s="17">
        <v>0.79456895168850294</v>
      </c>
      <c r="X48" s="17">
        <v>0.78743552428198205</v>
      </c>
      <c r="Y48" s="17">
        <v>0.791283259704465</v>
      </c>
      <c r="Z48" s="17">
        <v>0.795696990634012</v>
      </c>
    </row>
    <row r="49" spans="1:26" ht="15.45" customHeight="1" x14ac:dyDescent="0.25">
      <c r="A49" s="15">
        <v>43435</v>
      </c>
      <c r="B49" s="16">
        <v>0.6</v>
      </c>
      <c r="C49" s="18">
        <v>0.54190000000000005</v>
      </c>
      <c r="D49" s="19">
        <v>0.50534000000000001</v>
      </c>
      <c r="E49" s="19">
        <v>0.44679999999999997</v>
      </c>
      <c r="F49" s="19">
        <v>0.53213999999999995</v>
      </c>
      <c r="G49" s="24" t="e">
        <f>NA()</f>
        <v>#N/A</v>
      </c>
      <c r="H49" s="19">
        <v>0.33282</v>
      </c>
      <c r="I49" s="19">
        <v>0.51763000000000003</v>
      </c>
      <c r="J49" s="19">
        <v>9.5200000000000007E-2</v>
      </c>
      <c r="K49" s="19">
        <v>0.73619000000000001</v>
      </c>
      <c r="L49" s="19">
        <v>0.7</v>
      </c>
      <c r="M49" s="19">
        <v>0.51361000000000001</v>
      </c>
      <c r="N49" s="19">
        <v>0.95077</v>
      </c>
      <c r="O49" s="19">
        <v>0.97004999999999997</v>
      </c>
      <c r="P49" s="19">
        <v>0.71428999999999998</v>
      </c>
      <c r="Q49" s="19"/>
      <c r="R49" s="17">
        <v>0.58128769230769195</v>
      </c>
      <c r="S49" s="17">
        <v>0.53213999999999995</v>
      </c>
      <c r="T49" s="17">
        <v>0.50534000000000001</v>
      </c>
      <c r="U49" s="17">
        <v>0.53213999999999995</v>
      </c>
      <c r="V49" s="17">
        <v>0.54757871740075603</v>
      </c>
      <c r="W49" s="17">
        <v>0.54780235330261795</v>
      </c>
      <c r="X49" s="17">
        <v>0.56319717904323197</v>
      </c>
      <c r="Y49" s="17">
        <v>0.57072616264682197</v>
      </c>
      <c r="Z49" s="17">
        <v>0.54190000000000005</v>
      </c>
    </row>
    <row r="50" spans="1:26" ht="15.45" customHeight="1" x14ac:dyDescent="0.25">
      <c r="A50" s="15">
        <v>43525</v>
      </c>
      <c r="B50" s="16">
        <v>-0.1</v>
      </c>
      <c r="C50" s="18">
        <v>0.57776000000000005</v>
      </c>
      <c r="D50" s="19">
        <v>0.39509</v>
      </c>
      <c r="E50" s="19">
        <v>0.33361000000000002</v>
      </c>
      <c r="F50" s="19">
        <v>0.24953</v>
      </c>
      <c r="G50" s="24" t="e">
        <f>NA()</f>
        <v>#N/A</v>
      </c>
      <c r="H50" s="19">
        <v>0.56220000000000003</v>
      </c>
      <c r="I50" s="19">
        <v>0.61187999999999998</v>
      </c>
      <c r="J50" s="19">
        <v>-0.18970000000000001</v>
      </c>
      <c r="K50" s="19">
        <v>-0.52493999999999996</v>
      </c>
      <c r="L50" s="19">
        <v>0.7</v>
      </c>
      <c r="M50" s="19">
        <v>0.68928999999999996</v>
      </c>
      <c r="N50" s="19">
        <v>0.61863000000000001</v>
      </c>
      <c r="O50" s="19">
        <v>0.66242999999999996</v>
      </c>
      <c r="P50" s="19">
        <v>0.53444999999999998</v>
      </c>
      <c r="Q50" s="19"/>
      <c r="R50" s="17">
        <v>0.40155615384615301</v>
      </c>
      <c r="S50" s="17">
        <v>0.56220000000000003</v>
      </c>
      <c r="T50" s="17">
        <v>0.39509</v>
      </c>
      <c r="U50" s="17">
        <v>0.53986871271901304</v>
      </c>
      <c r="V50" s="17">
        <v>0.55438776537321199</v>
      </c>
      <c r="W50" s="17">
        <v>0.54868080590547696</v>
      </c>
      <c r="X50" s="17">
        <v>0.47530318668811999</v>
      </c>
      <c r="Y50" s="17">
        <v>0.41327865931124003</v>
      </c>
      <c r="Z50" s="17">
        <v>0.54525567724840596</v>
      </c>
    </row>
    <row r="51" spans="1:26" ht="15.45" customHeight="1" x14ac:dyDescent="0.25">
      <c r="A51" s="15">
        <v>43617</v>
      </c>
      <c r="B51" s="16">
        <v>1.1000000000000001</v>
      </c>
      <c r="C51" s="18">
        <v>0.55266999999999999</v>
      </c>
      <c r="D51" s="19">
        <v>0.67249000000000003</v>
      </c>
      <c r="E51" s="19">
        <v>0.63421000000000005</v>
      </c>
      <c r="F51" s="19">
        <v>0.40883999999999998</v>
      </c>
      <c r="G51" s="24" t="e">
        <f>NA()</f>
        <v>#N/A</v>
      </c>
      <c r="H51" s="19">
        <v>0.97067000000000003</v>
      </c>
      <c r="I51" s="19">
        <v>0.99000999999999995</v>
      </c>
      <c r="J51" s="19">
        <v>-0.29078999999999999</v>
      </c>
      <c r="K51" s="19">
        <v>0.61821000000000004</v>
      </c>
      <c r="L51" s="19">
        <v>0.7</v>
      </c>
      <c r="M51" s="19">
        <v>0.72438000000000002</v>
      </c>
      <c r="N51" s="19">
        <v>0.90242</v>
      </c>
      <c r="O51" s="19">
        <v>0.12572</v>
      </c>
      <c r="P51" s="19">
        <v>0.42321999999999999</v>
      </c>
      <c r="Q51" s="19"/>
      <c r="R51" s="17">
        <v>0.57169615384615302</v>
      </c>
      <c r="S51" s="17">
        <v>0.63421000000000005</v>
      </c>
      <c r="T51" s="17">
        <v>0.63421000000000005</v>
      </c>
      <c r="U51" s="17">
        <v>0.63421000000000005</v>
      </c>
      <c r="V51" s="17">
        <v>0.55087866574566202</v>
      </c>
      <c r="W51" s="17">
        <v>0.55240372345168598</v>
      </c>
      <c r="X51" s="17">
        <v>0.55108179858995598</v>
      </c>
      <c r="Y51" s="17">
        <v>0.56393957110597603</v>
      </c>
      <c r="Z51" s="17">
        <v>0.61821000000000004</v>
      </c>
    </row>
    <row r="52" spans="1:26" ht="15.45" customHeight="1" x14ac:dyDescent="0.25">
      <c r="A52" s="15">
        <v>43709</v>
      </c>
      <c r="B52" s="16">
        <v>0.4</v>
      </c>
      <c r="C52" s="18">
        <v>0.47245999999999999</v>
      </c>
      <c r="D52" s="19">
        <v>0.60326000000000002</v>
      </c>
      <c r="E52" s="19">
        <v>0.59833999999999998</v>
      </c>
      <c r="F52" s="19">
        <v>0.57947000000000004</v>
      </c>
      <c r="G52" s="24" t="e">
        <f>NA()</f>
        <v>#N/A</v>
      </c>
      <c r="H52" s="19">
        <v>0.33248</v>
      </c>
      <c r="I52" s="19">
        <v>0.59058999999999995</v>
      </c>
      <c r="J52" s="19">
        <v>0.43809999999999999</v>
      </c>
      <c r="K52" s="19">
        <v>0.58421999999999996</v>
      </c>
      <c r="L52" s="19">
        <v>0.2</v>
      </c>
      <c r="M52" s="19">
        <v>0.63819999999999999</v>
      </c>
      <c r="N52" s="19">
        <v>1.05884</v>
      </c>
      <c r="O52" s="19">
        <v>0.66603000000000001</v>
      </c>
      <c r="P52" s="19">
        <v>0.78225</v>
      </c>
      <c r="Q52" s="19"/>
      <c r="R52" s="17">
        <v>0.58032615384615305</v>
      </c>
      <c r="S52" s="17">
        <v>0.59058999999999995</v>
      </c>
      <c r="T52" s="17">
        <v>0.59833999999999998</v>
      </c>
      <c r="U52" s="17">
        <v>0.59058999999999995</v>
      </c>
      <c r="V52" s="17">
        <v>0.58701199944051397</v>
      </c>
      <c r="W52" s="17">
        <v>0.58606337920247698</v>
      </c>
      <c r="X52" s="17">
        <v>0.57608687061606301</v>
      </c>
      <c r="Y52" s="17">
        <v>0.57866194620925304</v>
      </c>
      <c r="Z52" s="17">
        <v>0.58701199944051397</v>
      </c>
    </row>
    <row r="53" spans="1:26" ht="15.45" customHeight="1" x14ac:dyDescent="0.25">
      <c r="A53" s="15">
        <v>43800</v>
      </c>
      <c r="B53" s="16">
        <v>1.2</v>
      </c>
      <c r="C53" s="18">
        <v>0.57254000000000005</v>
      </c>
      <c r="D53" s="19">
        <v>0.67750999999999995</v>
      </c>
      <c r="E53" s="19">
        <v>0.63605</v>
      </c>
      <c r="F53" s="19">
        <v>0.67586999999999997</v>
      </c>
      <c r="G53" s="24" t="e">
        <f>NA()</f>
        <v>#N/A</v>
      </c>
      <c r="H53" s="19">
        <v>1.78959</v>
      </c>
      <c r="I53" s="19">
        <v>1.28793</v>
      </c>
      <c r="J53" s="19">
        <v>0.17449999999999999</v>
      </c>
      <c r="K53" s="19">
        <v>0.74182000000000003</v>
      </c>
      <c r="L53" s="19">
        <v>0.7</v>
      </c>
      <c r="M53" s="19">
        <v>0.66054000000000002</v>
      </c>
      <c r="N53" s="19">
        <v>0.70628000000000002</v>
      </c>
      <c r="O53" s="19">
        <v>0.69230999999999998</v>
      </c>
      <c r="P53" s="19">
        <v>0.94589000000000001</v>
      </c>
      <c r="Q53" s="19"/>
      <c r="R53" s="17">
        <v>0.78929461538461498</v>
      </c>
      <c r="S53" s="17">
        <v>0.69230999999999998</v>
      </c>
      <c r="T53" s="17">
        <v>1.28793</v>
      </c>
      <c r="U53" s="17">
        <v>0.70579759311146195</v>
      </c>
      <c r="V53" s="17">
        <v>0.89860567356732701</v>
      </c>
      <c r="W53" s="17">
        <v>0.89969678956143795</v>
      </c>
      <c r="X53" s="17">
        <v>0.85132819861505205</v>
      </c>
      <c r="Y53" s="17">
        <v>0.81028638573799205</v>
      </c>
      <c r="Z53" s="17">
        <v>0.72599603559464498</v>
      </c>
    </row>
    <row r="54" spans="1:26" ht="15.45" customHeight="1" x14ac:dyDescent="0.25">
      <c r="A54" s="15">
        <v>43891</v>
      </c>
      <c r="B54" s="16">
        <v>-1.3</v>
      </c>
      <c r="C54" s="18">
        <v>0.46986</v>
      </c>
      <c r="D54" s="19">
        <v>0.54905999999999999</v>
      </c>
      <c r="E54" s="19">
        <v>0.52049999999999996</v>
      </c>
      <c r="F54" s="19">
        <v>0.58665999999999996</v>
      </c>
      <c r="G54" s="24" t="e">
        <f>NA()</f>
        <v>#N/A</v>
      </c>
      <c r="H54" s="19">
        <v>0.73697000000000001</v>
      </c>
      <c r="I54" s="19">
        <v>0.96314999999999995</v>
      </c>
      <c r="J54" s="19">
        <v>2.9680000000000002E-2</v>
      </c>
      <c r="K54" s="19">
        <v>0.27659</v>
      </c>
      <c r="L54" s="19">
        <v>0.5</v>
      </c>
      <c r="M54" s="19">
        <v>0.62607999999999997</v>
      </c>
      <c r="N54" s="19">
        <v>0.92267999999999994</v>
      </c>
      <c r="O54" s="19">
        <v>0.40925</v>
      </c>
      <c r="P54" s="19">
        <v>0.73684000000000005</v>
      </c>
      <c r="Q54" s="19"/>
      <c r="R54" s="17">
        <v>0.56363999999999903</v>
      </c>
      <c r="S54" s="17">
        <v>0.54905999999999999</v>
      </c>
      <c r="T54" s="17">
        <v>0.73697000000000001</v>
      </c>
      <c r="U54" s="17">
        <v>0.55634999999999901</v>
      </c>
      <c r="V54" s="17">
        <v>0.64723897123878904</v>
      </c>
      <c r="W54" s="17">
        <v>0.64434320117421995</v>
      </c>
      <c r="X54" s="17">
        <v>0.60369494395131695</v>
      </c>
      <c r="Y54" s="17">
        <v>0.58302580641709301</v>
      </c>
      <c r="Z54" s="17">
        <v>0.58302580641709301</v>
      </c>
    </row>
    <row r="55" spans="1:26" ht="15.45" customHeight="1" x14ac:dyDescent="0.25">
      <c r="A55" s="15">
        <v>43983</v>
      </c>
      <c r="B55" s="16">
        <v>-3</v>
      </c>
      <c r="C55" s="18">
        <v>7.4020000000000002E-2</v>
      </c>
      <c r="D55" s="19">
        <v>-0.23854</v>
      </c>
      <c r="E55" s="19">
        <v>-0.28699000000000002</v>
      </c>
      <c r="F55" s="19">
        <v>5.6090000000000001E-2</v>
      </c>
      <c r="G55" s="24" t="e">
        <f>NA()</f>
        <v>#N/A</v>
      </c>
      <c r="H55" s="19">
        <v>-1.3125199999999999</v>
      </c>
      <c r="I55" s="19">
        <v>-0.31545000000000001</v>
      </c>
      <c r="J55" s="19">
        <v>2.5080000000000002E-2</v>
      </c>
      <c r="K55" s="19">
        <v>-1.1532100000000001</v>
      </c>
      <c r="L55" s="19">
        <v>0.7</v>
      </c>
      <c r="M55" s="19">
        <v>0.84438999999999997</v>
      </c>
      <c r="N55" s="19">
        <v>-3.1941299999999999</v>
      </c>
      <c r="O55" s="19">
        <v>0.84111999999999998</v>
      </c>
      <c r="P55" s="19">
        <v>0.66984999999999995</v>
      </c>
      <c r="Q55" s="19"/>
      <c r="R55" s="17">
        <v>-0.25309923076923002</v>
      </c>
      <c r="S55" s="17">
        <v>2.5080000000000002E-2</v>
      </c>
      <c r="T55" s="17">
        <v>-1.1532100000000001</v>
      </c>
      <c r="U55" s="17">
        <v>-3.1941299999999999</v>
      </c>
      <c r="V55" s="17">
        <v>-0.98041919950692502</v>
      </c>
      <c r="W55" s="17">
        <v>-0.27157925345953299</v>
      </c>
      <c r="X55" s="17">
        <v>-0.21707954671305299</v>
      </c>
      <c r="Y55" s="17">
        <v>-0.20272975883643601</v>
      </c>
      <c r="Z55" s="17">
        <v>-3.1941299999999999</v>
      </c>
    </row>
    <row r="56" spans="1:26" ht="15.45" customHeight="1" x14ac:dyDescent="0.25">
      <c r="A56" s="15">
        <v>44075</v>
      </c>
      <c r="B56" s="16">
        <v>2.2999999999999998</v>
      </c>
      <c r="C56" s="18">
        <v>-0.51548000000000005</v>
      </c>
      <c r="D56" s="19">
        <v>1.14968</v>
      </c>
      <c r="E56" s="19">
        <v>1.05263</v>
      </c>
      <c r="F56" s="19">
        <v>-0.56072</v>
      </c>
      <c r="G56" s="24" t="e">
        <f>NA()</f>
        <v>#N/A</v>
      </c>
      <c r="H56" s="19">
        <v>1.26816</v>
      </c>
      <c r="I56" s="19">
        <v>1.9798199999999999</v>
      </c>
      <c r="J56" s="19">
        <v>-1.43354</v>
      </c>
      <c r="K56" s="19">
        <v>1.4559500000000001</v>
      </c>
      <c r="L56" s="19">
        <v>0.2</v>
      </c>
      <c r="M56" s="19">
        <v>1.61467</v>
      </c>
      <c r="N56" s="19">
        <v>1.3039799999999999</v>
      </c>
      <c r="O56" s="19">
        <v>0.16819999999999999</v>
      </c>
      <c r="P56" s="19">
        <v>0.86868000000000001</v>
      </c>
      <c r="Q56" s="19"/>
      <c r="R56" s="17">
        <v>0.65784846153846099</v>
      </c>
      <c r="S56" s="17">
        <v>1.05263</v>
      </c>
      <c r="T56" s="17">
        <v>1.3039799999999999</v>
      </c>
      <c r="U56" s="17">
        <v>1.26861689552293</v>
      </c>
      <c r="V56" s="17">
        <v>0.78337462101677702</v>
      </c>
      <c r="W56" s="17">
        <v>0.77577569930836898</v>
      </c>
      <c r="X56" s="17">
        <v>0.79574058172077899</v>
      </c>
      <c r="Y56" s="17">
        <v>1.01762394193989</v>
      </c>
      <c r="Z56" s="17">
        <v>1.01762394193989</v>
      </c>
    </row>
    <row r="57" spans="1:26" ht="15.45" customHeight="1" x14ac:dyDescent="0.25">
      <c r="A57" s="15">
        <v>44166</v>
      </c>
      <c r="B57" s="16">
        <v>1.3</v>
      </c>
      <c r="C57" s="18">
        <v>-0.24281</v>
      </c>
      <c r="D57" s="19">
        <v>0.78010000000000002</v>
      </c>
      <c r="E57" s="19">
        <v>1.00065</v>
      </c>
      <c r="F57" s="19">
        <v>0.19048000000000001</v>
      </c>
      <c r="G57" s="24" t="e">
        <f>NA()</f>
        <v>#N/A</v>
      </c>
      <c r="H57" s="19">
        <v>1.46357</v>
      </c>
      <c r="I57" s="19">
        <v>1.97011</v>
      </c>
      <c r="J57" s="19">
        <v>0.9758</v>
      </c>
      <c r="K57" s="19">
        <v>1.13158</v>
      </c>
      <c r="L57" s="19">
        <v>-0.3</v>
      </c>
      <c r="M57" s="19">
        <v>0.26716000000000001</v>
      </c>
      <c r="N57" s="19">
        <v>1.0762499999999999</v>
      </c>
      <c r="O57" s="19">
        <v>0.67822000000000005</v>
      </c>
      <c r="P57" s="19">
        <v>1.3811899999999999</v>
      </c>
      <c r="Q57" s="19"/>
      <c r="R57" s="17">
        <v>0.79786923076923</v>
      </c>
      <c r="S57" s="17">
        <v>0.9758</v>
      </c>
      <c r="T57" s="17">
        <v>1.13158</v>
      </c>
      <c r="U57" s="17">
        <v>0.88383137314238303</v>
      </c>
      <c r="V57" s="17">
        <v>0.90122850763712103</v>
      </c>
      <c r="W57" s="17">
        <v>0.89605915402163105</v>
      </c>
      <c r="X57" s="17">
        <v>0.95543005361634403</v>
      </c>
      <c r="Y57" s="17">
        <v>1.1612028227348501</v>
      </c>
      <c r="Z57" s="17">
        <v>0.9758</v>
      </c>
    </row>
    <row r="58" spans="1:26" ht="15.45" customHeight="1" x14ac:dyDescent="0.25">
      <c r="A58" s="15">
        <v>44256</v>
      </c>
      <c r="B58" s="16">
        <v>1.8</v>
      </c>
      <c r="C58" s="18">
        <v>0.72216000000000002</v>
      </c>
      <c r="D58" s="19">
        <v>0.22653000000000001</v>
      </c>
      <c r="E58" s="19">
        <v>0.16178000000000001</v>
      </c>
      <c r="F58" s="19">
        <v>1.2031700000000001</v>
      </c>
      <c r="G58" s="24" t="e">
        <f>NA()</f>
        <v>#N/A</v>
      </c>
      <c r="H58" s="19">
        <v>1.4809000000000001</v>
      </c>
      <c r="I58" s="19">
        <v>0.84802</v>
      </c>
      <c r="J58" s="19">
        <v>0.99280999999999997</v>
      </c>
      <c r="K58" s="19">
        <v>0.60953999999999997</v>
      </c>
      <c r="L58" s="19">
        <v>1.2</v>
      </c>
      <c r="M58" s="19">
        <v>1.0307200000000001</v>
      </c>
      <c r="N58" s="19">
        <v>0.88427</v>
      </c>
      <c r="O58" s="19">
        <v>0.74107999999999996</v>
      </c>
      <c r="P58" s="19">
        <v>1.1340699999999999</v>
      </c>
      <c r="Q58" s="19"/>
      <c r="R58" s="17">
        <v>0.86423461538461499</v>
      </c>
      <c r="S58" s="17">
        <v>0.88427</v>
      </c>
      <c r="T58" s="17">
        <v>0.88427</v>
      </c>
      <c r="U58" s="17">
        <v>0.88427</v>
      </c>
      <c r="V58" s="17">
        <v>0.84208450914587796</v>
      </c>
      <c r="W58" s="17">
        <v>0.84303959055384803</v>
      </c>
      <c r="X58" s="17">
        <v>0.84131732562829498</v>
      </c>
      <c r="Y58" s="17">
        <v>0.83887786418888199</v>
      </c>
      <c r="Z58" s="17">
        <v>0.86423461538461499</v>
      </c>
    </row>
    <row r="59" spans="1:26" ht="15.45" customHeight="1" x14ac:dyDescent="0.25">
      <c r="A59" s="15">
        <v>44348</v>
      </c>
      <c r="B59" s="16">
        <v>0.9</v>
      </c>
      <c r="C59" s="18">
        <v>0.89573999999999998</v>
      </c>
      <c r="D59" s="19">
        <v>0.43609999999999999</v>
      </c>
      <c r="E59" s="19">
        <v>0.39893000000000001</v>
      </c>
      <c r="F59" s="19">
        <v>0.90524000000000004</v>
      </c>
      <c r="G59" s="24" t="e">
        <f>NA()</f>
        <v>#N/A</v>
      </c>
      <c r="H59" s="19">
        <v>1.5395000000000001</v>
      </c>
      <c r="I59" s="19">
        <v>1.0838699999999999</v>
      </c>
      <c r="J59" s="19">
        <v>0.38811000000000001</v>
      </c>
      <c r="K59" s="19">
        <v>-0.30590000000000001</v>
      </c>
      <c r="L59" s="19">
        <v>0.9</v>
      </c>
      <c r="M59" s="19">
        <v>0.22500000000000001</v>
      </c>
      <c r="N59" s="19">
        <v>1.27918</v>
      </c>
      <c r="O59" s="19">
        <v>0.81106</v>
      </c>
      <c r="P59" s="19">
        <v>1.0443800000000001</v>
      </c>
      <c r="Q59" s="19"/>
      <c r="R59" s="17">
        <v>0.73855461538461498</v>
      </c>
      <c r="S59" s="17">
        <v>0.89573999999999998</v>
      </c>
      <c r="T59" s="17">
        <v>1.27918</v>
      </c>
      <c r="U59" s="17">
        <v>0.82335547577956303</v>
      </c>
      <c r="V59" s="17">
        <v>0.76284023767715103</v>
      </c>
      <c r="W59" s="17">
        <v>0.76140444937638396</v>
      </c>
      <c r="X59" s="17">
        <v>0.91348781488040798</v>
      </c>
      <c r="Y59" s="17">
        <v>0.98460710650519301</v>
      </c>
      <c r="Z59" s="17">
        <v>0.83362426508179499</v>
      </c>
    </row>
    <row r="60" spans="1:26" ht="15.45" customHeight="1" x14ac:dyDescent="0.25">
      <c r="A60" s="15">
        <v>44440</v>
      </c>
      <c r="B60" s="16">
        <v>0.1</v>
      </c>
      <c r="C60" s="18">
        <v>1.5102800000000001</v>
      </c>
      <c r="D60" s="19">
        <v>0.42770000000000002</v>
      </c>
      <c r="E60" s="19">
        <v>0.37312000000000001</v>
      </c>
      <c r="F60" s="19">
        <v>0.94664999999999999</v>
      </c>
      <c r="G60" s="24" t="e">
        <f>NA()</f>
        <v>#N/A</v>
      </c>
      <c r="H60" s="19">
        <v>1.33152</v>
      </c>
      <c r="I60" s="19">
        <v>0.70228999999999997</v>
      </c>
      <c r="J60" s="19">
        <v>0.34915000000000002</v>
      </c>
      <c r="K60" s="19">
        <v>0.14953</v>
      </c>
      <c r="L60" s="19">
        <v>0.9</v>
      </c>
      <c r="M60" s="19">
        <v>-0.30312</v>
      </c>
      <c r="N60" s="19">
        <v>0.82401000000000002</v>
      </c>
      <c r="O60" s="19">
        <v>0.60250000000000004</v>
      </c>
      <c r="P60" s="19">
        <v>0.81455999999999995</v>
      </c>
      <c r="Q60" s="19"/>
      <c r="R60" s="17">
        <v>0.66370692307692303</v>
      </c>
      <c r="S60" s="17">
        <v>0.70228999999999997</v>
      </c>
      <c r="T60" s="17">
        <v>0.81455999999999995</v>
      </c>
      <c r="U60" s="17">
        <v>0.66382250410171195</v>
      </c>
      <c r="V60" s="17">
        <v>0.63584816990506399</v>
      </c>
      <c r="W60" s="17">
        <v>0.63671973844905005</v>
      </c>
      <c r="X60" s="17">
        <v>0.67680731267321803</v>
      </c>
      <c r="Y60" s="17">
        <v>0.63176715742617195</v>
      </c>
      <c r="Z60" s="17">
        <v>0.67680731267321803</v>
      </c>
    </row>
    <row r="61" spans="1:26" ht="15.45" customHeight="1" x14ac:dyDescent="0.25">
      <c r="A61" s="15">
        <v>44531</v>
      </c>
      <c r="B61" s="16">
        <v>1.4</v>
      </c>
      <c r="C61" s="18">
        <v>1.2692300000000001</v>
      </c>
      <c r="D61" s="19">
        <v>0.27965000000000001</v>
      </c>
      <c r="E61" s="19">
        <v>0.2273</v>
      </c>
      <c r="F61" s="19">
        <v>0.47120000000000001</v>
      </c>
      <c r="G61" s="24" t="e">
        <f>NA()</f>
        <v>#N/A</v>
      </c>
      <c r="H61" s="19">
        <v>0.31892999999999999</v>
      </c>
      <c r="I61" s="19">
        <v>0.59831999999999996</v>
      </c>
      <c r="J61" s="19">
        <v>0.10639999999999999</v>
      </c>
      <c r="K61" s="19">
        <v>0.30993999999999999</v>
      </c>
      <c r="L61" s="19">
        <v>0.5</v>
      </c>
      <c r="M61" s="19">
        <v>0.69738</v>
      </c>
      <c r="N61" s="19">
        <v>0.69589999999999996</v>
      </c>
      <c r="O61" s="19">
        <v>0.74575999999999998</v>
      </c>
      <c r="P61" s="19">
        <v>0.98553999999999997</v>
      </c>
      <c r="Q61" s="19"/>
      <c r="R61" s="17">
        <v>0.55427307692307604</v>
      </c>
      <c r="S61" s="17">
        <v>0.5</v>
      </c>
      <c r="T61" s="17">
        <v>0.69589999999999996</v>
      </c>
      <c r="U61" s="17">
        <v>0.52713653846153796</v>
      </c>
      <c r="V61" s="17">
        <v>0.57752383720912104</v>
      </c>
      <c r="W61" s="17">
        <v>0.57504323707132599</v>
      </c>
      <c r="X61" s="17">
        <v>0.553734144709078</v>
      </c>
      <c r="Y61" s="17">
        <v>0.54020330255389104</v>
      </c>
      <c r="Z61" s="17">
        <v>0.553734144709078</v>
      </c>
    </row>
    <row r="62" spans="1:26" ht="15.45" customHeight="1" x14ac:dyDescent="0.25">
      <c r="A62" s="15">
        <v>44621</v>
      </c>
      <c r="B62" s="16">
        <v>0.7</v>
      </c>
      <c r="C62" s="18">
        <v>1.56853</v>
      </c>
      <c r="D62" s="19">
        <v>0.65827000000000002</v>
      </c>
      <c r="E62" s="19">
        <v>0.63139999999999996</v>
      </c>
      <c r="F62" s="19">
        <v>0.93278000000000005</v>
      </c>
      <c r="G62" s="24" t="e">
        <f>NA()</f>
        <v>#N/A</v>
      </c>
      <c r="H62" s="19">
        <v>0.90117999999999998</v>
      </c>
      <c r="I62" s="19">
        <v>0.68184</v>
      </c>
      <c r="J62" s="19">
        <v>0.57293000000000005</v>
      </c>
      <c r="K62" s="19">
        <v>0.22891</v>
      </c>
      <c r="L62" s="19">
        <v>0.5</v>
      </c>
      <c r="M62" s="19">
        <v>0.27344000000000002</v>
      </c>
      <c r="N62" s="19">
        <v>0.93966000000000005</v>
      </c>
      <c r="O62" s="19">
        <v>0.83555000000000001</v>
      </c>
      <c r="P62" s="19">
        <v>0.88065000000000004</v>
      </c>
      <c r="Q62" s="19"/>
      <c r="R62" s="17">
        <v>0.73885692307692297</v>
      </c>
      <c r="S62" s="17">
        <v>0.68184</v>
      </c>
      <c r="T62" s="17">
        <v>0.83555000000000001</v>
      </c>
      <c r="U62" s="17">
        <v>0.71034846153846098</v>
      </c>
      <c r="V62" s="17">
        <v>0.74410159327820402</v>
      </c>
      <c r="W62" s="17">
        <v>0.74287944869052303</v>
      </c>
      <c r="X62" s="17">
        <v>0.74284599720395095</v>
      </c>
      <c r="Y62" s="17">
        <v>0.74337864903892104</v>
      </c>
      <c r="Z62" s="17">
        <v>0.74284599720395095</v>
      </c>
    </row>
    <row r="63" spans="1:26" ht="15.45" customHeight="1" x14ac:dyDescent="0.25">
      <c r="A63" s="15">
        <v>44713</v>
      </c>
      <c r="B63" s="16">
        <v>0.8</v>
      </c>
      <c r="C63" s="18">
        <v>0.93684999999999996</v>
      </c>
      <c r="D63" s="19">
        <v>9.6970000000000001E-2</v>
      </c>
      <c r="E63" s="19">
        <v>3.1350000000000003E-2</v>
      </c>
      <c r="F63" s="19">
        <v>0.61663999999999997</v>
      </c>
      <c r="G63" s="24" t="e">
        <f>NA()</f>
        <v>#N/A</v>
      </c>
      <c r="H63" s="19">
        <v>0.86334</v>
      </c>
      <c r="I63" s="19">
        <v>0.82345000000000002</v>
      </c>
      <c r="J63" s="19">
        <v>0.49446000000000001</v>
      </c>
      <c r="K63" s="19">
        <v>0.62844999999999995</v>
      </c>
      <c r="L63" s="19">
        <v>0.9</v>
      </c>
      <c r="M63" s="19">
        <v>0.65566000000000002</v>
      </c>
      <c r="N63" s="19">
        <v>0.77698999999999996</v>
      </c>
      <c r="O63" s="19">
        <v>0.17832999999999999</v>
      </c>
      <c r="P63" s="19">
        <v>0.68408999999999998</v>
      </c>
      <c r="Q63" s="19"/>
      <c r="R63" s="17">
        <v>0.59127538461538398</v>
      </c>
      <c r="S63" s="17">
        <v>0.65566000000000002</v>
      </c>
      <c r="T63" s="17">
        <v>0.68408999999999998</v>
      </c>
      <c r="U63" s="17">
        <v>0.65566000000000002</v>
      </c>
      <c r="V63" s="17">
        <v>0.51014108678581405</v>
      </c>
      <c r="W63" s="17">
        <v>0.51415750777146396</v>
      </c>
      <c r="X63" s="17">
        <v>0.56193234163593497</v>
      </c>
      <c r="Y63" s="17">
        <v>0.57758723657173405</v>
      </c>
      <c r="Z63" s="17">
        <v>0.62835667749509405</v>
      </c>
    </row>
    <row r="64" spans="1:26" ht="15.45" customHeight="1" x14ac:dyDescent="0.25">
      <c r="A64" s="15">
        <v>44805</v>
      </c>
      <c r="B64" s="16">
        <v>0.2</v>
      </c>
      <c r="C64" s="18">
        <v>1.10884</v>
      </c>
      <c r="D64" s="19">
        <v>4.2479999999999997E-2</v>
      </c>
      <c r="E64" s="19">
        <v>-2.2880000000000001E-2</v>
      </c>
      <c r="F64" s="19">
        <v>0.18459999999999999</v>
      </c>
      <c r="G64" s="24" t="e">
        <f>NA()</f>
        <v>#N/A</v>
      </c>
      <c r="H64" s="19">
        <v>7.9070000000000001E-2</v>
      </c>
      <c r="I64" s="19">
        <v>0.40233999999999998</v>
      </c>
      <c r="J64" s="19">
        <v>0.27363999999999999</v>
      </c>
      <c r="K64" s="19">
        <v>0.79413999999999996</v>
      </c>
      <c r="L64" s="19">
        <v>0.7</v>
      </c>
      <c r="M64" s="19">
        <v>0.93072999999999995</v>
      </c>
      <c r="N64" s="19">
        <v>0.46544999999999997</v>
      </c>
      <c r="O64" s="19">
        <v>2.4279999999999999E-2</v>
      </c>
      <c r="P64" s="19">
        <v>0.34268999999999999</v>
      </c>
      <c r="Q64" s="19"/>
      <c r="R64" s="17">
        <v>0.409644615384615</v>
      </c>
      <c r="S64" s="17">
        <v>0.34268999999999999</v>
      </c>
      <c r="T64" s="17">
        <v>0.40233999999999998</v>
      </c>
      <c r="U64" s="17">
        <v>0.35070243584106198</v>
      </c>
      <c r="V64" s="17">
        <v>0.482821676131656</v>
      </c>
      <c r="W64" s="17">
        <v>0.482094325510458</v>
      </c>
      <c r="X64" s="17">
        <v>0.42803406008316502</v>
      </c>
      <c r="Y64" s="17">
        <v>0.41339582867909702</v>
      </c>
      <c r="Z64" s="17">
        <v>0.40233999999999998</v>
      </c>
    </row>
    <row r="65" spans="1:26" ht="15.45" customHeight="1" x14ac:dyDescent="0.25">
      <c r="A65" s="15">
        <v>44896</v>
      </c>
      <c r="B65" s="16">
        <v>-0.3</v>
      </c>
      <c r="C65" s="18">
        <v>0.74324000000000001</v>
      </c>
      <c r="D65" s="19">
        <v>0.32168999999999998</v>
      </c>
      <c r="E65" s="19">
        <v>0.26069999999999999</v>
      </c>
      <c r="F65" s="19">
        <v>0.29976000000000003</v>
      </c>
      <c r="G65" s="24" t="e">
        <f>NA()</f>
        <v>#N/A</v>
      </c>
      <c r="H65" s="19">
        <v>0.24326999999999999</v>
      </c>
      <c r="I65" s="19">
        <v>0.45573000000000002</v>
      </c>
      <c r="J65" s="19">
        <v>0.22986999999999999</v>
      </c>
      <c r="K65" s="19">
        <v>0.67637000000000003</v>
      </c>
      <c r="L65" s="19">
        <v>0.7</v>
      </c>
      <c r="M65" s="19">
        <v>0.67244000000000004</v>
      </c>
      <c r="N65" s="19">
        <v>0.52829000000000004</v>
      </c>
      <c r="O65" s="19">
        <v>0.49123</v>
      </c>
      <c r="P65" s="19">
        <v>0.66586000000000001</v>
      </c>
      <c r="Q65" s="19"/>
      <c r="R65" s="17">
        <v>0.483726923076923</v>
      </c>
      <c r="S65" s="17">
        <v>0.49123</v>
      </c>
      <c r="T65" s="17">
        <v>0.52829000000000004</v>
      </c>
      <c r="U65" s="17">
        <v>0.49123</v>
      </c>
      <c r="V65" s="17">
        <v>0.64250523637841495</v>
      </c>
      <c r="W65" s="17">
        <v>0.63879488148752195</v>
      </c>
      <c r="X65" s="17">
        <v>0.53017709079095399</v>
      </c>
      <c r="Y65" s="17">
        <v>0.49080076998610001</v>
      </c>
      <c r="Z65" s="17">
        <v>0.492319465982688</v>
      </c>
    </row>
    <row r="66" spans="1:26" ht="15.45" customHeight="1" x14ac:dyDescent="0.25">
      <c r="A66" s="15">
        <v>44986</v>
      </c>
      <c r="B66" s="16">
        <v>0.3</v>
      </c>
      <c r="C66" s="18">
        <v>0.62314999999999998</v>
      </c>
      <c r="D66" s="19">
        <v>0.39904000000000001</v>
      </c>
      <c r="E66" s="19">
        <v>0.32491999999999999</v>
      </c>
      <c r="F66" s="19">
        <v>-0.28481000000000001</v>
      </c>
      <c r="G66" s="24" t="e">
        <f>NA()</f>
        <v>#N/A</v>
      </c>
      <c r="H66" s="6">
        <v>7.6079999999999995E-2</v>
      </c>
      <c r="I66" s="19">
        <v>0.63270000000000004</v>
      </c>
      <c r="J66" s="19">
        <v>-0.17197000000000001</v>
      </c>
      <c r="K66" s="19">
        <v>0.89373999999999998</v>
      </c>
      <c r="L66" s="19">
        <v>0.5</v>
      </c>
      <c r="M66" s="19">
        <v>0.76027</v>
      </c>
      <c r="N66" s="19">
        <v>0.39813999999999999</v>
      </c>
      <c r="O66" s="19">
        <v>0.38769999999999999</v>
      </c>
      <c r="P66" s="19">
        <v>0.52063999999999999</v>
      </c>
      <c r="Q66" s="6"/>
      <c r="R66" s="6">
        <v>0.38919999999999999</v>
      </c>
      <c r="S66" s="6">
        <v>0.39904000000000001</v>
      </c>
      <c r="T66" s="6">
        <v>7.6079999999999995E-2</v>
      </c>
      <c r="U66" s="6">
        <v>0.39859</v>
      </c>
      <c r="V66" s="6">
        <v>2.18335183506203E-2</v>
      </c>
      <c r="W66" s="6">
        <v>2.9918296928263501E-2</v>
      </c>
      <c r="X66" s="6">
        <v>0.234919548230311</v>
      </c>
      <c r="Y66" s="6">
        <v>0.35570656664720002</v>
      </c>
      <c r="Z66" s="6">
        <v>0.38790348637254102</v>
      </c>
    </row>
  </sheetData>
  <phoneticPr fontId="1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92A91-C482-4CD2-AF0A-37C733A2DE0D}">
  <dimension ref="A1:Z66"/>
  <sheetViews>
    <sheetView showGridLines="0" topLeftCell="A43" workbookViewId="0">
      <selection activeCell="U66" sqref="U66"/>
    </sheetView>
  </sheetViews>
  <sheetFormatPr defaultColWidth="7.44140625" defaultRowHeight="15.45" customHeight="1" x14ac:dyDescent="0.25"/>
  <cols>
    <col min="1" max="1" width="11.6640625" style="1" customWidth="1"/>
    <col min="2" max="27" width="7.44140625" style="1" customWidth="1"/>
    <col min="28" max="16384" width="7.44140625" style="1"/>
  </cols>
  <sheetData>
    <row r="1" spans="1:26" ht="13.8" customHeight="1" x14ac:dyDescent="0.25">
      <c r="A1" s="2"/>
      <c r="B1" s="3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6"/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</row>
    <row r="2" spans="1:26" ht="13.8" customHeight="1" x14ac:dyDescent="0.25">
      <c r="A2" s="15">
        <v>39508</v>
      </c>
      <c r="B2" s="16">
        <v>0.8</v>
      </c>
      <c r="C2" s="21" t="e" cm="1">
        <f t="array" ref="C2">ABS(pred_GDP_1qa!C6-pred_GDP_1qa!$B6)</f>
        <v>#N/A</v>
      </c>
      <c r="D2" s="10" cm="1">
        <f t="array" ref="D2">ABS(pred_GDP_1qa!D6-pred_GDP_1qa!$B6)</f>
        <v>0.377892889022303</v>
      </c>
      <c r="E2" s="10" cm="1">
        <f t="array" ref="E2">ABS(pred_GDP_1qa!E6-pred_GDP_1qa!$B6)</f>
        <v>8.5476172781984827E-2</v>
      </c>
      <c r="F2" s="10" t="e" cm="1">
        <f t="array" ref="F2">ABS(pred_GDP_1qa!F6-pred_GDP_1qa!$B6)</f>
        <v>#N/A</v>
      </c>
      <c r="G2" s="10" t="e" cm="1">
        <f t="array" ref="G2">ABS(pred_GDP_1qa!G6-pred_GDP_1qa!$B6)</f>
        <v>#N/A</v>
      </c>
      <c r="H2" s="10" t="e" cm="1">
        <f t="array" ref="H2">ABS(pred_GDP_1qa!H6-pred_GDP_1qa!$B6)</f>
        <v>#N/A</v>
      </c>
      <c r="I2" s="10" t="e" cm="1">
        <f t="array" ref="I2">ABS(pred_GDP_1qa!I6-pred_GDP_1qa!$B6)</f>
        <v>#N/A</v>
      </c>
      <c r="J2" s="10" t="e" cm="1">
        <f t="array" ref="J2">ABS(pred_GDP_1qa!J6-pred_GDP_1qa!$B6)</f>
        <v>#N/A</v>
      </c>
      <c r="K2" s="10" cm="1">
        <f t="array" ref="K2">ABS(pred_GDP_1qa!K6-pred_GDP_1qa!$B6)</f>
        <v>0.38614170650738999</v>
      </c>
      <c r="L2" s="10" t="e" cm="1">
        <f t="array" ref="L2">ABS(pred_GDP_1qa!L6-pred_GDP_1qa!$B6)</f>
        <v>#N/A</v>
      </c>
      <c r="M2" s="10" cm="1">
        <f t="array" ref="M2">ABS(pred_GDP_1qa!M6-pred_GDP_1qa!$B6)</f>
        <v>0.17026939239390682</v>
      </c>
      <c r="N2" s="10" cm="1">
        <f t="array" ref="N2">ABS(pred_GDP_1qa!N6-pred_GDP_1qa!$B6)</f>
        <v>0.56448192596435498</v>
      </c>
      <c r="O2" s="10" cm="1">
        <f t="array" ref="O2">ABS(pred_GDP_1qa!O6-pred_GDP_1qa!$B6)</f>
        <v>0.92445398750291841</v>
      </c>
      <c r="P2" s="10" cm="1">
        <f t="array" ref="P2">ABS(pred_GDP_1qa!P6-pred_GDP_1qa!$B6)</f>
        <v>0.89201647034558773</v>
      </c>
      <c r="Q2" s="6"/>
      <c r="R2" s="10" cm="1">
        <f t="array" ref="R2">ABS(pred_GDP_1qa!R6-pred_GDP_1qa!$B6)</f>
        <v>3.317262445408109E-2</v>
      </c>
      <c r="S2" s="10" cm="1">
        <f t="array" ref="S2">ABS(pred_GDP_1qa!S6-pred_GDP_1qa!$B6)</f>
        <v>0.17026939239390593</v>
      </c>
      <c r="T2" s="10" cm="1">
        <f t="array" ref="T2">ABS(pred_GDP_1qa!T6-pred_GDP_1qa!$B6)</f>
        <v>0.37789288902229989</v>
      </c>
      <c r="U2" s="10" cm="1">
        <f t="array" ref="U2">ABS(pred_GDP_1qa!U6-pred_GDP_1qa!$B6)</f>
        <v>0.17026939239390593</v>
      </c>
      <c r="V2" s="10" cm="1">
        <f t="array" ref="V2">ABS(pred_GDP_1qa!V6-pred_GDP_1qa!$B6)</f>
        <v>0.18723002606359196</v>
      </c>
      <c r="W2" s="10" cm="1">
        <f t="array" ref="W2">ABS(pred_GDP_1qa!W6-pred_GDP_1qa!$B6)</f>
        <v>0.17978048139787794</v>
      </c>
      <c r="X2" s="10" cm="1">
        <f t="array" ref="X2">ABS(pred_GDP_1qa!X6-pred_GDP_1qa!$B6)</f>
        <v>0.27771883139656994</v>
      </c>
      <c r="Y2" s="10" cm="1">
        <f t="array" ref="Y2">ABS(pred_GDP_1qa!Y6-pred_GDP_1qa!$B6)</f>
        <v>0.22736383632788004</v>
      </c>
      <c r="Z2" s="10" cm="1">
        <f t="array" ref="Z2">ABS(pred_GDP_1qa!Z6-pred_GDP_1qa!$B6)</f>
        <v>0.37789288902229989</v>
      </c>
    </row>
    <row r="3" spans="1:26" ht="13.8" customHeight="1" x14ac:dyDescent="0.25">
      <c r="A3" s="15">
        <v>39600</v>
      </c>
      <c r="B3" s="16">
        <v>0.4</v>
      </c>
      <c r="C3" s="21" t="e" cm="1">
        <f t="array" ref="C3">ABS(pred_GDP_1qa!C7-pred_GDP_1qa!$B7)</f>
        <v>#N/A</v>
      </c>
      <c r="D3" s="10" cm="1">
        <f t="array" ref="D3">ABS(pred_GDP_1qa!D7-pred_GDP_1qa!$B7)</f>
        <v>0.18763549416962488</v>
      </c>
      <c r="E3" s="10" cm="1">
        <f t="array" ref="E3">ABS(pred_GDP_1qa!E7-pred_GDP_1qa!$B7)</f>
        <v>7.4402684450581069E-2</v>
      </c>
      <c r="F3" s="10" t="e" cm="1">
        <f t="array" ref="F3">ABS(pred_GDP_1qa!F7-pred_GDP_1qa!$B7)</f>
        <v>#N/A</v>
      </c>
      <c r="G3" s="10" t="e" cm="1">
        <f t="array" ref="G3">ABS(pred_GDP_1qa!G7-pred_GDP_1qa!$B7)</f>
        <v>#N/A</v>
      </c>
      <c r="H3" s="10" t="e" cm="1">
        <f t="array" ref="H3">ABS(pred_GDP_1qa!H7-pred_GDP_1qa!$B7)</f>
        <v>#N/A</v>
      </c>
      <c r="I3" s="10" t="e" cm="1">
        <f t="array" ref="I3">ABS(pred_GDP_1qa!I7-pred_GDP_1qa!$B7)</f>
        <v>#N/A</v>
      </c>
      <c r="J3" s="10" t="e" cm="1">
        <f t="array" ref="J3">ABS(pred_GDP_1qa!J7-pred_GDP_1qa!$B7)</f>
        <v>#N/A</v>
      </c>
      <c r="K3" s="10" cm="1">
        <f t="array" ref="K3">ABS(pred_GDP_1qa!K7-pred_GDP_1qa!$B7)</f>
        <v>0.94069801708896106</v>
      </c>
      <c r="L3" s="10" t="e" cm="1">
        <f t="array" ref="L3">ABS(pred_GDP_1qa!L7-pred_GDP_1qa!$B7)</f>
        <v>#N/A</v>
      </c>
      <c r="M3" s="10" cm="1">
        <f t="array" ref="M3">ABS(pred_GDP_1qa!M7-pred_GDP_1qa!$B7)</f>
        <v>0.68542905402970089</v>
      </c>
      <c r="N3" s="10" cm="1">
        <f t="array" ref="N3">ABS(pred_GDP_1qa!N7-pred_GDP_1qa!$B7)</f>
        <v>1.0444938898086549</v>
      </c>
      <c r="O3" s="10" cm="1">
        <f t="array" ref="O3">ABS(pred_GDP_1qa!O7-pred_GDP_1qa!$B7)</f>
        <v>0.31454959739321497</v>
      </c>
      <c r="P3" s="10" cm="1">
        <f t="array" ref="P3">ABS(pred_GDP_1qa!P7-pred_GDP_1qa!$B7)</f>
        <v>0.23107855076470663</v>
      </c>
      <c r="Q3" s="6"/>
      <c r="R3" s="10" cm="1">
        <f t="array" ref="R3">ABS(pred_GDP_1qa!R7-pred_GDP_1qa!$B7)</f>
        <v>0.43087574088228997</v>
      </c>
      <c r="S3" s="10" cm="1">
        <f t="array" ref="S3">ABS(pred_GDP_1qa!S7-pred_GDP_1qa!$B7)</f>
        <v>0.31454959739321497</v>
      </c>
      <c r="T3" s="10" cm="1">
        <f t="array" ref="T3">ABS(pred_GDP_1qa!T7-pred_GDP_1qa!$B7)</f>
        <v>0.6854290540297</v>
      </c>
      <c r="U3" s="10" cm="1">
        <f t="array" ref="U3">ABS(pred_GDP_1qa!U7-pred_GDP_1qa!$B7)</f>
        <v>0.31454959739321497</v>
      </c>
      <c r="V3" s="10" cm="1">
        <f t="array" ref="V3">ABS(pred_GDP_1qa!V7-pred_GDP_1qa!$B7)</f>
        <v>0.5379456869225</v>
      </c>
      <c r="W3" s="10" cm="1">
        <f t="array" ref="W3">ABS(pred_GDP_1qa!W7-pred_GDP_1qa!$B7)</f>
        <v>0.53394854480273501</v>
      </c>
      <c r="X3" s="10" cm="1">
        <f t="array" ref="X3">ABS(pred_GDP_1qa!X7-pred_GDP_1qa!$B7)</f>
        <v>0.57289932125698795</v>
      </c>
      <c r="Y3" s="10" cm="1">
        <f t="array" ref="Y3">ABS(pred_GDP_1qa!Y7-pred_GDP_1qa!$B7)</f>
        <v>0.50976377469940792</v>
      </c>
      <c r="Z3" s="10" cm="1">
        <f t="array" ref="Z3">ABS(pred_GDP_1qa!Z7-pred_GDP_1qa!$B7)</f>
        <v>0.47192320709561297</v>
      </c>
    </row>
    <row r="4" spans="1:26" ht="13.8" customHeight="1" x14ac:dyDescent="0.25">
      <c r="A4" s="15">
        <v>39692</v>
      </c>
      <c r="B4" s="16">
        <v>0.7</v>
      </c>
      <c r="C4" s="21" t="e" cm="1">
        <f t="array" ref="C4">ABS(pred_GDP_1qa!C8-pred_GDP_1qa!$B8)</f>
        <v>#N/A</v>
      </c>
      <c r="D4" s="10" cm="1">
        <f t="array" ref="D4">ABS(pred_GDP_1qa!D8-pred_GDP_1qa!$B8)</f>
        <v>0.45066342844976104</v>
      </c>
      <c r="E4" s="10" cm="1">
        <f t="array" ref="E4">ABS(pred_GDP_1qa!E8-pred_GDP_1qa!$B8)</f>
        <v>0.34544332008114109</v>
      </c>
      <c r="F4" s="10" t="e" cm="1">
        <f t="array" ref="F4">ABS(pred_GDP_1qa!F8-pred_GDP_1qa!$B8)</f>
        <v>#N/A</v>
      </c>
      <c r="G4" s="10" t="e" cm="1">
        <f t="array" ref="G4">ABS(pred_GDP_1qa!G8-pred_GDP_1qa!$B8)</f>
        <v>#N/A</v>
      </c>
      <c r="H4" s="10" t="e" cm="1">
        <f t="array" ref="H4">ABS(pred_GDP_1qa!H8-pred_GDP_1qa!$B8)</f>
        <v>#N/A</v>
      </c>
      <c r="I4" s="10" t="e" cm="1">
        <f t="array" ref="I4">ABS(pred_GDP_1qa!I8-pred_GDP_1qa!$B8)</f>
        <v>#N/A</v>
      </c>
      <c r="J4" s="10" t="e" cm="1">
        <f t="array" ref="J4">ABS(pred_GDP_1qa!J8-pred_GDP_1qa!$B8)</f>
        <v>#N/A</v>
      </c>
      <c r="K4" s="10" cm="1">
        <f t="array" ref="K4">ABS(pred_GDP_1qa!K8-pred_GDP_1qa!$B8)</f>
        <v>1.0223512466339235E-2</v>
      </c>
      <c r="L4" s="10" t="e" cm="1">
        <f t="array" ref="L4">ABS(pred_GDP_1qa!L8-pred_GDP_1qa!$B8)</f>
        <v>#N/A</v>
      </c>
      <c r="M4" s="10" cm="1">
        <f t="array" ref="M4">ABS(pred_GDP_1qa!M8-pred_GDP_1qa!$B8)</f>
        <v>0.15491885445420395</v>
      </c>
      <c r="N4" s="10" cm="1">
        <f t="array" ref="N4">ABS(pred_GDP_1qa!N8-pred_GDP_1qa!$B8)</f>
        <v>0.66721467971801807</v>
      </c>
      <c r="O4" s="10" cm="1">
        <f t="array" ref="O4">ABS(pred_GDP_1qa!O8-pred_GDP_1qa!$B8)</f>
        <v>0.92571921388104683</v>
      </c>
      <c r="P4" s="10" cm="1">
        <f t="array" ref="P4">ABS(pred_GDP_1qa!P8-pred_GDP_1qa!$B8)</f>
        <v>0.45739165302956897</v>
      </c>
      <c r="Q4" s="6"/>
      <c r="R4" s="10" cm="1">
        <f t="array" ref="R4">ABS(pred_GDP_1qa!R8-pred_GDP_1qa!$B8)</f>
        <v>0.16573374775971206</v>
      </c>
      <c r="S4" s="10" cm="1">
        <f t="array" ref="S4">ABS(pred_GDP_1qa!S8-pred_GDP_1qa!$B8)</f>
        <v>0.34544332008113998</v>
      </c>
      <c r="T4" s="10" cm="1">
        <f t="array" ref="T4">ABS(pred_GDP_1qa!T8-pred_GDP_1qa!$B8)</f>
        <v>0.34544332008113998</v>
      </c>
      <c r="U4" s="10" cm="1">
        <f t="array" ref="U4">ABS(pred_GDP_1qa!U8-pred_GDP_1qa!$B8)</f>
        <v>0.34544332008113998</v>
      </c>
      <c r="V4" s="10" cm="1">
        <f t="array" ref="V4">ABS(pred_GDP_1qa!V8-pred_GDP_1qa!$B8)</f>
        <v>0.3332427716147901</v>
      </c>
      <c r="W4" s="10" cm="1">
        <f t="array" ref="W4">ABS(pred_GDP_1qa!W8-pred_GDP_1qa!$B8)</f>
        <v>0.33147228573917009</v>
      </c>
      <c r="X4" s="10" cm="1">
        <f t="array" ref="X4">ABS(pred_GDP_1qa!X8-pred_GDP_1qa!$B8)</f>
        <v>0.28872315027530604</v>
      </c>
      <c r="Y4" s="10" cm="1">
        <f t="array" ref="Y4">ABS(pred_GDP_1qa!Y8-pred_GDP_1qa!$B8)</f>
        <v>0.27689480759961804</v>
      </c>
      <c r="Z4" s="10" cm="1">
        <f t="array" ref="Z4">ABS(pred_GDP_1qa!Z8-pred_GDP_1qa!$B8)</f>
        <v>0.3332427716147901</v>
      </c>
    </row>
    <row r="5" spans="1:26" ht="13.8" customHeight="1" x14ac:dyDescent="0.25">
      <c r="A5" s="15">
        <v>39783</v>
      </c>
      <c r="B5" s="16">
        <v>-3.4</v>
      </c>
      <c r="C5" s="21" t="e" cm="1">
        <f t="array" ref="C5">ABS(pred_GDP_1qa!C9-pred_GDP_1qa!$B9)</f>
        <v>#N/A</v>
      </c>
      <c r="D5" s="10" cm="1">
        <f t="array" ref="D5">ABS(pred_GDP_1qa!D9-pred_GDP_1qa!$B9)</f>
        <v>4.8961726026420758</v>
      </c>
      <c r="E5" s="10" cm="1">
        <f t="array" ref="E5">ABS(pred_GDP_1qa!E9-pred_GDP_1qa!$B9)</f>
        <v>4.6268586345713931</v>
      </c>
      <c r="F5" s="10" t="e" cm="1">
        <f t="array" ref="F5">ABS(pred_GDP_1qa!F9-pred_GDP_1qa!$B9)</f>
        <v>#N/A</v>
      </c>
      <c r="G5" s="10" t="e" cm="1">
        <f t="array" ref="G5">ABS(pred_GDP_1qa!G9-pred_GDP_1qa!$B9)</f>
        <v>#N/A</v>
      </c>
      <c r="H5" s="10" t="e" cm="1">
        <f t="array" ref="H5">ABS(pred_GDP_1qa!H9-pred_GDP_1qa!$B9)</f>
        <v>#N/A</v>
      </c>
      <c r="I5" s="10" t="e" cm="1">
        <f t="array" ref="I5">ABS(pred_GDP_1qa!I9-pred_GDP_1qa!$B9)</f>
        <v>#N/A</v>
      </c>
      <c r="J5" s="10" t="e" cm="1">
        <f t="array" ref="J5">ABS(pred_GDP_1qa!J9-pred_GDP_1qa!$B9)</f>
        <v>#N/A</v>
      </c>
      <c r="K5" s="10" cm="1">
        <f t="array" ref="K5">ABS(pred_GDP_1qa!K9-pred_GDP_1qa!$B9)</f>
        <v>4.548818216393526</v>
      </c>
      <c r="L5" s="10" t="e" cm="1">
        <f t="array" ref="L5">ABS(pred_GDP_1qa!L9-pred_GDP_1qa!$B9)</f>
        <v>#N/A</v>
      </c>
      <c r="M5" s="10" cm="1">
        <f t="array" ref="M5">ABS(pred_GDP_1qa!M9-pred_GDP_1qa!$B9)</f>
        <v>4.1152883814603296</v>
      </c>
      <c r="N5" s="10" cm="1">
        <f t="array" ref="N5">ABS(pred_GDP_1qa!N9-pred_GDP_1qa!$B9)</f>
        <v>4.719488883018494</v>
      </c>
      <c r="O5" s="10" cm="1">
        <f t="array" ref="O5">ABS(pred_GDP_1qa!O9-pred_GDP_1qa!$B9)</f>
        <v>2.9629338976701818</v>
      </c>
      <c r="P5" s="10" cm="1">
        <f t="array" ref="P5">ABS(pred_GDP_1qa!P9-pred_GDP_1qa!$B9)</f>
        <v>4.7848516999886881</v>
      </c>
      <c r="Q5" s="6"/>
      <c r="R5" s="10" cm="1">
        <f t="array" ref="R5">ABS(pred_GDP_1qa!R9-pred_GDP_1qa!$B9)</f>
        <v>4.3792017593920978</v>
      </c>
      <c r="S5" s="10" cm="1">
        <f t="array" ref="S5">ABS(pred_GDP_1qa!S9-pred_GDP_1qa!$B9)</f>
        <v>4.6268586345713896</v>
      </c>
      <c r="T5" s="10" cm="1">
        <f t="array" ref="T5">ABS(pred_GDP_1qa!T9-pred_GDP_1qa!$B9)</f>
        <v>4.6268586345713896</v>
      </c>
      <c r="U5" s="10" cm="1">
        <f t="array" ref="U5">ABS(pred_GDP_1qa!U9-pred_GDP_1qa!$B9)</f>
        <v>4.5811447552981104</v>
      </c>
      <c r="V5" s="10" cm="1">
        <f t="array" ref="V5">ABS(pred_GDP_1qa!V9-pred_GDP_1qa!$B9)</f>
        <v>4.55236548546549</v>
      </c>
      <c r="W5" s="10" cm="1">
        <f t="array" ref="W5">ABS(pred_GDP_1qa!W9-pred_GDP_1qa!$B9)</f>
        <v>4.5518298242104294</v>
      </c>
      <c r="X5" s="10" cm="1">
        <f t="array" ref="X5">ABS(pred_GDP_1qa!X9-pred_GDP_1qa!$B9)</f>
        <v>4.50004582063805</v>
      </c>
      <c r="Y5" s="10" cm="1">
        <f t="array" ref="Y5">ABS(pred_GDP_1qa!Y9-pred_GDP_1qa!$B9)</f>
        <v>4.5109985562433197</v>
      </c>
      <c r="Z5" s="10" cm="1">
        <f t="array" ref="Z5">ABS(pred_GDP_1qa!Z9-pred_GDP_1qa!$B9)</f>
        <v>4.55236548546549</v>
      </c>
    </row>
    <row r="6" spans="1:26" ht="13.8" customHeight="1" x14ac:dyDescent="0.25">
      <c r="A6" s="15">
        <v>39873</v>
      </c>
      <c r="B6" s="16">
        <v>0.3</v>
      </c>
      <c r="C6" s="21" t="e" cm="1">
        <f t="array" ref="C6">ABS(pred_GDP_1qa!C10-pred_GDP_1qa!$B10)</f>
        <v>#N/A</v>
      </c>
      <c r="D6" s="10" cm="1">
        <f t="array" ref="D6">ABS(pred_GDP_1qa!D10-pred_GDP_1qa!$B10)</f>
        <v>1.432162837109819</v>
      </c>
      <c r="E6" s="10" cm="1">
        <f t="array" ref="E6">ABS(pred_GDP_1qa!E10-pred_GDP_1qa!$B10)</f>
        <v>0.98787103603791304</v>
      </c>
      <c r="F6" s="10" t="e" cm="1">
        <f t="array" ref="F6">ABS(pred_GDP_1qa!F10-pred_GDP_1qa!$B10)</f>
        <v>#N/A</v>
      </c>
      <c r="G6" s="10" t="e" cm="1">
        <f t="array" ref="G6">ABS(pred_GDP_1qa!G10-pred_GDP_1qa!$B10)</f>
        <v>#N/A</v>
      </c>
      <c r="H6" s="10" t="e" cm="1">
        <f t="array" ref="H6">ABS(pred_GDP_1qa!H10-pred_GDP_1qa!$B10)</f>
        <v>#N/A</v>
      </c>
      <c r="I6" s="10" t="e" cm="1">
        <f t="array" ref="I6">ABS(pred_GDP_1qa!I10-pred_GDP_1qa!$B10)</f>
        <v>#N/A</v>
      </c>
      <c r="J6" s="10" t="e" cm="1">
        <f t="array" ref="J6">ABS(pred_GDP_1qa!J10-pred_GDP_1qa!$B10)</f>
        <v>#N/A</v>
      </c>
      <c r="K6" s="10" cm="1">
        <f t="array" ref="K6">ABS(pred_GDP_1qa!K10-pred_GDP_1qa!$B10)</f>
        <v>1.2367913814944089</v>
      </c>
      <c r="L6" s="10" t="e" cm="1">
        <f t="array" ref="L6">ABS(pred_GDP_1qa!L10-pred_GDP_1qa!$B10)</f>
        <v>#N/A</v>
      </c>
      <c r="M6" s="10" cm="1">
        <f t="array" ref="M6">ABS(pred_GDP_1qa!M10-pred_GDP_1qa!$B10)</f>
        <v>0.49394187004880902</v>
      </c>
      <c r="N6" s="10" cm="1">
        <f t="array" ref="N6">ABS(pred_GDP_1qa!N10-pred_GDP_1qa!$B10)</f>
        <v>0.98472101688385005</v>
      </c>
      <c r="O6" s="10" cm="1">
        <f t="array" ref="O6">ABS(pred_GDP_1qa!O10-pred_GDP_1qa!$B10)</f>
        <v>1.976280227306042</v>
      </c>
      <c r="P6" s="10" cm="1">
        <f t="array" ref="P6">ABS(pred_GDP_1qa!P10-pred_GDP_1qa!$B10)</f>
        <v>0.59076160275250733</v>
      </c>
      <c r="Q6" s="6"/>
      <c r="R6" s="10" cm="1">
        <f t="array" ref="R6">ABS(pred_GDP_1qa!R10-pred_GDP_1qa!$B10)</f>
        <v>0.53570993100303799</v>
      </c>
      <c r="S6" s="10" cm="1">
        <f t="array" ref="S6">ABS(pred_GDP_1qa!S10-pred_GDP_1qa!$B10)</f>
        <v>0.98472101688385005</v>
      </c>
      <c r="T6" s="10" cm="1">
        <f t="array" ref="T6">ABS(pred_GDP_1qa!T10-pred_GDP_1qa!$B10)</f>
        <v>0.49394187004880902</v>
      </c>
      <c r="U6" s="10" cm="1">
        <f t="array" ref="U6">ABS(pred_GDP_1qa!U10-pred_GDP_1qa!$B10)</f>
        <v>0.78774130981817003</v>
      </c>
      <c r="V6" s="10" cm="1">
        <f t="array" ref="V6">ABS(pred_GDP_1qa!V10-pred_GDP_1qa!$B10)</f>
        <v>7.0159060343568003E-2</v>
      </c>
      <c r="W6" s="10" cm="1">
        <f t="array" ref="W6">ABS(pred_GDP_1qa!W10-pred_GDP_1qa!$B10)</f>
        <v>9.8461988566143022E-2</v>
      </c>
      <c r="X6" s="10" cm="1">
        <f t="array" ref="X6">ABS(pred_GDP_1qa!X10-pred_GDP_1qa!$B10)</f>
        <v>0.186572823420183</v>
      </c>
      <c r="Y6" s="10" cm="1">
        <f t="array" ref="Y6">ABS(pred_GDP_1qa!Y10-pred_GDP_1qa!$B10)</f>
        <v>1.1702981178058309</v>
      </c>
      <c r="Z6" s="10" cm="1">
        <f t="array" ref="Z6">ABS(pred_GDP_1qa!Z10-pred_GDP_1qa!$B10)</f>
        <v>1.97628022730604</v>
      </c>
    </row>
    <row r="7" spans="1:26" ht="13.8" customHeight="1" x14ac:dyDescent="0.25">
      <c r="A7" s="15">
        <v>39965</v>
      </c>
      <c r="B7" s="16">
        <v>1.4</v>
      </c>
      <c r="C7" s="21" t="e" cm="1">
        <f t="array" ref="C7">ABS(pred_GDP_1qa!C11-pred_GDP_1qa!$B11)</f>
        <v>#N/A</v>
      </c>
      <c r="D7" s="10" cm="1">
        <f t="array" ref="D7">ABS(pred_GDP_1qa!D11-pred_GDP_1qa!$B11)</f>
        <v>2.544553644291204</v>
      </c>
      <c r="E7" s="10" cm="1">
        <f t="array" ref="E7">ABS(pred_GDP_1qa!E11-pred_GDP_1qa!$B11)</f>
        <v>2.473905150986623</v>
      </c>
      <c r="F7" s="10" t="e" cm="1">
        <f t="array" ref="F7">ABS(pred_GDP_1qa!F11-pred_GDP_1qa!$B11)</f>
        <v>#N/A</v>
      </c>
      <c r="G7" s="10" t="e" cm="1">
        <f t="array" ref="G7">ABS(pred_GDP_1qa!G11-pred_GDP_1qa!$B11)</f>
        <v>#N/A</v>
      </c>
      <c r="H7" s="10" t="e" cm="1">
        <f t="array" ref="H7">ABS(pred_GDP_1qa!H11-pred_GDP_1qa!$B11)</f>
        <v>#N/A</v>
      </c>
      <c r="I7" s="10" t="e" cm="1">
        <f t="array" ref="I7">ABS(pred_GDP_1qa!I11-pred_GDP_1qa!$B11)</f>
        <v>#N/A</v>
      </c>
      <c r="J7" s="10" t="e" cm="1">
        <f t="array" ref="J7">ABS(pred_GDP_1qa!J11-pred_GDP_1qa!$B11)</f>
        <v>#N/A</v>
      </c>
      <c r="K7" s="10" cm="1">
        <f t="array" ref="K7">ABS(pred_GDP_1qa!K11-pred_GDP_1qa!$B11)</f>
        <v>0.38496684165253003</v>
      </c>
      <c r="L7" s="10" t="e" cm="1">
        <f t="array" ref="L7">ABS(pred_GDP_1qa!L11-pred_GDP_1qa!$B11)</f>
        <v>#N/A</v>
      </c>
      <c r="M7" s="10" cm="1">
        <f t="array" ref="M7">ABS(pred_GDP_1qa!M11-pred_GDP_1qa!$B11)</f>
        <v>0.10251973096368583</v>
      </c>
      <c r="N7" s="10" cm="1">
        <f t="array" ref="N7">ABS(pred_GDP_1qa!N11-pred_GDP_1qa!$B11)</f>
        <v>0.18738451004028289</v>
      </c>
      <c r="O7" s="10" cm="1">
        <f t="array" ref="O7">ABS(pred_GDP_1qa!O11-pred_GDP_1qa!$B11)</f>
        <v>0.15413839481713798</v>
      </c>
      <c r="P7" s="10" cm="1">
        <f t="array" ref="P7">ABS(pred_GDP_1qa!P11-pred_GDP_1qa!$B11)</f>
        <v>0.86636909787780669</v>
      </c>
      <c r="Q7" s="6"/>
      <c r="R7" s="10" cm="1">
        <f t="array" ref="R7">ABS(pred_GDP_1qa!R11-pred_GDP_1qa!$B11)</f>
        <v>0.58471627189020015</v>
      </c>
      <c r="S7" s="10" cm="1">
        <f t="array" ref="S7">ABS(pred_GDP_1qa!S11-pred_GDP_1qa!$B11)</f>
        <v>0.10251973096368983</v>
      </c>
      <c r="T7" s="10" cm="1">
        <f t="array" ref="T7">ABS(pred_GDP_1qa!T11-pred_GDP_1qa!$B11)</f>
        <v>0.10251973096368983</v>
      </c>
      <c r="U7" s="10" cm="1">
        <f t="array" ref="U7">ABS(pred_GDP_1qa!U11-pred_GDP_1qa!$B11)</f>
        <v>0.10251973096368983</v>
      </c>
      <c r="V7" s="10" cm="1">
        <f t="array" ref="V7">ABS(pred_GDP_1qa!V11-pred_GDP_1qa!$B11)</f>
        <v>0.36621310966796017</v>
      </c>
      <c r="W7" s="10" cm="1">
        <f t="array" ref="W7">ABS(pred_GDP_1qa!W11-pred_GDP_1qa!$B11)</f>
        <v>0.37779918901355014</v>
      </c>
      <c r="X7" s="10" cm="1">
        <f t="array" ref="X7">ABS(pred_GDP_1qa!X11-pred_GDP_1qa!$B11)</f>
        <v>0.47830534938927016</v>
      </c>
      <c r="Y7" s="10" cm="1">
        <f t="array" ref="Y7">ABS(pred_GDP_1qa!Y11-pred_GDP_1qa!$B11)</f>
        <v>7.821362700525003E-2</v>
      </c>
      <c r="Z7" s="10" cm="1">
        <f t="array" ref="Z7">ABS(pred_GDP_1qa!Z11-pred_GDP_1qa!$B11)</f>
        <v>7.821362700525003E-2</v>
      </c>
    </row>
    <row r="8" spans="1:26" ht="13.8" customHeight="1" x14ac:dyDescent="0.25">
      <c r="A8" s="15">
        <v>40057</v>
      </c>
      <c r="B8" s="16">
        <v>3.1</v>
      </c>
      <c r="C8" s="21" t="e" cm="1">
        <f t="array" ref="C8">ABS(pred_GDP_1qa!C12-pred_GDP_1qa!$B12)</f>
        <v>#N/A</v>
      </c>
      <c r="D8" s="10" cm="1">
        <f t="array" ref="D8">ABS(pred_GDP_1qa!D12-pred_GDP_1qa!$B12)</f>
        <v>1.8974722277753511</v>
      </c>
      <c r="E8" s="10" cm="1">
        <f t="array" ref="E8">ABS(pred_GDP_1qa!E12-pred_GDP_1qa!$B12)</f>
        <v>1.7758509440802461</v>
      </c>
      <c r="F8" s="10" t="e" cm="1">
        <f t="array" ref="F8">ABS(pred_GDP_1qa!F12-pred_GDP_1qa!$B12)</f>
        <v>#N/A</v>
      </c>
      <c r="G8" s="10" t="e" cm="1">
        <f t="array" ref="G8">ABS(pred_GDP_1qa!G12-pred_GDP_1qa!$B12)</f>
        <v>#N/A</v>
      </c>
      <c r="H8" s="10" t="e" cm="1">
        <f t="array" ref="H8">ABS(pred_GDP_1qa!H12-pred_GDP_1qa!$B12)</f>
        <v>#N/A</v>
      </c>
      <c r="I8" s="10" t="e" cm="1">
        <f t="array" ref="I8">ABS(pred_GDP_1qa!I12-pred_GDP_1qa!$B12)</f>
        <v>#N/A</v>
      </c>
      <c r="J8" s="10" t="e" cm="1">
        <f t="array" ref="J8">ABS(pred_GDP_1qa!J12-pred_GDP_1qa!$B12)</f>
        <v>#N/A</v>
      </c>
      <c r="K8" s="10" cm="1">
        <f t="array" ref="K8">ABS(pred_GDP_1qa!K12-pred_GDP_1qa!$B12)</f>
        <v>1.7487198536331141</v>
      </c>
      <c r="L8" s="10" t="e" cm="1">
        <f t="array" ref="L8">ABS(pred_GDP_1qa!L12-pred_GDP_1qa!$B12)</f>
        <v>#N/A</v>
      </c>
      <c r="M8" s="10" cm="1">
        <f t="array" ref="M8">ABS(pred_GDP_1qa!M12-pred_GDP_1qa!$B12)</f>
        <v>1.945161048098041</v>
      </c>
      <c r="N8" s="10" cm="1">
        <f t="array" ref="N8">ABS(pred_GDP_1qa!N12-pred_GDP_1qa!$B12)</f>
        <v>1.828286623954773</v>
      </c>
      <c r="O8" s="10" cm="1">
        <f t="array" ref="O8">ABS(pred_GDP_1qa!O12-pred_GDP_1qa!$B12)</f>
        <v>2.9089058332595457</v>
      </c>
      <c r="P8" s="10" cm="1">
        <f t="array" ref="P8">ABS(pred_GDP_1qa!P12-pred_GDP_1qa!$B12)</f>
        <v>2.2442534474157365</v>
      </c>
      <c r="Q8" s="6"/>
      <c r="R8" s="10" cm="1">
        <f t="array" ref="R8">ABS(pred_GDP_1qa!R12-pred_GDP_1qa!$B12)</f>
        <v>2.0498071397452602</v>
      </c>
      <c r="S8" s="10" cm="1">
        <f t="array" ref="S8">ABS(pred_GDP_1qa!S12-pred_GDP_1qa!$B12)</f>
        <v>1.8974722277753602</v>
      </c>
      <c r="T8" s="10" cm="1">
        <f t="array" ref="T8">ABS(pred_GDP_1qa!T12-pred_GDP_1qa!$B12)</f>
        <v>1.9451610480980501</v>
      </c>
      <c r="U8" s="10" cm="1">
        <f t="array" ref="U8">ABS(pred_GDP_1qa!U12-pred_GDP_1qa!$B12)</f>
        <v>1.9213166379367002</v>
      </c>
      <c r="V8" s="10" cm="1">
        <f t="array" ref="V8">ABS(pred_GDP_1qa!V12-pred_GDP_1qa!$B12)</f>
        <v>2.1282520517023222</v>
      </c>
      <c r="W8" s="10" cm="1">
        <f t="array" ref="W8">ABS(pred_GDP_1qa!W12-pred_GDP_1qa!$B12)</f>
        <v>2.1239222497842261</v>
      </c>
      <c r="X8" s="10" cm="1">
        <f t="array" ref="X8">ABS(pred_GDP_1qa!X12-pred_GDP_1qa!$B12)</f>
        <v>2.1366229361444602</v>
      </c>
      <c r="Y8" s="10" cm="1">
        <f t="array" ref="Y8">ABS(pred_GDP_1qa!Y12-pred_GDP_1qa!$B12)</f>
        <v>2.5060140256612771</v>
      </c>
      <c r="Z8" s="10" cm="1">
        <f t="array" ref="Z8">ABS(pred_GDP_1qa!Z12-pred_GDP_1qa!$B12)</f>
        <v>1.9451610480980501</v>
      </c>
    </row>
    <row r="9" spans="1:26" ht="13.8" customHeight="1" x14ac:dyDescent="0.25">
      <c r="A9" s="15">
        <v>40148</v>
      </c>
      <c r="B9" s="16">
        <v>0.7</v>
      </c>
      <c r="C9" s="21" t="e" cm="1">
        <f t="array" ref="C9">ABS(pred_GDP_1qa!C13-pred_GDP_1qa!$B13)</f>
        <v>#N/A</v>
      </c>
      <c r="D9" s="10" cm="1">
        <f t="array" ref="D9">ABS(pred_GDP_1qa!D13-pred_GDP_1qa!$B13)</f>
        <v>0.160350215511184</v>
      </c>
      <c r="E9" s="10" cm="1">
        <f t="array" ref="E9">ABS(pred_GDP_1qa!E13-pred_GDP_1qa!$B13)</f>
        <v>1.538765896733419</v>
      </c>
      <c r="F9" s="10" t="e" cm="1">
        <f t="array" ref="F9">ABS(pred_GDP_1qa!F13-pred_GDP_1qa!$B13)</f>
        <v>#N/A</v>
      </c>
      <c r="G9" s="10" t="e" cm="1">
        <f t="array" ref="G9">ABS(pred_GDP_1qa!G13-pred_GDP_1qa!$B13)</f>
        <v>#N/A</v>
      </c>
      <c r="H9" s="10" t="e" cm="1">
        <f t="array" ref="H9">ABS(pred_GDP_1qa!H13-pred_GDP_1qa!$B13)</f>
        <v>#N/A</v>
      </c>
      <c r="I9" s="10" t="e" cm="1">
        <f t="array" ref="I9">ABS(pred_GDP_1qa!I13-pred_GDP_1qa!$B13)</f>
        <v>#N/A</v>
      </c>
      <c r="J9" s="10" t="e" cm="1">
        <f t="array" ref="J9">ABS(pred_GDP_1qa!J13-pred_GDP_1qa!$B13)</f>
        <v>#N/A</v>
      </c>
      <c r="K9" s="10" cm="1">
        <f t="array" ref="K9">ABS(pred_GDP_1qa!K13-pred_GDP_1qa!$B13)</f>
        <v>0.56905780984893495</v>
      </c>
      <c r="L9" s="10" t="e" cm="1">
        <f t="array" ref="L9">ABS(pred_GDP_1qa!L13-pred_GDP_1qa!$B13)</f>
        <v>#N/A</v>
      </c>
      <c r="M9" s="10" cm="1">
        <f t="array" ref="M9">ABS(pred_GDP_1qa!M13-pred_GDP_1qa!$B13)</f>
        <v>0.53107815533636504</v>
      </c>
      <c r="N9" s="10" cm="1">
        <f t="array" ref="N9">ABS(pred_GDP_1qa!N13-pred_GDP_1qa!$B13)</f>
        <v>0.57032780647277814</v>
      </c>
      <c r="O9" s="10" cm="1">
        <f t="array" ref="O9">ABS(pred_GDP_1qa!O13-pred_GDP_1qa!$B13)</f>
        <v>0.16617432427611967</v>
      </c>
      <c r="P9" s="10" cm="1">
        <f t="array" ref="P9">ABS(pred_GDP_1qa!P13-pred_GDP_1qa!$B13)</f>
        <v>0.63284192373377013</v>
      </c>
      <c r="Q9" s="6"/>
      <c r="R9" s="10" cm="1">
        <f t="array" ref="R9">ABS(pred_GDP_1qa!R13-pred_GDP_1qa!$B13)</f>
        <v>0.50222100747685006</v>
      </c>
      <c r="S9" s="10" cm="1">
        <f t="array" ref="S9">ABS(pred_GDP_1qa!S13-pred_GDP_1qa!$B13)</f>
        <v>0.56905780984893006</v>
      </c>
      <c r="T9" s="10" cm="1">
        <f t="array" ref="T9">ABS(pred_GDP_1qa!T13-pred_GDP_1qa!$B13)</f>
        <v>0.56905780984893006</v>
      </c>
      <c r="U9" s="10" cm="1">
        <f t="array" ref="U9">ABS(pred_GDP_1qa!U13-pred_GDP_1qa!$B13)</f>
        <v>0.56905780984893006</v>
      </c>
      <c r="V9" s="10" cm="1">
        <f t="array" ref="V9">ABS(pred_GDP_1qa!V13-pred_GDP_1qa!$B13)</f>
        <v>0.46308156796262012</v>
      </c>
      <c r="W9" s="10" cm="1">
        <f t="array" ref="W9">ABS(pred_GDP_1qa!W13-pred_GDP_1qa!$B13)</f>
        <v>0.46559448387655</v>
      </c>
      <c r="X9" s="10" cm="1">
        <f t="array" ref="X9">ABS(pred_GDP_1qa!X13-pred_GDP_1qa!$B13)</f>
        <v>0.47916473840806995</v>
      </c>
      <c r="Y9" s="10" cm="1">
        <f t="array" ref="Y9">ABS(pred_GDP_1qa!Y13-pred_GDP_1qa!$B13)</f>
        <v>0.32222157206353996</v>
      </c>
      <c r="Z9" s="10" cm="1">
        <f t="array" ref="Z9">ABS(pred_GDP_1qa!Z13-pred_GDP_1qa!$B13)</f>
        <v>0.53107815533635994</v>
      </c>
    </row>
    <row r="10" spans="1:26" ht="13.8" customHeight="1" x14ac:dyDescent="0.25">
      <c r="A10" s="15">
        <v>40238</v>
      </c>
      <c r="B10" s="16">
        <v>2.2999999999999998</v>
      </c>
      <c r="C10" s="21" t="e" cm="1">
        <f t="array" ref="C10">ABS(pred_GDP_1qa!C14-pred_GDP_1qa!$B14)</f>
        <v>#N/A</v>
      </c>
      <c r="D10" s="10" cm="1">
        <f t="array" ref="D10">ABS(pred_GDP_1qa!D14-pred_GDP_1qa!$B14)</f>
        <v>0.66075558206687179</v>
      </c>
      <c r="E10" s="10" cm="1">
        <f t="array" ref="E10">ABS(pred_GDP_1qa!E14-pred_GDP_1qa!$B14)</f>
        <v>0.35774137439045406</v>
      </c>
      <c r="F10" s="10" t="e" cm="1">
        <f t="array" ref="F10">ABS(pred_GDP_1qa!F14-pred_GDP_1qa!$B14)</f>
        <v>#N/A</v>
      </c>
      <c r="G10" s="10" t="e" cm="1">
        <f t="array" ref="G10">ABS(pred_GDP_1qa!G14-pred_GDP_1qa!$B14)</f>
        <v>#N/A</v>
      </c>
      <c r="H10" s="10" t="e" cm="1">
        <f t="array" ref="H10">ABS(pred_GDP_1qa!H14-pred_GDP_1qa!$B14)</f>
        <v>#N/A</v>
      </c>
      <c r="I10" s="10" t="e" cm="1">
        <f t="array" ref="I10">ABS(pred_GDP_1qa!I14-pred_GDP_1qa!$B14)</f>
        <v>#N/A</v>
      </c>
      <c r="J10" s="10" t="e" cm="1">
        <f t="array" ref="J10">ABS(pred_GDP_1qa!J14-pred_GDP_1qa!$B14)</f>
        <v>#N/A</v>
      </c>
      <c r="K10" s="10" cm="1">
        <f t="array" ref="K10">ABS(pred_GDP_1qa!K14-pred_GDP_1qa!$B14)</f>
        <v>1.1668593099976647</v>
      </c>
      <c r="L10" s="10" t="e" cm="1">
        <f t="array" ref="L10">ABS(pred_GDP_1qa!L14-pred_GDP_1qa!$B14)</f>
        <v>#N/A</v>
      </c>
      <c r="M10" s="10" cm="1">
        <f t="array" ref="M10">ABS(pred_GDP_1qa!M14-pred_GDP_1qa!$B14)</f>
        <v>0.94074161359853381</v>
      </c>
      <c r="N10" s="10" cm="1">
        <f t="array" ref="N10">ABS(pred_GDP_1qa!N14-pred_GDP_1qa!$B14)</f>
        <v>0.93243961334228476</v>
      </c>
      <c r="O10" s="10" cm="1">
        <f t="array" ref="O10">ABS(pred_GDP_1qa!O14-pred_GDP_1qa!$B14)</f>
        <v>2.2484849318208973</v>
      </c>
      <c r="P10" s="10" cm="1">
        <f t="array" ref="P10">ABS(pred_GDP_1qa!P14-pred_GDP_1qa!$B14)</f>
        <v>2.0913630894544801</v>
      </c>
      <c r="Q10" s="6"/>
      <c r="R10" s="10" cm="1">
        <f t="array" ref="R10">ABS(pred_GDP_1qa!R14-pred_GDP_1qa!$B14)</f>
        <v>1.0975575379843299</v>
      </c>
      <c r="S10" s="10" cm="1">
        <f t="array" ref="S10">ABS(pred_GDP_1qa!S14-pred_GDP_1qa!$B14)</f>
        <v>0.94074161359853981</v>
      </c>
      <c r="T10" s="10" cm="1">
        <f t="array" ref="T10">ABS(pred_GDP_1qa!T14-pred_GDP_1qa!$B14)</f>
        <v>0.94074161359853981</v>
      </c>
      <c r="U10" s="10" cm="1">
        <f t="array" ref="U10">ABS(pred_GDP_1qa!U14-pred_GDP_1qa!$B14)</f>
        <v>0.94074161359853981</v>
      </c>
      <c r="V10" s="10" cm="1">
        <f t="array" ref="V10">ABS(pred_GDP_1qa!V14-pred_GDP_1qa!$B14)</f>
        <v>1.1493013014970999</v>
      </c>
      <c r="W10" s="10" cm="1">
        <f t="array" ref="W10">ABS(pred_GDP_1qa!W14-pred_GDP_1qa!$B14)</f>
        <v>1.1477862569634698</v>
      </c>
      <c r="X10" s="10" cm="1">
        <f t="array" ref="X10">ABS(pred_GDP_1qa!X14-pred_GDP_1qa!$B14)</f>
        <v>1.1317397697663298</v>
      </c>
      <c r="Y10" s="10" cm="1">
        <f t="array" ref="Y10">ABS(pred_GDP_1qa!Y14-pred_GDP_1qa!$B14)</f>
        <v>1.1588642068070898</v>
      </c>
      <c r="Z10" s="10" cm="1">
        <f t="array" ref="Z10">ABS(pred_GDP_1qa!Z14-pred_GDP_1qa!$B14)</f>
        <v>1.0864935619159197</v>
      </c>
    </row>
    <row r="11" spans="1:26" ht="13.8" customHeight="1" x14ac:dyDescent="0.25">
      <c r="A11" s="15">
        <v>40330</v>
      </c>
      <c r="B11" s="16">
        <v>1.6</v>
      </c>
      <c r="C11" s="21" t="e" cm="1">
        <f t="array" ref="C11">ABS(pred_GDP_1qa!C15-pred_GDP_1qa!$B15)</f>
        <v>#N/A</v>
      </c>
      <c r="D11" s="10" cm="1">
        <f t="array" ref="D11">ABS(pred_GDP_1qa!D15-pred_GDP_1qa!$B15)</f>
        <v>1.1725110857527796</v>
      </c>
      <c r="E11" s="10" cm="1">
        <f t="array" ref="E11">ABS(pred_GDP_1qa!E15-pred_GDP_1qa!$B15)</f>
        <v>0.26764837514381301</v>
      </c>
      <c r="F11" s="10" t="e" cm="1">
        <f t="array" ref="F11">ABS(pred_GDP_1qa!F15-pred_GDP_1qa!$B15)</f>
        <v>#N/A</v>
      </c>
      <c r="G11" s="10" t="e" cm="1">
        <f t="array" ref="G11">ABS(pred_GDP_1qa!G15-pred_GDP_1qa!$B15)</f>
        <v>#N/A</v>
      </c>
      <c r="H11" s="10" t="e" cm="1">
        <f t="array" ref="H11">ABS(pred_GDP_1qa!H15-pred_GDP_1qa!$B15)</f>
        <v>#N/A</v>
      </c>
      <c r="I11" s="10" t="e" cm="1">
        <f t="array" ref="I11">ABS(pred_GDP_1qa!I15-pred_GDP_1qa!$B15)</f>
        <v>#N/A</v>
      </c>
      <c r="J11" s="10" t="e" cm="1">
        <f t="array" ref="J11">ABS(pred_GDP_1qa!J15-pred_GDP_1qa!$B15)</f>
        <v>#N/A</v>
      </c>
      <c r="K11" s="10" cm="1">
        <f t="array" ref="K11">ABS(pred_GDP_1qa!K15-pred_GDP_1qa!$B15)</f>
        <v>6.7989595134005931E-2</v>
      </c>
      <c r="L11" s="10" t="e" cm="1">
        <f t="array" ref="L11">ABS(pred_GDP_1qa!L15-pred_GDP_1qa!$B15)</f>
        <v>#N/A</v>
      </c>
      <c r="M11" s="10" cm="1">
        <f t="array" ref="M11">ABS(pred_GDP_1qa!M15-pred_GDP_1qa!$B15)</f>
        <v>0.45170461885096302</v>
      </c>
      <c r="N11" s="10" cm="1">
        <f t="array" ref="N11">ABS(pred_GDP_1qa!N15-pred_GDP_1qa!$B15)</f>
        <v>0.57024977207183802</v>
      </c>
      <c r="O11" s="10" cm="1">
        <f t="array" ref="O11">ABS(pred_GDP_1qa!O15-pred_GDP_1qa!$B15)</f>
        <v>0.57700321461203719</v>
      </c>
      <c r="P11" s="10" cm="1">
        <f t="array" ref="P11">ABS(pred_GDP_1qa!P15-pred_GDP_1qa!$B15)</f>
        <v>0.719902277350843</v>
      </c>
      <c r="Q11" s="6"/>
      <c r="R11" s="10" cm="1">
        <f t="array" ref="R11">ABS(pred_GDP_1qa!R15-pred_GDP_1qa!$B15)</f>
        <v>0.32160359913523018</v>
      </c>
      <c r="S11" s="10" cm="1">
        <f t="array" ref="S11">ABS(pred_GDP_1qa!S15-pred_GDP_1qa!$B15)</f>
        <v>0.45170461885097013</v>
      </c>
      <c r="T11" s="10" cm="1">
        <f t="array" ref="T11">ABS(pred_GDP_1qa!T15-pred_GDP_1qa!$B15)</f>
        <v>0.45170461885097013</v>
      </c>
      <c r="U11" s="10" cm="1">
        <f t="array" ref="U11">ABS(pred_GDP_1qa!U15-pred_GDP_1qa!$B15)</f>
        <v>0.45170461885097013</v>
      </c>
      <c r="V11" s="10" cm="1">
        <f t="array" ref="V11">ABS(pred_GDP_1qa!V15-pred_GDP_1qa!$B15)</f>
        <v>0.31501716954630998</v>
      </c>
      <c r="W11" s="10" cm="1">
        <f t="array" ref="W11">ABS(pred_GDP_1qa!W15-pred_GDP_1qa!$B15)</f>
        <v>0.31505824283007011</v>
      </c>
      <c r="X11" s="10" cm="1">
        <f t="array" ref="X11">ABS(pred_GDP_1qa!X15-pred_GDP_1qa!$B15)</f>
        <v>0.31886306097274009</v>
      </c>
      <c r="Y11" s="10" cm="1">
        <f t="array" ref="Y11">ABS(pred_GDP_1qa!Y15-pred_GDP_1qa!$B15)</f>
        <v>0.31695801384927003</v>
      </c>
      <c r="Z11" s="10" cm="1">
        <f t="array" ref="Z11">ABS(pred_GDP_1qa!Z15-pred_GDP_1qa!$B15)</f>
        <v>0.32160359913523018</v>
      </c>
    </row>
    <row r="12" spans="1:26" ht="13.8" customHeight="1" x14ac:dyDescent="0.25">
      <c r="A12" s="15">
        <v>40422</v>
      </c>
      <c r="B12" s="16">
        <v>1</v>
      </c>
      <c r="C12" s="21" t="e" cm="1">
        <f t="array" ref="C12">ABS(pred_GDP_1qa!C16-pred_GDP_1qa!$B16)</f>
        <v>#N/A</v>
      </c>
      <c r="D12" s="10" cm="1">
        <f t="array" ref="D12">ABS(pred_GDP_1qa!D16-pred_GDP_1qa!$B16)</f>
        <v>5.1995021776974903E-2</v>
      </c>
      <c r="E12" s="10" cm="1">
        <f t="array" ref="E12">ABS(pred_GDP_1qa!E16-pred_GDP_1qa!$B16)</f>
        <v>0.38850776441774593</v>
      </c>
      <c r="F12" s="10" t="e" cm="1">
        <f t="array" ref="F12">ABS(pred_GDP_1qa!F16-pred_GDP_1qa!$B16)</f>
        <v>#N/A</v>
      </c>
      <c r="G12" s="10" t="e" cm="1">
        <f t="array" ref="G12">ABS(pred_GDP_1qa!G16-pred_GDP_1qa!$B16)</f>
        <v>#N/A</v>
      </c>
      <c r="H12" s="10" t="e" cm="1">
        <f t="array" ref="H12">ABS(pred_GDP_1qa!H16-pred_GDP_1qa!$B16)</f>
        <v>#N/A</v>
      </c>
      <c r="I12" s="10" t="e" cm="1">
        <f t="array" ref="I12">ABS(pred_GDP_1qa!I16-pred_GDP_1qa!$B16)</f>
        <v>#N/A</v>
      </c>
      <c r="J12" s="10" t="e" cm="1">
        <f t="array" ref="J12">ABS(pred_GDP_1qa!J16-pred_GDP_1qa!$B16)</f>
        <v>#N/A</v>
      </c>
      <c r="K12" s="10" cm="1">
        <f t="array" ref="K12">ABS(pred_GDP_1qa!K16-pred_GDP_1qa!$B16)</f>
        <v>0.2831191616829789</v>
      </c>
      <c r="L12" s="10" t="e" cm="1">
        <f t="array" ref="L12">ABS(pred_GDP_1qa!L16-pred_GDP_1qa!$B16)</f>
        <v>#N/A</v>
      </c>
      <c r="M12" s="10" cm="1">
        <f t="array" ref="M12">ABS(pred_GDP_1qa!M16-pred_GDP_1qa!$B16)</f>
        <v>7.4897348164643107E-2</v>
      </c>
      <c r="N12" s="10" cm="1">
        <f t="array" ref="N12">ABS(pred_GDP_1qa!N16-pred_GDP_1qa!$B16)</f>
        <v>5.4507672786712646E-2</v>
      </c>
      <c r="O12" s="10" cm="1">
        <f t="array" ref="O12">ABS(pred_GDP_1qa!O16-pred_GDP_1qa!$B16)</f>
        <v>3.555071486251471E-2</v>
      </c>
      <c r="P12" s="10" cm="1">
        <f t="array" ref="P12">ABS(pred_GDP_1qa!P16-pred_GDP_1qa!$B16)</f>
        <v>0.19578985350449096</v>
      </c>
      <c r="Q12" s="6"/>
      <c r="R12" s="10" cm="1">
        <f t="array" ref="R12">ABS(pred_GDP_1qa!R16-pred_GDP_1qa!$B16)</f>
        <v>7.3238722126939937E-2</v>
      </c>
      <c r="S12" s="10" cm="1">
        <f t="array" ref="S12">ABS(pred_GDP_1qa!S16-pred_GDP_1qa!$B16)</f>
        <v>5.1995021776970018E-2</v>
      </c>
      <c r="T12" s="10" cm="1">
        <f t="array" ref="T12">ABS(pred_GDP_1qa!T16-pred_GDP_1qa!$B16)</f>
        <v>7.4897348164639999E-2</v>
      </c>
      <c r="U12" s="10" cm="1">
        <f t="array" ref="U12">ABS(pred_GDP_1qa!U16-pred_GDP_1qa!$B16)</f>
        <v>6.2616871951959974E-2</v>
      </c>
      <c r="V12" s="10" cm="1">
        <f t="array" ref="V12">ABS(pred_GDP_1qa!V16-pred_GDP_1qa!$B16)</f>
        <v>0.11104371110584998</v>
      </c>
      <c r="W12" s="10" cm="1">
        <f t="array" ref="W12">ABS(pred_GDP_1qa!W16-pred_GDP_1qa!$B16)</f>
        <v>0.10972180156906997</v>
      </c>
      <c r="X12" s="10" cm="1">
        <f t="array" ref="X12">ABS(pred_GDP_1qa!X16-pred_GDP_1qa!$B16)</f>
        <v>0.10449926311942992</v>
      </c>
      <c r="Y12" s="10" cm="1">
        <f t="array" ref="Y12">ABS(pred_GDP_1qa!Y16-pred_GDP_1qa!$B16)</f>
        <v>0.1224685183576999</v>
      </c>
      <c r="Z12" s="10" cm="1">
        <f t="array" ref="Z12">ABS(pred_GDP_1qa!Z16-pred_GDP_1qa!$B16)</f>
        <v>7.4897348164639999E-2</v>
      </c>
    </row>
    <row r="13" spans="1:26" ht="13.8" customHeight="1" x14ac:dyDescent="0.25">
      <c r="A13" s="15">
        <v>40513</v>
      </c>
      <c r="B13" s="16">
        <v>1.4</v>
      </c>
      <c r="C13" s="21" t="e" cm="1">
        <f t="array" ref="C13">ABS(pred_GDP_1qa!C17-pred_GDP_1qa!$B17)</f>
        <v>#N/A</v>
      </c>
      <c r="D13" s="10" cm="1">
        <f t="array" ref="D13">ABS(pred_GDP_1qa!D17-pred_GDP_1qa!$B17)</f>
        <v>5.6585308580394011E-2</v>
      </c>
      <c r="E13" s="10" cm="1">
        <f t="array" ref="E13">ABS(pred_GDP_1qa!E17-pred_GDP_1qa!$B17)</f>
        <v>3.6902206468412801E-2</v>
      </c>
      <c r="F13" s="10" t="e" cm="1">
        <f t="array" ref="F13">ABS(pred_GDP_1qa!F17-pred_GDP_1qa!$B17)</f>
        <v>#N/A</v>
      </c>
      <c r="G13" s="10" t="e" cm="1">
        <f t="array" ref="G13">ABS(pred_GDP_1qa!G17-pred_GDP_1qa!$B17)</f>
        <v>#N/A</v>
      </c>
      <c r="H13" s="10" t="e" cm="1">
        <f t="array" ref="H13">ABS(pred_GDP_1qa!H17-pred_GDP_1qa!$B17)</f>
        <v>#N/A</v>
      </c>
      <c r="I13" s="10" t="e" cm="1">
        <f t="array" ref="I13">ABS(pred_GDP_1qa!I17-pred_GDP_1qa!$B17)</f>
        <v>#N/A</v>
      </c>
      <c r="J13" s="10" t="e" cm="1">
        <f t="array" ref="J13">ABS(pred_GDP_1qa!J17-pred_GDP_1qa!$B17)</f>
        <v>#N/A</v>
      </c>
      <c r="K13" s="10" cm="1">
        <f t="array" ref="K13">ABS(pred_GDP_1qa!K17-pred_GDP_1qa!$B17)</f>
        <v>0.14205245011702594</v>
      </c>
      <c r="L13" s="10" t="e" cm="1">
        <f t="array" ref="L13">ABS(pred_GDP_1qa!L17-pred_GDP_1qa!$B17)</f>
        <v>#N/A</v>
      </c>
      <c r="M13" s="10" cm="1">
        <f t="array" ref="M13">ABS(pred_GDP_1qa!M17-pred_GDP_1qa!$B17)</f>
        <v>0.12394113519174899</v>
      </c>
      <c r="N13" s="10" cm="1">
        <f t="array" ref="N13">ABS(pred_GDP_1qa!N17-pred_GDP_1qa!$B17)</f>
        <v>0.47704055309295645</v>
      </c>
      <c r="O13" s="10" cm="1">
        <f t="array" ref="O13">ABS(pred_GDP_1qa!O17-pred_GDP_1qa!$B17)</f>
        <v>1.4442926735865687</v>
      </c>
      <c r="P13" s="10" cm="1">
        <f t="array" ref="P13">ABS(pred_GDP_1qa!P17-pred_GDP_1qa!$B17)</f>
        <v>0.73952692188338076</v>
      </c>
      <c r="Q13" s="6"/>
      <c r="R13" s="10" cm="1">
        <f t="array" ref="R13">ABS(pred_GDP_1qa!R17-pred_GDP_1qa!$B17)</f>
        <v>0.41531009025138588</v>
      </c>
      <c r="S13" s="10" cm="1">
        <f t="array" ref="S13">ABS(pred_GDP_1qa!S17-pred_GDP_1qa!$B17)</f>
        <v>0.14205245011702994</v>
      </c>
      <c r="T13" s="10" cm="1">
        <f t="array" ref="T13">ABS(pred_GDP_1qa!T17-pred_GDP_1qa!$B17)</f>
        <v>0.12394113519174987</v>
      </c>
      <c r="U13" s="10" cm="1">
        <f t="array" ref="U13">ABS(pred_GDP_1qa!U17-pred_GDP_1qa!$B17)</f>
        <v>0.14205245011702994</v>
      </c>
      <c r="V13" s="10" cm="1">
        <f t="array" ref="V13">ABS(pred_GDP_1qa!V17-pred_GDP_1qa!$B17)</f>
        <v>0.20242006868729989</v>
      </c>
      <c r="W13" s="10" cm="1">
        <f t="array" ref="W13">ABS(pred_GDP_1qa!W17-pred_GDP_1qa!$B17)</f>
        <v>0.20579444174546002</v>
      </c>
      <c r="X13" s="10" cm="1">
        <f t="array" ref="X13">ABS(pred_GDP_1qa!X17-pred_GDP_1qa!$B17)</f>
        <v>0.26973825296682996</v>
      </c>
      <c r="Y13" s="10" cm="1">
        <f t="array" ref="Y13">ABS(pred_GDP_1qa!Y17-pred_GDP_1qa!$B17)</f>
        <v>0.28580226162918998</v>
      </c>
      <c r="Z13" s="10" cm="1">
        <f t="array" ref="Z13">ABS(pred_GDP_1qa!Z17-pred_GDP_1qa!$B17)</f>
        <v>0.20338591522668992</v>
      </c>
    </row>
    <row r="14" spans="1:26" ht="13.8" customHeight="1" x14ac:dyDescent="0.25">
      <c r="A14" s="15">
        <v>40603</v>
      </c>
      <c r="B14" s="16">
        <v>1</v>
      </c>
      <c r="C14" s="21" t="e" cm="1">
        <f t="array" ref="C14">ABS(pred_GDP_1qa!C18-pred_GDP_1qa!$B18)</f>
        <v>#N/A</v>
      </c>
      <c r="D14" s="10" cm="1">
        <f t="array" ref="D14">ABS(pred_GDP_1qa!D18-pred_GDP_1qa!$B18)</f>
        <v>3.2989602889955005E-2</v>
      </c>
      <c r="E14" s="10" cm="1">
        <f t="array" ref="E14">ABS(pred_GDP_1qa!E18-pred_GDP_1qa!$B18)</f>
        <v>5.1267865366867005E-2</v>
      </c>
      <c r="F14" s="10" t="e" cm="1">
        <f t="array" ref="F14">ABS(pred_GDP_1qa!F18-pred_GDP_1qa!$B18)</f>
        <v>#N/A</v>
      </c>
      <c r="G14" s="10" t="e" cm="1">
        <f t="array" ref="G14">ABS(pred_GDP_1qa!G18-pred_GDP_1qa!$B18)</f>
        <v>#N/A</v>
      </c>
      <c r="H14" s="10" t="e" cm="1">
        <f t="array" ref="H14">ABS(pred_GDP_1qa!H18-pred_GDP_1qa!$B18)</f>
        <v>#N/A</v>
      </c>
      <c r="I14" s="10" t="e" cm="1">
        <f t="array" ref="I14">ABS(pred_GDP_1qa!I18-pred_GDP_1qa!$B18)</f>
        <v>#N/A</v>
      </c>
      <c r="J14" s="10" t="e" cm="1">
        <f t="array" ref="J14">ABS(pred_GDP_1qa!J18-pred_GDP_1qa!$B18)</f>
        <v>#N/A</v>
      </c>
      <c r="K14" s="10" cm="1">
        <f t="array" ref="K14">ABS(pred_GDP_1qa!K18-pred_GDP_1qa!$B18)</f>
        <v>1.298647458806812E-2</v>
      </c>
      <c r="L14" s="10" t="e" cm="1">
        <f t="array" ref="L14">ABS(pred_GDP_1qa!L18-pred_GDP_1qa!$B18)</f>
        <v>#N/A</v>
      </c>
      <c r="M14" s="10" cm="1">
        <f t="array" ref="M14">ABS(pred_GDP_1qa!M18-pred_GDP_1qa!$B18)</f>
        <v>0.20964359812273003</v>
      </c>
      <c r="N14" s="10" cm="1">
        <f t="array" ref="N14">ABS(pred_GDP_1qa!N18-pred_GDP_1qa!$B18)</f>
        <v>0.25581359863281206</v>
      </c>
      <c r="O14" s="10" cm="1">
        <f t="array" ref="O14">ABS(pred_GDP_1qa!O18-pred_GDP_1qa!$B18)</f>
        <v>0.4874186931002229</v>
      </c>
      <c r="P14" s="10" cm="1">
        <f t="array" ref="P14">ABS(pred_GDP_1qa!P18-pred_GDP_1qa!$B18)</f>
        <v>1.0808161068519662</v>
      </c>
      <c r="Q14" s="6"/>
      <c r="R14" s="10" cm="1">
        <f t="array" ref="R14">ABS(pred_GDP_1qa!R18-pred_GDP_1qa!$B18)</f>
        <v>0.14735808707541398</v>
      </c>
      <c r="S14" s="10" cm="1">
        <f t="array" ref="S14">ABS(pred_GDP_1qa!S18-pred_GDP_1qa!$B18)</f>
        <v>3.2989602889949898E-2</v>
      </c>
      <c r="T14" s="10" cm="1">
        <f t="array" ref="T14">ABS(pred_GDP_1qa!T18-pred_GDP_1qa!$B18)</f>
        <v>5.1267865366859899E-2</v>
      </c>
      <c r="U14" s="10" cm="1">
        <f t="array" ref="U14">ABS(pred_GDP_1qa!U18-pred_GDP_1qa!$B18)</f>
        <v>4.6742519110319014E-2</v>
      </c>
      <c r="V14" s="10" cm="1">
        <f t="array" ref="V14">ABS(pred_GDP_1qa!V18-pred_GDP_1qa!$B18)</f>
        <v>2.3804274061469899E-2</v>
      </c>
      <c r="W14" s="10" cm="1">
        <f t="array" ref="W14">ABS(pred_GDP_1qa!W18-pred_GDP_1qa!$B18)</f>
        <v>1.8568774479239991E-2</v>
      </c>
      <c r="X14" s="10" cm="1">
        <f t="array" ref="X14">ABS(pred_GDP_1qa!X18-pred_GDP_1qa!$B18)</f>
        <v>4.3523184248599911E-2</v>
      </c>
      <c r="Y14" s="10" cm="1">
        <f t="array" ref="Y14">ABS(pred_GDP_1qa!Y18-pred_GDP_1qa!$B18)</f>
        <v>1.1397053972850069E-2</v>
      </c>
      <c r="Z14" s="10" cm="1">
        <f t="array" ref="Z14">ABS(pred_GDP_1qa!Z18-pred_GDP_1qa!$B18)</f>
        <v>2.3804274061469899E-2</v>
      </c>
    </row>
    <row r="15" spans="1:26" ht="13.8" customHeight="1" x14ac:dyDescent="0.25">
      <c r="A15" s="15">
        <v>40695</v>
      </c>
      <c r="B15" s="16">
        <v>0.4</v>
      </c>
      <c r="C15" s="21" t="e" cm="1">
        <f t="array" ref="C15">ABS(pred_GDP_1qa!C19-pred_GDP_1qa!$B19)</f>
        <v>#N/A</v>
      </c>
      <c r="D15" s="10" cm="1">
        <f t="array" ref="D15">ABS(pred_GDP_1qa!D19-pred_GDP_1qa!$B19)</f>
        <v>0.13369320072675916</v>
      </c>
      <c r="E15" s="10" cm="1">
        <f t="array" ref="E15">ABS(pred_GDP_1qa!E19-pred_GDP_1qa!$B19)</f>
        <v>0.47704934037660107</v>
      </c>
      <c r="F15" s="10" t="e" cm="1">
        <f t="array" ref="F15">ABS(pred_GDP_1qa!F19-pred_GDP_1qa!$B19)</f>
        <v>#N/A</v>
      </c>
      <c r="G15" s="10" t="e" cm="1">
        <f t="array" ref="G15">ABS(pred_GDP_1qa!G19-pred_GDP_1qa!$B19)</f>
        <v>#N/A</v>
      </c>
      <c r="H15" s="10" t="e" cm="1">
        <f t="array" ref="H15">ABS(pred_GDP_1qa!H19-pred_GDP_1qa!$B19)</f>
        <v>#N/A</v>
      </c>
      <c r="I15" s="10" t="e" cm="1">
        <f t="array" ref="I15">ABS(pred_GDP_1qa!I19-pred_GDP_1qa!$B19)</f>
        <v>#N/A</v>
      </c>
      <c r="J15" s="10" t="e" cm="1">
        <f t="array" ref="J15">ABS(pred_GDP_1qa!J19-pred_GDP_1qa!$B19)</f>
        <v>#N/A</v>
      </c>
      <c r="K15" s="10" cm="1">
        <f t="array" ref="K15">ABS(pred_GDP_1qa!K19-pred_GDP_1qa!$B19)</f>
        <v>0.4688670002583798</v>
      </c>
      <c r="L15" s="10" t="e" cm="1">
        <f t="array" ref="L15">ABS(pred_GDP_1qa!L19-pred_GDP_1qa!$B19)</f>
        <v>#N/A</v>
      </c>
      <c r="M15" s="10" cm="1">
        <f t="array" ref="M15">ABS(pred_GDP_1qa!M19-pred_GDP_1qa!$B19)</f>
        <v>0.85606658438314798</v>
      </c>
      <c r="N15" s="10" cm="1">
        <f t="array" ref="N15">ABS(pred_GDP_1qa!N19-pred_GDP_1qa!$B19)</f>
        <v>1.1216426849365231</v>
      </c>
      <c r="O15" s="10" cm="1">
        <f t="array" ref="O15">ABS(pred_GDP_1qa!O19-pred_GDP_1qa!$B19)</f>
        <v>0.90975906022558228</v>
      </c>
      <c r="P15" s="10" cm="1">
        <f t="array" ref="P15">ABS(pred_GDP_1qa!P19-pred_GDP_1qa!$B19)</f>
        <v>0.10641946835910832</v>
      </c>
      <c r="Q15" s="6"/>
      <c r="R15" s="10" cm="1">
        <f t="array" ref="R15">ABS(pred_GDP_1qa!R19-pred_GDP_1qa!$B19)</f>
        <v>0.32199703125927592</v>
      </c>
      <c r="S15" s="10" cm="1">
        <f t="array" ref="S15">ABS(pred_GDP_1qa!S19-pred_GDP_1qa!$B19)</f>
        <v>0.46886700025837902</v>
      </c>
      <c r="T15" s="10" cm="1">
        <f t="array" ref="T15">ABS(pred_GDP_1qa!T19-pred_GDP_1qa!$B19)</f>
        <v>0.47704934037660096</v>
      </c>
      <c r="U15" s="10" cm="1">
        <f t="array" ref="U15">ABS(pred_GDP_1qa!U19-pred_GDP_1qa!$B19)</f>
        <v>0.46886700025837902</v>
      </c>
      <c r="V15" s="10" cm="1">
        <f t="array" ref="V15">ABS(pred_GDP_1qa!V19-pred_GDP_1qa!$B19)</f>
        <v>0.63091889463700002</v>
      </c>
      <c r="W15" s="10" cm="1">
        <f t="array" ref="W15">ABS(pred_GDP_1qa!W19-pred_GDP_1qa!$B19)</f>
        <v>0.63039121325162994</v>
      </c>
      <c r="X15" s="10" cm="1">
        <f t="array" ref="X15">ABS(pred_GDP_1qa!X19-pred_GDP_1qa!$B19)</f>
        <v>0.54609014571804793</v>
      </c>
      <c r="Y15" s="10" cm="1">
        <f t="array" ref="Y15">ABS(pred_GDP_1qa!Y19-pred_GDP_1qa!$B19)</f>
        <v>0.42823909590258002</v>
      </c>
      <c r="Z15" s="10" cm="1">
        <f t="array" ref="Z15">ABS(pred_GDP_1qa!Z19-pred_GDP_1qa!$B19)</f>
        <v>0.46886700025837902</v>
      </c>
    </row>
    <row r="16" spans="1:26" ht="13.8" customHeight="1" x14ac:dyDescent="0.25">
      <c r="A16" s="15">
        <v>40787</v>
      </c>
      <c r="B16" s="16">
        <v>0.5</v>
      </c>
      <c r="C16" s="21" t="e" cm="1">
        <f t="array" ref="C16">ABS(pred_GDP_1qa!C20-pred_GDP_1qa!$B20)</f>
        <v>#N/A</v>
      </c>
      <c r="D16" s="10" cm="1">
        <f t="array" ref="D16">ABS(pred_GDP_1qa!D20-pred_GDP_1qa!$B20)</f>
        <v>0.53160631930130409</v>
      </c>
      <c r="E16" s="10" cm="1">
        <f t="array" ref="E16">ABS(pred_GDP_1qa!E20-pred_GDP_1qa!$B20)</f>
        <v>0.60923936641622589</v>
      </c>
      <c r="F16" s="10" t="e" cm="1">
        <f t="array" ref="F16">ABS(pred_GDP_1qa!F20-pred_GDP_1qa!$B20)</f>
        <v>#N/A</v>
      </c>
      <c r="G16" s="10" t="e" cm="1">
        <f t="array" ref="G16">ABS(pred_GDP_1qa!G20-pred_GDP_1qa!$B20)</f>
        <v>#N/A</v>
      </c>
      <c r="H16" s="10" t="e" cm="1">
        <f t="array" ref="H16">ABS(pred_GDP_1qa!H20-pred_GDP_1qa!$B20)</f>
        <v>#N/A</v>
      </c>
      <c r="I16" s="10" t="e" cm="1">
        <f t="array" ref="I16">ABS(pred_GDP_1qa!I20-pred_GDP_1qa!$B20)</f>
        <v>#N/A</v>
      </c>
      <c r="J16" s="10" t="e" cm="1">
        <f t="array" ref="J16">ABS(pred_GDP_1qa!J20-pred_GDP_1qa!$B20)</f>
        <v>#N/A</v>
      </c>
      <c r="K16" s="10" cm="1">
        <f t="array" ref="K16">ABS(pred_GDP_1qa!K20-pred_GDP_1qa!$B20)</f>
        <v>0.94048094375427005</v>
      </c>
      <c r="L16" s="10" t="e" cm="1">
        <f t="array" ref="L16">ABS(pred_GDP_1qa!L20-pred_GDP_1qa!$B20)</f>
        <v>#N/A</v>
      </c>
      <c r="M16" s="10" cm="1">
        <f t="array" ref="M16">ABS(pred_GDP_1qa!M20-pred_GDP_1qa!$B20)</f>
        <v>0.60325247922194003</v>
      </c>
      <c r="N16" s="10" cm="1">
        <f t="array" ref="N16">ABS(pred_GDP_1qa!N20-pred_GDP_1qa!$B20)</f>
        <v>0.70572507381439209</v>
      </c>
      <c r="O16" s="10" cm="1">
        <f t="array" ref="O16">ABS(pred_GDP_1qa!O20-pred_GDP_1qa!$B20)</f>
        <v>0.77738336029920463</v>
      </c>
      <c r="P16" s="10" cm="1">
        <f t="array" ref="P16">ABS(pred_GDP_1qa!P20-pred_GDP_1qa!$B20)</f>
        <v>0.87486523745726408</v>
      </c>
      <c r="Q16" s="6"/>
      <c r="R16" s="10" cm="1">
        <f t="array" ref="R16">ABS(pred_GDP_1qa!R20-pred_GDP_1qa!$B20)</f>
        <v>0.49825515138088405</v>
      </c>
      <c r="S16" s="10" cm="1">
        <f t="array" ref="S16">ABS(pred_GDP_1qa!S20-pred_GDP_1qa!$B20)</f>
        <v>0.6092393664162199</v>
      </c>
      <c r="T16" s="10" cm="1">
        <f t="array" ref="T16">ABS(pred_GDP_1qa!T20-pred_GDP_1qa!$B20)</f>
        <v>0.6092393664162199</v>
      </c>
      <c r="U16" s="10" cm="1">
        <f t="array" ref="U16">ABS(pred_GDP_1qa!U20-pred_GDP_1qa!$B20)</f>
        <v>0.60808102265780994</v>
      </c>
      <c r="V16" s="10" cm="1">
        <f t="array" ref="V16">ABS(pred_GDP_1qa!V20-pred_GDP_1qa!$B20)</f>
        <v>0.66274964021738003</v>
      </c>
      <c r="W16" s="10" cm="1">
        <f t="array" ref="W16">ABS(pred_GDP_1qa!W20-pred_GDP_1qa!$B20)</f>
        <v>0.66354576056732006</v>
      </c>
      <c r="X16" s="10" cm="1">
        <f t="array" ref="X16">ABS(pred_GDP_1qa!X20-pred_GDP_1qa!$B20)</f>
        <v>0.56157707033202997</v>
      </c>
      <c r="Y16" s="10" cm="1">
        <f t="array" ref="Y16">ABS(pred_GDP_1qa!Y20-pred_GDP_1qa!$B20)</f>
        <v>0.57778524356910999</v>
      </c>
      <c r="Z16" s="10" cm="1">
        <f t="array" ref="Z16">ABS(pred_GDP_1qa!Z20-pred_GDP_1qa!$B20)</f>
        <v>0.6092393664162199</v>
      </c>
    </row>
    <row r="17" spans="1:26" ht="13.8" customHeight="1" x14ac:dyDescent="0.25">
      <c r="A17" s="15">
        <v>40878</v>
      </c>
      <c r="B17" s="16">
        <v>0.7</v>
      </c>
      <c r="C17" s="21" t="e" cm="1">
        <f t="array" ref="C17">ABS(pred_GDP_1qa!C21-pred_GDP_1qa!$B21)</f>
        <v>#N/A</v>
      </c>
      <c r="D17" s="10" cm="1">
        <f t="array" ref="D17">ABS(pred_GDP_1qa!D21-pred_GDP_1qa!$B21)</f>
        <v>0.64921984684268597</v>
      </c>
      <c r="E17" s="10" cm="1">
        <f t="array" ref="E17">ABS(pred_GDP_1qa!E21-pred_GDP_1qa!$B21)</f>
        <v>0.46828817428444913</v>
      </c>
      <c r="F17" s="10" t="e" cm="1">
        <f t="array" ref="F17">ABS(pred_GDP_1qa!F21-pred_GDP_1qa!$B21)</f>
        <v>#N/A</v>
      </c>
      <c r="G17" s="10" t="e" cm="1">
        <f t="array" ref="G17">ABS(pred_GDP_1qa!G21-pred_GDP_1qa!$B21)</f>
        <v>#N/A</v>
      </c>
      <c r="H17" s="10" t="e" cm="1">
        <f t="array" ref="H17">ABS(pred_GDP_1qa!H21-pred_GDP_1qa!$B21)</f>
        <v>#N/A</v>
      </c>
      <c r="I17" s="10" t="e" cm="1">
        <f t="array" ref="I17">ABS(pred_GDP_1qa!I21-pred_GDP_1qa!$B21)</f>
        <v>#N/A</v>
      </c>
      <c r="J17" s="10" t="e" cm="1">
        <f t="array" ref="J17">ABS(pred_GDP_1qa!J21-pred_GDP_1qa!$B21)</f>
        <v>#N/A</v>
      </c>
      <c r="K17" s="10" cm="1">
        <f t="array" ref="K17">ABS(pred_GDP_1qa!K21-pred_GDP_1qa!$B21)</f>
        <v>0.5593335830293491</v>
      </c>
      <c r="L17" s="10" t="e" cm="1">
        <f t="array" ref="L17">ABS(pred_GDP_1qa!L21-pred_GDP_1qa!$B21)</f>
        <v>#N/A</v>
      </c>
      <c r="M17" s="10" cm="1">
        <f t="array" ref="M17">ABS(pred_GDP_1qa!M21-pred_GDP_1qa!$B21)</f>
        <v>6.2863176460618897E-2</v>
      </c>
      <c r="N17" s="10" cm="1">
        <f t="array" ref="N17">ABS(pred_GDP_1qa!N21-pred_GDP_1qa!$B21)</f>
        <v>0.50529937744140607</v>
      </c>
      <c r="O17" s="10" cm="1">
        <f t="array" ref="O17">ABS(pred_GDP_1qa!O21-pred_GDP_1qa!$B21)</f>
        <v>0.53741400193854549</v>
      </c>
      <c r="P17" s="10" cm="1">
        <f t="array" ref="P17">ABS(pred_GDP_1qa!P21-pred_GDP_1qa!$B21)</f>
        <v>0.16749705880395738</v>
      </c>
      <c r="Q17" s="6"/>
      <c r="R17" s="10" cm="1">
        <f t="array" ref="R17">ABS(pred_GDP_1qa!R21-pred_GDP_1qa!$B21)</f>
        <v>0.26786960213198807</v>
      </c>
      <c r="S17" s="10" cm="1">
        <f t="array" ref="S17">ABS(pred_GDP_1qa!S21-pred_GDP_1qa!$B21)</f>
        <v>0.46828817428444003</v>
      </c>
      <c r="T17" s="10" cm="1">
        <f t="array" ref="T17">ABS(pred_GDP_1qa!T21-pred_GDP_1qa!$B21)</f>
        <v>0.55933358302934</v>
      </c>
      <c r="U17" s="10" cm="1">
        <f t="array" ref="U17">ABS(pred_GDP_1qa!U21-pred_GDP_1qa!$B21)</f>
        <v>0.46828817428444003</v>
      </c>
      <c r="V17" s="10" cm="1">
        <f t="array" ref="V17">ABS(pred_GDP_1qa!V21-pred_GDP_1qa!$B21)</f>
        <v>0.49461281277627012</v>
      </c>
      <c r="W17" s="10" cm="1">
        <f t="array" ref="W17">ABS(pred_GDP_1qa!W21-pred_GDP_1qa!$B21)</f>
        <v>0.48975266231876002</v>
      </c>
      <c r="X17" s="10" cm="1">
        <f t="array" ref="X17">ABS(pred_GDP_1qa!X21-pred_GDP_1qa!$B21)</f>
        <v>0.46236275839980001</v>
      </c>
      <c r="Y17" s="10" cm="1">
        <f t="array" ref="Y17">ABS(pred_GDP_1qa!Y21-pred_GDP_1qa!$B21)</f>
        <v>0.3437914360221701</v>
      </c>
      <c r="Z17" s="10" cm="1">
        <f t="array" ref="Z17">ABS(pred_GDP_1qa!Z21-pred_GDP_1qa!$B21)</f>
        <v>0.46828817428444003</v>
      </c>
    </row>
    <row r="18" spans="1:26" ht="13.8" customHeight="1" x14ac:dyDescent="0.25">
      <c r="A18" s="15">
        <v>40969</v>
      </c>
      <c r="B18" s="16">
        <v>1</v>
      </c>
      <c r="C18" s="21" t="e" cm="1">
        <f t="array" ref="C18">ABS(pred_GDP_1qa!C22-pred_GDP_1qa!$B22)</f>
        <v>#N/A</v>
      </c>
      <c r="D18" s="10" cm="1">
        <f t="array" ref="D18">ABS(pred_GDP_1qa!D22-pred_GDP_1qa!$B22)</f>
        <v>0.31244568373940496</v>
      </c>
      <c r="E18" s="10" cm="1">
        <f t="array" ref="E18">ABS(pred_GDP_1qa!E22-pred_GDP_1qa!$B22)</f>
        <v>0.27709427383191398</v>
      </c>
      <c r="F18" s="10" t="e" cm="1">
        <f t="array" ref="F18">ABS(pred_GDP_1qa!F22-pred_GDP_1qa!$B22)</f>
        <v>#N/A</v>
      </c>
      <c r="G18" s="10" t="e" cm="1">
        <f t="array" ref="G18">ABS(pred_GDP_1qa!G22-pred_GDP_1qa!$B22)</f>
        <v>#N/A</v>
      </c>
      <c r="H18" s="10" t="e" cm="1">
        <f t="array" ref="H18">ABS(pred_GDP_1qa!H22-pred_GDP_1qa!$B22)</f>
        <v>#N/A</v>
      </c>
      <c r="I18" s="10" t="e" cm="1">
        <f t="array" ref="I18">ABS(pred_GDP_1qa!I22-pred_GDP_1qa!$B22)</f>
        <v>#N/A</v>
      </c>
      <c r="J18" s="10" t="e" cm="1">
        <f t="array" ref="J18">ABS(pred_GDP_1qa!J22-pred_GDP_1qa!$B22)</f>
        <v>#N/A</v>
      </c>
      <c r="K18" s="10" cm="1">
        <f t="array" ref="K18">ABS(pred_GDP_1qa!K22-pred_GDP_1qa!$B22)</f>
        <v>0.16838732181567551</v>
      </c>
      <c r="L18" s="10" t="e" cm="1">
        <f t="array" ref="L18">ABS(pred_GDP_1qa!L22-pred_GDP_1qa!$B22)</f>
        <v>#N/A</v>
      </c>
      <c r="M18" s="10" cm="1">
        <f t="array" ref="M18">ABS(pred_GDP_1qa!M22-pred_GDP_1qa!$B22)</f>
        <v>0.11987208422692675</v>
      </c>
      <c r="N18" s="10" cm="1">
        <f t="array" ref="N18">ABS(pred_GDP_1qa!N22-pred_GDP_1qa!$B22)</f>
        <v>0.11695879697799683</v>
      </c>
      <c r="O18" s="10" cm="1">
        <f t="array" ref="O18">ABS(pred_GDP_1qa!O22-pred_GDP_1qa!$B22)</f>
        <v>0.84154673258385049</v>
      </c>
      <c r="P18" s="10" cm="1">
        <f t="array" ref="P18">ABS(pred_GDP_1qa!P22-pred_GDP_1qa!$B22)</f>
        <v>0.48282216401334088</v>
      </c>
      <c r="Q18" s="6"/>
      <c r="R18" s="10" cm="1">
        <f t="array" ref="R18">ABS(pred_GDP_1qa!R22-pred_GDP_1qa!$B22)</f>
        <v>0.16286387743521102</v>
      </c>
      <c r="S18" s="10" cm="1">
        <f t="array" ref="S18">ABS(pred_GDP_1qa!S22-pred_GDP_1qa!$B22)</f>
        <v>0.11987208422692697</v>
      </c>
      <c r="T18" s="10" cm="1">
        <f t="array" ref="T18">ABS(pred_GDP_1qa!T22-pred_GDP_1qa!$B22)</f>
        <v>0.27709427383190999</v>
      </c>
      <c r="U18" s="10" cm="1">
        <f t="array" ref="U18">ABS(pred_GDP_1qa!U22-pred_GDP_1qa!$B22)</f>
        <v>0.11987208422692697</v>
      </c>
      <c r="V18" s="10" cm="1">
        <f t="array" ref="V18">ABS(pred_GDP_1qa!V22-pred_GDP_1qa!$B22)</f>
        <v>0.27639850799324006</v>
      </c>
      <c r="W18" s="10" cm="1">
        <f t="array" ref="W18">ABS(pred_GDP_1qa!W22-pred_GDP_1qa!$B22)</f>
        <v>0.26942351748717996</v>
      </c>
      <c r="X18" s="10" cm="1">
        <f t="array" ref="X18">ABS(pred_GDP_1qa!X22-pred_GDP_1qa!$B22)</f>
        <v>3.248713269633996E-2</v>
      </c>
      <c r="Y18" s="10" cm="1">
        <f t="array" ref="Y18">ABS(pred_GDP_1qa!Y22-pred_GDP_1qa!$B22)</f>
        <v>0.12232677923408797</v>
      </c>
      <c r="Z18" s="10" cm="1">
        <f t="array" ref="Z18">ABS(pred_GDP_1qa!Z22-pred_GDP_1qa!$B22)</f>
        <v>0.11987208422692697</v>
      </c>
    </row>
    <row r="19" spans="1:26" ht="13.8" customHeight="1" x14ac:dyDescent="0.25">
      <c r="A19" s="15">
        <v>41061</v>
      </c>
      <c r="B19" s="16">
        <v>0.4</v>
      </c>
      <c r="C19" s="21" t="e" cm="1">
        <f t="array" ref="C19">ABS(pred_GDP_1qa!C23-pred_GDP_1qa!$B23)</f>
        <v>#N/A</v>
      </c>
      <c r="D19" s="10" cm="1">
        <f t="array" ref="D19">ABS(pred_GDP_1qa!D23-pred_GDP_1qa!$B23)</f>
        <v>0.98494129331547808</v>
      </c>
      <c r="E19" s="10" cm="1">
        <f t="array" ref="E19">ABS(pred_GDP_1qa!E23-pred_GDP_1qa!$B23)</f>
        <v>0.95912628205385697</v>
      </c>
      <c r="F19" s="10" t="e" cm="1">
        <f t="array" ref="F19">ABS(pred_GDP_1qa!F23-pred_GDP_1qa!$B23)</f>
        <v>#N/A</v>
      </c>
      <c r="G19" s="10" t="e" cm="1">
        <f t="array" ref="G19">ABS(pred_GDP_1qa!G23-pred_GDP_1qa!$B23)</f>
        <v>#N/A</v>
      </c>
      <c r="H19" s="10" t="e" cm="1">
        <f t="array" ref="H19">ABS(pred_GDP_1qa!H23-pred_GDP_1qa!$B23)</f>
        <v>#N/A</v>
      </c>
      <c r="I19" s="10" t="e" cm="1">
        <f t="array" ref="I19">ABS(pred_GDP_1qa!I23-pred_GDP_1qa!$B23)</f>
        <v>#N/A</v>
      </c>
      <c r="J19" s="10" t="e" cm="1">
        <f t="array" ref="J19">ABS(pred_GDP_1qa!J23-pred_GDP_1qa!$B23)</f>
        <v>#N/A</v>
      </c>
      <c r="K19" s="10" cm="1">
        <f t="array" ref="K19">ABS(pred_GDP_1qa!K23-pred_GDP_1qa!$B23)</f>
        <v>0.91898869735215405</v>
      </c>
      <c r="L19" s="10" t="e" cm="1">
        <f t="array" ref="L19">ABS(pred_GDP_1qa!L23-pred_GDP_1qa!$B23)</f>
        <v>#N/A</v>
      </c>
      <c r="M19" s="10" cm="1">
        <f t="array" ref="M19">ABS(pred_GDP_1qa!M23-pred_GDP_1qa!$B23)</f>
        <v>0.6321335924751289</v>
      </c>
      <c r="N19" s="10" cm="1">
        <f t="array" ref="N19">ABS(pred_GDP_1qa!N23-pred_GDP_1qa!$B23)</f>
        <v>0.22495523691177366</v>
      </c>
      <c r="O19" s="10" cm="1">
        <f t="array" ref="O19">ABS(pred_GDP_1qa!O23-pred_GDP_1qa!$B23)</f>
        <v>0.25500969058725509</v>
      </c>
      <c r="P19" s="10" cm="1">
        <f t="array" ref="P19">ABS(pred_GDP_1qa!P23-pred_GDP_1qa!$B23)</f>
        <v>0.28443225439421493</v>
      </c>
      <c r="Q19" s="6"/>
      <c r="R19" s="10" cm="1">
        <f t="array" ref="R19">ABS(pred_GDP_1qa!R23-pred_GDP_1qa!$B23)</f>
        <v>0.45438616530384601</v>
      </c>
      <c r="S19" s="10" cm="1">
        <f t="array" ref="S19">ABS(pred_GDP_1qa!S23-pred_GDP_1qa!$B23)</f>
        <v>0.63213359247512002</v>
      </c>
      <c r="T19" s="10" cm="1">
        <f t="array" ref="T19">ABS(pred_GDP_1qa!T23-pred_GDP_1qa!$B23)</f>
        <v>0.63213359247512002</v>
      </c>
      <c r="U19" s="10" cm="1">
        <f t="array" ref="U19">ABS(pred_GDP_1qa!U23-pred_GDP_1qa!$B23)</f>
        <v>0.63213359247512002</v>
      </c>
      <c r="V19" s="10" cm="1">
        <f t="array" ref="V19">ABS(pred_GDP_1qa!V23-pred_GDP_1qa!$B23)</f>
        <v>0.76423380608745994</v>
      </c>
      <c r="W19" s="10" cm="1">
        <f t="array" ref="W19">ABS(pred_GDP_1qa!W23-pred_GDP_1qa!$B23)</f>
        <v>0.75440042936978002</v>
      </c>
      <c r="X19" s="10" cm="1">
        <f t="array" ref="X19">ABS(pred_GDP_1qa!X23-pred_GDP_1qa!$B23)</f>
        <v>0.55360975756303599</v>
      </c>
      <c r="Y19" s="10" cm="1">
        <f t="array" ref="Y19">ABS(pred_GDP_1qa!Y23-pred_GDP_1qa!$B23)</f>
        <v>0.494343339706666</v>
      </c>
      <c r="Z19" s="10" cm="1">
        <f t="array" ref="Z19">ABS(pred_GDP_1qa!Z23-pred_GDP_1qa!$B23)</f>
        <v>0.63213359247512002</v>
      </c>
    </row>
    <row r="20" spans="1:26" ht="13.8" customHeight="1" x14ac:dyDescent="0.25">
      <c r="A20" s="15">
        <v>41153</v>
      </c>
      <c r="B20" s="16">
        <v>0.4</v>
      </c>
      <c r="C20" s="21" t="e" cm="1">
        <f t="array" ref="C20">ABS(pred_GDP_1qa!C24-pred_GDP_1qa!$B24)</f>
        <v>#N/A</v>
      </c>
      <c r="D20" s="10" cm="1">
        <f t="array" ref="D20">ABS(pred_GDP_1qa!D24-pred_GDP_1qa!$B24)</f>
        <v>0.76631539603844201</v>
      </c>
      <c r="E20" s="10" cm="1">
        <f t="array" ref="E20">ABS(pred_GDP_1qa!E24-pred_GDP_1qa!$B24)</f>
        <v>0.94252929997007395</v>
      </c>
      <c r="F20" s="10" t="e" cm="1">
        <f t="array" ref="F20">ABS(pred_GDP_1qa!F24-pred_GDP_1qa!$B24)</f>
        <v>#N/A</v>
      </c>
      <c r="G20" s="10" t="e" cm="1">
        <f t="array" ref="G20">ABS(pred_GDP_1qa!G24-pred_GDP_1qa!$B24)</f>
        <v>#N/A</v>
      </c>
      <c r="H20" s="10" t="e" cm="1">
        <f t="array" ref="H20">ABS(pred_GDP_1qa!H24-pred_GDP_1qa!$B24)</f>
        <v>#N/A</v>
      </c>
      <c r="I20" s="10" t="e" cm="1">
        <f t="array" ref="I20">ABS(pred_GDP_1qa!I24-pred_GDP_1qa!$B24)</f>
        <v>#N/A</v>
      </c>
      <c r="J20" s="10" t="e" cm="1">
        <f t="array" ref="J20">ABS(pred_GDP_1qa!J24-pred_GDP_1qa!$B24)</f>
        <v>#N/A</v>
      </c>
      <c r="K20" s="10" cm="1">
        <f t="array" ref="K20">ABS(pred_GDP_1qa!K24-pred_GDP_1qa!$B24)</f>
        <v>1.137879952725394</v>
      </c>
      <c r="L20" s="10" t="e" cm="1">
        <f t="array" ref="L20">ABS(pred_GDP_1qa!L24-pred_GDP_1qa!$B24)</f>
        <v>#N/A</v>
      </c>
      <c r="M20" s="10" cm="1">
        <f t="array" ref="M20">ABS(pred_GDP_1qa!M24-pred_GDP_1qa!$B24)</f>
        <v>8.7493148510454755E-2</v>
      </c>
      <c r="N20" s="10" cm="1">
        <f t="array" ref="N20">ABS(pred_GDP_1qa!N24-pred_GDP_1qa!$B24)</f>
        <v>0.24289474487304685</v>
      </c>
      <c r="O20" s="10" cm="1">
        <f t="array" ref="O20">ABS(pred_GDP_1qa!O24-pred_GDP_1qa!$B24)</f>
        <v>5.151724526943513E-2</v>
      </c>
      <c r="P20" s="10" cm="1">
        <f t="array" ref="P20">ABS(pred_GDP_1qa!P24-pred_GDP_1qa!$B24)</f>
        <v>0.15062351874097071</v>
      </c>
      <c r="Q20" s="6"/>
      <c r="R20" s="10" cm="1">
        <f t="array" ref="R20">ABS(pred_GDP_1qa!R24-pred_GDP_1qa!$B24)</f>
        <v>0.42499596830099995</v>
      </c>
      <c r="S20" s="10" cm="1">
        <f t="array" ref="S20">ABS(pred_GDP_1qa!S24-pred_GDP_1qa!$B24)</f>
        <v>0.24289474487304596</v>
      </c>
      <c r="T20" s="10" cm="1">
        <f t="array" ref="T20">ABS(pred_GDP_1qa!T24-pred_GDP_1qa!$B24)</f>
        <v>8.7493148510453977E-2</v>
      </c>
      <c r="U20" s="10" cm="1">
        <f t="array" ref="U20">ABS(pred_GDP_1qa!U24-pred_GDP_1qa!$B24)</f>
        <v>0.24289474487304596</v>
      </c>
      <c r="V20" s="10" cm="1">
        <f t="array" ref="V20">ABS(pred_GDP_1qa!V24-pred_GDP_1qa!$B24)</f>
        <v>0.14253829140941299</v>
      </c>
      <c r="W20" s="10" cm="1">
        <f t="array" ref="W20">ABS(pred_GDP_1qa!W24-pred_GDP_1qa!$B24)</f>
        <v>0.15113774443552497</v>
      </c>
      <c r="X20" s="10" cm="1">
        <f t="array" ref="X20">ABS(pred_GDP_1qa!X24-pred_GDP_1qa!$B24)</f>
        <v>0.31992774808364399</v>
      </c>
      <c r="Y20" s="10" cm="1">
        <f t="array" ref="Y20">ABS(pred_GDP_1qa!Y24-pred_GDP_1qa!$B24)</f>
        <v>0.38783476054966393</v>
      </c>
      <c r="Z20" s="10" cm="1">
        <f t="array" ref="Z20">ABS(pred_GDP_1qa!Z24-pred_GDP_1qa!$B24)</f>
        <v>0.24289474487304596</v>
      </c>
    </row>
    <row r="21" spans="1:26" ht="13.8" customHeight="1" x14ac:dyDescent="0.25">
      <c r="A21" s="15">
        <v>41244</v>
      </c>
      <c r="B21" s="16">
        <v>0.7</v>
      </c>
      <c r="C21" s="21" t="e" cm="1">
        <f t="array" ref="C21">ABS(pred_GDP_1qa!C25-pred_GDP_1qa!$B25)</f>
        <v>#N/A</v>
      </c>
      <c r="D21" s="10" cm="1">
        <f t="array" ref="D21">ABS(pred_GDP_1qa!D25-pred_GDP_1qa!$B25)</f>
        <v>0.96398991178642301</v>
      </c>
      <c r="E21" s="10" cm="1">
        <f t="array" ref="E21">ABS(pred_GDP_1qa!E25-pred_GDP_1qa!$B25)</f>
        <v>0.8531277106640931</v>
      </c>
      <c r="F21" s="10" t="e" cm="1">
        <f t="array" ref="F21">ABS(pred_GDP_1qa!F25-pred_GDP_1qa!$B25)</f>
        <v>#N/A</v>
      </c>
      <c r="G21" s="10" t="e" cm="1">
        <f t="array" ref="G21">ABS(pred_GDP_1qa!G25-pred_GDP_1qa!$B25)</f>
        <v>#N/A</v>
      </c>
      <c r="H21" s="10" t="e" cm="1">
        <f t="array" ref="H21">ABS(pred_GDP_1qa!H25-pred_GDP_1qa!$B25)</f>
        <v>#N/A</v>
      </c>
      <c r="I21" s="10" t="e" cm="1">
        <f t="array" ref="I21">ABS(pred_GDP_1qa!I25-pred_GDP_1qa!$B25)</f>
        <v>#N/A</v>
      </c>
      <c r="J21" s="10" t="e" cm="1">
        <f t="array" ref="J21">ABS(pred_GDP_1qa!J25-pred_GDP_1qa!$B25)</f>
        <v>#N/A</v>
      </c>
      <c r="K21" s="10" cm="1">
        <f t="array" ref="K21">ABS(pred_GDP_1qa!K25-pred_GDP_1qa!$B25)</f>
        <v>0.28335660997025802</v>
      </c>
      <c r="L21" s="10" t="e" cm="1">
        <f t="array" ref="L21">ABS(pred_GDP_1qa!L25-pred_GDP_1qa!$B25)</f>
        <v>#N/A</v>
      </c>
      <c r="M21" s="10" cm="1">
        <f t="array" ref="M21">ABS(pred_GDP_1qa!M25-pred_GDP_1qa!$B25)</f>
        <v>0.15408976588575807</v>
      </c>
      <c r="N21" s="10" cm="1">
        <f t="array" ref="N21">ABS(pred_GDP_1qa!N25-pred_GDP_1qa!$B25)</f>
        <v>5.5465352535247758E-2</v>
      </c>
      <c r="O21" s="10" cm="1">
        <f t="array" ref="O21">ABS(pred_GDP_1qa!O25-pred_GDP_1qa!$B25)</f>
        <v>0.64500642220388449</v>
      </c>
      <c r="P21" s="10" cm="1">
        <f t="array" ref="P21">ABS(pred_GDP_1qa!P25-pred_GDP_1qa!$B25)</f>
        <v>0.23734173727589003</v>
      </c>
      <c r="Q21" s="6"/>
      <c r="R21" s="10" cm="1">
        <f t="array" ref="R21">ABS(pred_GDP_1qa!R25-pred_GDP_1qa!$B25)</f>
        <v>0.18810721232735805</v>
      </c>
      <c r="S21" s="10" cm="1">
        <f t="array" ref="S21">ABS(pred_GDP_1qa!S25-pred_GDP_1qa!$B25)</f>
        <v>0.15408976588575807</v>
      </c>
      <c r="T21" s="10" cm="1">
        <f t="array" ref="T21">ABS(pred_GDP_1qa!T25-pred_GDP_1qa!$B25)</f>
        <v>5.546535253524798E-2</v>
      </c>
      <c r="U21" s="10" cm="1">
        <f t="array" ref="U21">ABS(pred_GDP_1qa!U25-pred_GDP_1qa!$B25)</f>
        <v>0.16453944255920405</v>
      </c>
      <c r="V21" s="10" cm="1">
        <f t="array" ref="V21">ABS(pred_GDP_1qa!V25-pred_GDP_1qa!$B25)</f>
        <v>8.0913639657354985E-2</v>
      </c>
      <c r="W21" s="10" cm="1">
        <f t="array" ref="W21">ABS(pred_GDP_1qa!W25-pred_GDP_1qa!$B25)</f>
        <v>8.0574582343094003E-2</v>
      </c>
      <c r="X21" s="10" cm="1">
        <f t="array" ref="X21">ABS(pred_GDP_1qa!X25-pred_GDP_1qa!$B25)</f>
        <v>5.6835492380509223E-3</v>
      </c>
      <c r="Y21" s="10" cm="1">
        <f t="array" ref="Y21">ABS(pred_GDP_1qa!Y25-pred_GDP_1qa!$B25)</f>
        <v>0.11652651204275499</v>
      </c>
      <c r="Z21" s="10" cm="1">
        <f t="array" ref="Z21">ABS(pred_GDP_1qa!Z25-pred_GDP_1qa!$B25)</f>
        <v>0.11652651204275499</v>
      </c>
    </row>
    <row r="22" spans="1:26" ht="13.8" customHeight="1" x14ac:dyDescent="0.25">
      <c r="A22" s="15">
        <v>41334</v>
      </c>
      <c r="B22" s="16">
        <v>0.8</v>
      </c>
      <c r="C22" s="21" t="e" cm="1">
        <f t="array" ref="C22">ABS(pred_GDP_1qa!C26-pred_GDP_1qa!$B26)</f>
        <v>#N/A</v>
      </c>
      <c r="D22" s="10" cm="1">
        <f t="array" ref="D22">ABS(pred_GDP_1qa!D26-pred_GDP_1qa!$B26)</f>
        <v>0.45047584599276003</v>
      </c>
      <c r="E22" s="10" cm="1">
        <f t="array" ref="E22">ABS(pred_GDP_1qa!E26-pred_GDP_1qa!$B26)</f>
        <v>0.57032371060339404</v>
      </c>
      <c r="F22" s="10" t="e" cm="1">
        <f t="array" ref="F22">ABS(pred_GDP_1qa!F26-pred_GDP_1qa!$B26)</f>
        <v>#N/A</v>
      </c>
      <c r="G22" s="10" t="e" cm="1">
        <f t="array" ref="G22">ABS(pred_GDP_1qa!G26-pred_GDP_1qa!$B26)</f>
        <v>#N/A</v>
      </c>
      <c r="H22" s="10" t="e" cm="1">
        <f t="array" ref="H22">ABS(pred_GDP_1qa!H26-pred_GDP_1qa!$B26)</f>
        <v>#N/A</v>
      </c>
      <c r="I22" s="10" t="e" cm="1">
        <f t="array" ref="I22">ABS(pred_GDP_1qa!I26-pred_GDP_1qa!$B26)</f>
        <v>#N/A</v>
      </c>
      <c r="J22" s="10" t="e" cm="1">
        <f t="array" ref="J22">ABS(pred_GDP_1qa!J26-pred_GDP_1qa!$B26)</f>
        <v>#N/A</v>
      </c>
      <c r="K22" s="10" cm="1">
        <f t="array" ref="K22">ABS(pred_GDP_1qa!K26-pred_GDP_1qa!$B26)</f>
        <v>0.28932635679538099</v>
      </c>
      <c r="L22" s="10" t="e" cm="1">
        <f t="array" ref="L22">ABS(pred_GDP_1qa!L26-pred_GDP_1qa!$B26)</f>
        <v>#N/A</v>
      </c>
      <c r="M22" s="10" cm="1">
        <f t="array" ref="M22">ABS(pred_GDP_1qa!M26-pred_GDP_1qa!$B26)</f>
        <v>0.17098024719339489</v>
      </c>
      <c r="N22" s="10" cm="1">
        <f t="array" ref="N22">ABS(pred_GDP_1qa!N26-pred_GDP_1qa!$B26)</f>
        <v>0.42908926010131787</v>
      </c>
      <c r="O22" s="10" cm="1">
        <f t="array" ref="O22">ABS(pred_GDP_1qa!O26-pred_GDP_1qa!$B26)</f>
        <v>1.0158896077958892</v>
      </c>
      <c r="P22" s="10" cm="1">
        <f t="array" ref="P22">ABS(pred_GDP_1qa!P26-pred_GDP_1qa!$B26)</f>
        <v>0.39040527580137863</v>
      </c>
      <c r="Q22" s="6"/>
      <c r="R22" s="10" cm="1">
        <f t="array" ref="R22">ABS(pred_GDP_1qa!R26-pred_GDP_1qa!$B26)</f>
        <v>1.0678882357398001E-2</v>
      </c>
      <c r="S22" s="10" cm="1">
        <f t="array" ref="S22">ABS(pred_GDP_1qa!S26-pred_GDP_1qa!$B26)</f>
        <v>0.170980247193394</v>
      </c>
      <c r="T22" s="10" cm="1">
        <f t="array" ref="T22">ABS(pred_GDP_1qa!T26-pred_GDP_1qa!$B26)</f>
        <v>0.170980247193394</v>
      </c>
      <c r="U22" s="10" cm="1">
        <f t="array" ref="U22">ABS(pred_GDP_1qa!U26-pred_GDP_1qa!$B26)</f>
        <v>0.13017502361807398</v>
      </c>
      <c r="V22" s="10" cm="1">
        <f t="array" ref="V22">ABS(pred_GDP_1qa!V26-pred_GDP_1qa!$B26)</f>
        <v>4.7366661094060958E-2</v>
      </c>
      <c r="W22" s="10" cm="1">
        <f t="array" ref="W22">ABS(pred_GDP_1qa!W26-pred_GDP_1qa!$B26)</f>
        <v>3.9597103207372975E-2</v>
      </c>
      <c r="X22" s="10" cm="1">
        <f t="array" ref="X22">ABS(pred_GDP_1qa!X26-pred_GDP_1qa!$B26)</f>
        <v>0.148943828942671</v>
      </c>
      <c r="Y22" s="10" cm="1">
        <f t="array" ref="Y22">ABS(pred_GDP_1qa!Y26-pred_GDP_1qa!$B26)</f>
        <v>3.3418944941789097E-2</v>
      </c>
      <c r="Z22" s="10" cm="1">
        <f t="array" ref="Z22">ABS(pred_GDP_1qa!Z26-pred_GDP_1qa!$B26)</f>
        <v>0.13017502361807398</v>
      </c>
    </row>
    <row r="23" spans="1:26" ht="13.8" customHeight="1" x14ac:dyDescent="0.25">
      <c r="A23" s="15">
        <v>41426</v>
      </c>
      <c r="B23" s="16">
        <v>1.1000000000000001</v>
      </c>
      <c r="C23" s="21" t="e" cm="1">
        <f t="array" ref="C23">ABS(pred_GDP_1qa!C27-pred_GDP_1qa!$B27)</f>
        <v>#N/A</v>
      </c>
      <c r="D23" s="10" cm="1">
        <f t="array" ref="D23">ABS(pred_GDP_1qa!D27-pred_GDP_1qa!$B27)</f>
        <v>0.26077880262559328</v>
      </c>
      <c r="E23" s="10" cm="1">
        <f t="array" ref="E23">ABS(pred_GDP_1qa!E27-pred_GDP_1qa!$B27)</f>
        <v>0.26603163913058281</v>
      </c>
      <c r="F23" s="10" t="e" cm="1">
        <f t="array" ref="F23">ABS(pred_GDP_1qa!F27-pred_GDP_1qa!$B27)</f>
        <v>#N/A</v>
      </c>
      <c r="G23" s="10" t="e" cm="1">
        <f t="array" ref="G23">ABS(pred_GDP_1qa!G27-pred_GDP_1qa!$B27)</f>
        <v>#N/A</v>
      </c>
      <c r="H23" s="10" t="e" cm="1">
        <f t="array" ref="H23">ABS(pred_GDP_1qa!H27-pred_GDP_1qa!$B27)</f>
        <v>#N/A</v>
      </c>
      <c r="I23" s="10" t="e" cm="1">
        <f t="array" ref="I23">ABS(pred_GDP_1qa!I27-pred_GDP_1qa!$B27)</f>
        <v>#N/A</v>
      </c>
      <c r="J23" s="10" t="e" cm="1">
        <f t="array" ref="J23">ABS(pred_GDP_1qa!J27-pred_GDP_1qa!$B27)</f>
        <v>#N/A</v>
      </c>
      <c r="K23" s="10" cm="1">
        <f t="array" ref="K23">ABS(pred_GDP_1qa!K27-pred_GDP_1qa!$B27)</f>
        <v>1.9789493497248012E-2</v>
      </c>
      <c r="L23" s="10" t="e" cm="1">
        <f t="array" ref="L23">ABS(pred_GDP_1qa!L27-pred_GDP_1qa!$B27)</f>
        <v>#N/A</v>
      </c>
      <c r="M23" s="10" cm="1">
        <f t="array" ref="M23">ABS(pred_GDP_1qa!M27-pred_GDP_1qa!$B27)</f>
        <v>0.38451063022046139</v>
      </c>
      <c r="N23" s="10" cm="1">
        <f t="array" ref="N23">ABS(pred_GDP_1qa!N27-pred_GDP_1qa!$B27)</f>
        <v>5.4994368553161976E-2</v>
      </c>
      <c r="O23" s="10" cm="1">
        <f t="array" ref="O23">ABS(pred_GDP_1qa!O27-pred_GDP_1qa!$B27)</f>
        <v>1.0769749536021571</v>
      </c>
      <c r="P23" s="10" cm="1">
        <f t="array" ref="P23">ABS(pred_GDP_1qa!P27-pred_GDP_1qa!$B27)</f>
        <v>0.50538678463478925</v>
      </c>
      <c r="Q23" s="6"/>
      <c r="R23" s="10" cm="1">
        <f t="array" ref="R23">ABS(pred_GDP_1qa!R27-pred_GDP_1qa!$B27)</f>
        <v>0.27520209384235805</v>
      </c>
      <c r="S23" s="10" cm="1">
        <f t="array" ref="S23">ABS(pred_GDP_1qa!S27-pred_GDP_1qa!$B27)</f>
        <v>0.26077880262559405</v>
      </c>
      <c r="T23" s="10" cm="1">
        <f t="array" ref="T23">ABS(pred_GDP_1qa!T27-pred_GDP_1qa!$B27)</f>
        <v>0.38451063022046206</v>
      </c>
      <c r="U23" s="10" cm="1">
        <f t="array" ref="U23">ABS(pred_GDP_1qa!U27-pred_GDP_1qa!$B27)</f>
        <v>0.27172408785418412</v>
      </c>
      <c r="V23" s="10" cm="1">
        <f t="array" ref="V23">ABS(pred_GDP_1qa!V27-pred_GDP_1qa!$B27)</f>
        <v>0.30223830621286407</v>
      </c>
      <c r="W23" s="10" cm="1">
        <f t="array" ref="W23">ABS(pred_GDP_1qa!W27-pred_GDP_1qa!$B27)</f>
        <v>0.30484017461245305</v>
      </c>
      <c r="X23" s="10" cm="1">
        <f t="array" ref="X23">ABS(pred_GDP_1qa!X27-pred_GDP_1qa!$B27)</f>
        <v>0.28330051255148414</v>
      </c>
      <c r="Y23" s="10" cm="1">
        <f t="array" ref="Y23">ABS(pred_GDP_1qa!Y27-pred_GDP_1qa!$B27)</f>
        <v>0.30264792006148511</v>
      </c>
      <c r="Z23" s="10" cm="1">
        <f t="array" ref="Z23">ABS(pred_GDP_1qa!Z27-pred_GDP_1qa!$B27)</f>
        <v>0.28330051255148414</v>
      </c>
    </row>
    <row r="24" spans="1:26" ht="13.8" customHeight="1" x14ac:dyDescent="0.25">
      <c r="A24" s="15">
        <v>41518</v>
      </c>
      <c r="B24" s="16">
        <v>1</v>
      </c>
      <c r="C24" s="21" t="e" cm="1">
        <f t="array" ref="C24">ABS(pred_GDP_1qa!C28-pred_GDP_1qa!$B28)</f>
        <v>#N/A</v>
      </c>
      <c r="D24" s="10" cm="1">
        <f t="array" ref="D24">ABS(pred_GDP_1qa!D28-pred_GDP_1qa!$B28)</f>
        <v>0.33440777039144409</v>
      </c>
      <c r="E24" s="10" cm="1">
        <f t="array" ref="E24">ABS(pred_GDP_1qa!E28-pred_GDP_1qa!$B28)</f>
        <v>0.53539860909592796</v>
      </c>
      <c r="F24" s="10" t="e" cm="1">
        <f t="array" ref="F24">ABS(pred_GDP_1qa!F28-pred_GDP_1qa!$B28)</f>
        <v>#N/A</v>
      </c>
      <c r="G24" s="10" t="e" cm="1">
        <f t="array" ref="G24">ABS(pred_GDP_1qa!G28-pred_GDP_1qa!$B28)</f>
        <v>#N/A</v>
      </c>
      <c r="H24" s="10" t="e" cm="1">
        <f t="array" ref="H24">ABS(pred_GDP_1qa!H28-pred_GDP_1qa!$B28)</f>
        <v>#N/A</v>
      </c>
      <c r="I24" s="10" t="e" cm="1">
        <f t="array" ref="I24">ABS(pred_GDP_1qa!I28-pred_GDP_1qa!$B28)</f>
        <v>#N/A</v>
      </c>
      <c r="J24" s="10" t="e" cm="1">
        <f t="array" ref="J24">ABS(pred_GDP_1qa!J28-pred_GDP_1qa!$B28)</f>
        <v>#N/A</v>
      </c>
      <c r="K24" s="10" cm="1">
        <f t="array" ref="K24">ABS(pred_GDP_1qa!K28-pred_GDP_1qa!$B28)</f>
        <v>1.8201539400308775E-2</v>
      </c>
      <c r="L24" s="10" t="e" cm="1">
        <f t="array" ref="L24">ABS(pred_GDP_1qa!L28-pred_GDP_1qa!$B28)</f>
        <v>#N/A</v>
      </c>
      <c r="M24" s="10" cm="1">
        <f t="array" ref="M24">ABS(pred_GDP_1qa!M28-pred_GDP_1qa!$B28)</f>
        <v>8.6915730328307794E-2</v>
      </c>
      <c r="N24" s="10" cm="1">
        <f t="array" ref="N24">ABS(pred_GDP_1qa!N28-pred_GDP_1qa!$B28)</f>
        <v>0.20816814899444602</v>
      </c>
      <c r="O24" s="10" cm="1">
        <f t="array" ref="O24">ABS(pred_GDP_1qa!O28-pred_GDP_1qa!$B28)</f>
        <v>0.89591085581952767</v>
      </c>
      <c r="P24" s="10" cm="1">
        <f t="array" ref="P24">ABS(pred_GDP_1qa!P28-pred_GDP_1qa!$B28)</f>
        <v>0.50397717628269212</v>
      </c>
      <c r="Q24" s="6"/>
      <c r="R24" s="10" cm="1">
        <f t="array" ref="R24">ABS(pred_GDP_1qa!R28-pred_GDP_1qa!$B28)</f>
        <v>6.1004396192717025E-2</v>
      </c>
      <c r="S24" s="10" cm="1">
        <f t="array" ref="S24">ABS(pred_GDP_1qa!S28-pred_GDP_1qa!$B28)</f>
        <v>1.8201539400308997E-2</v>
      </c>
      <c r="T24" s="10" cm="1">
        <f t="array" ref="T24">ABS(pred_GDP_1qa!T28-pred_GDP_1qa!$B28)</f>
        <v>8.6915730328308016E-2</v>
      </c>
      <c r="U24" s="10" cm="1">
        <f t="array" ref="U24">ABS(pred_GDP_1qa!U28-pred_GDP_1qa!$B28)</f>
        <v>3.5082684437351963E-2</v>
      </c>
      <c r="V24" s="10" cm="1">
        <f t="array" ref="V24">ABS(pred_GDP_1qa!V28-pred_GDP_1qa!$B28)</f>
        <v>6.0101358337516952E-2</v>
      </c>
      <c r="W24" s="10" cm="1">
        <f t="array" ref="W24">ABS(pred_GDP_1qa!W28-pred_GDP_1qa!$B28)</f>
        <v>6.1063673252192974E-2</v>
      </c>
      <c r="X24" s="10" cm="1">
        <f t="array" ref="X24">ABS(pred_GDP_1qa!X28-pred_GDP_1qa!$B28)</f>
        <v>3.9981888718571001E-2</v>
      </c>
      <c r="Y24" s="10" cm="1">
        <f t="array" ref="Y24">ABS(pred_GDP_1qa!Y28-pred_GDP_1qa!$B28)</f>
        <v>5.2468501489351005E-2</v>
      </c>
      <c r="Z24" s="10" cm="1">
        <f t="array" ref="Z24">ABS(pred_GDP_1qa!Z28-pred_GDP_1qa!$B28)</f>
        <v>5.2468501489351005E-2</v>
      </c>
    </row>
    <row r="25" spans="1:26" ht="13.8" customHeight="1" x14ac:dyDescent="0.25">
      <c r="A25" s="15">
        <v>41609</v>
      </c>
      <c r="B25" s="16">
        <v>0.9</v>
      </c>
      <c r="C25" s="21" t="e" cm="1">
        <f t="array" ref="C25">ABS(pred_GDP_1qa!C29-pred_GDP_1qa!$B29)</f>
        <v>#N/A</v>
      </c>
      <c r="D25" s="10" cm="1">
        <f t="array" ref="D25">ABS(pred_GDP_1qa!D29-pred_GDP_1qa!$B29)</f>
        <v>0.75834639824087302</v>
      </c>
      <c r="E25" s="10" cm="1">
        <f t="array" ref="E25">ABS(pred_GDP_1qa!E29-pred_GDP_1qa!$B29)</f>
        <v>0.57389229970133993</v>
      </c>
      <c r="F25" s="10" t="e" cm="1">
        <f t="array" ref="F25">ABS(pred_GDP_1qa!F29-pred_GDP_1qa!$B29)</f>
        <v>#N/A</v>
      </c>
      <c r="G25" s="10" t="e" cm="1">
        <f t="array" ref="G25">ABS(pred_GDP_1qa!G29-pred_GDP_1qa!$B29)</f>
        <v>#N/A</v>
      </c>
      <c r="H25" s="10" t="e" cm="1">
        <f t="array" ref="H25">ABS(pred_GDP_1qa!H29-pred_GDP_1qa!$B29)</f>
        <v>#N/A</v>
      </c>
      <c r="I25" s="10" t="e" cm="1">
        <f t="array" ref="I25">ABS(pred_GDP_1qa!I29-pred_GDP_1qa!$B29)</f>
        <v>#N/A</v>
      </c>
      <c r="J25" s="10" t="e" cm="1">
        <f t="array" ref="J25">ABS(pred_GDP_1qa!J29-pred_GDP_1qa!$B29)</f>
        <v>#N/A</v>
      </c>
      <c r="K25" s="10" cm="1">
        <f t="array" ref="K25">ABS(pred_GDP_1qa!K29-pred_GDP_1qa!$B29)</f>
        <v>0.39036833882737698</v>
      </c>
      <c r="L25" s="10" t="e" cm="1">
        <f t="array" ref="L25">ABS(pred_GDP_1qa!L29-pred_GDP_1qa!$B29)</f>
        <v>#N/A</v>
      </c>
      <c r="M25" s="10" cm="1">
        <f t="array" ref="M25">ABS(pred_GDP_1qa!M29-pred_GDP_1qa!$B29)</f>
        <v>5.4467809338048068E-2</v>
      </c>
      <c r="N25" s="10" cm="1">
        <f t="array" ref="N25">ABS(pred_GDP_1qa!N29-pred_GDP_1qa!$B29)</f>
        <v>0.298779821395874</v>
      </c>
      <c r="O25" s="10" cm="1">
        <f t="array" ref="O25">ABS(pred_GDP_1qa!O29-pred_GDP_1qa!$B29)</f>
        <v>1.1220243917173103</v>
      </c>
      <c r="P25" s="10" cm="1">
        <f t="array" ref="P25">ABS(pred_GDP_1qa!P29-pred_GDP_1qa!$B29)</f>
        <v>0.64886939231491203</v>
      </c>
      <c r="Q25" s="6"/>
      <c r="R25" s="10" cm="1">
        <f t="array" ref="R25">ABS(pred_GDP_1qa!R29-pred_GDP_1qa!$B29)</f>
        <v>8.3530201837080043E-2</v>
      </c>
      <c r="S25" s="10" cm="1">
        <f t="array" ref="S25">ABS(pred_GDP_1qa!S29-pred_GDP_1qa!$B29)</f>
        <v>5.4467809338048068E-2</v>
      </c>
      <c r="T25" s="10" cm="1">
        <f t="array" ref="T25">ABS(pred_GDP_1qa!T29-pred_GDP_1qa!$B29)</f>
        <v>5.4467809338048068E-2</v>
      </c>
      <c r="U25" s="10" cm="1">
        <f t="array" ref="U25">ABS(pred_GDP_1qa!U29-pred_GDP_1qa!$B29)</f>
        <v>5.4467809338048068E-2</v>
      </c>
      <c r="V25" s="10" cm="1">
        <f t="array" ref="V25">ABS(pred_GDP_1qa!V29-pred_GDP_1qa!$B29)</f>
        <v>6.5868432405097987E-2</v>
      </c>
      <c r="W25" s="10" cm="1">
        <f t="array" ref="W25">ABS(pred_GDP_1qa!W29-pred_GDP_1qa!$B29)</f>
        <v>6.2694911833865996E-2</v>
      </c>
      <c r="X25" s="10" cm="1">
        <f t="array" ref="X25">ABS(pred_GDP_1qa!X29-pred_GDP_1qa!$B29)</f>
        <v>8.7370127554760035E-2</v>
      </c>
      <c r="Y25" s="10" cm="1">
        <f t="array" ref="Y25">ABS(pred_GDP_1qa!Y29-pred_GDP_1qa!$B29)</f>
        <v>3.8897613263489061E-2</v>
      </c>
      <c r="Z25" s="10" cm="1">
        <f t="array" ref="Z25">ABS(pred_GDP_1qa!Z29-pred_GDP_1qa!$B29)</f>
        <v>5.4467809338048068E-2</v>
      </c>
    </row>
    <row r="26" spans="1:26" ht="13.8" customHeight="1" x14ac:dyDescent="0.25">
      <c r="A26" s="15">
        <v>41699</v>
      </c>
      <c r="B26" s="16">
        <v>0.8</v>
      </c>
      <c r="C26" s="21" t="e" cm="1">
        <f t="array" ref="C26">ABS(pred_GDP_1qa!C30-pred_GDP_1qa!$B30)</f>
        <v>#N/A</v>
      </c>
      <c r="D26" s="10" cm="1">
        <f t="array" ref="D26">ABS(pred_GDP_1qa!D30-pred_GDP_1qa!$B30)</f>
        <v>1.2235679069139804E-2</v>
      </c>
      <c r="E26" s="10" cm="1">
        <f t="array" ref="E26">ABS(pred_GDP_1qa!E30-pred_GDP_1qa!$B30)</f>
        <v>0.45274017743350892</v>
      </c>
      <c r="F26" s="10" t="e" cm="1">
        <f t="array" ref="F26">ABS(pred_GDP_1qa!F30-pred_GDP_1qa!$B30)</f>
        <v>#N/A</v>
      </c>
      <c r="G26" s="10" t="e" cm="1">
        <f t="array" ref="G26">ABS(pred_GDP_1qa!G30-pred_GDP_1qa!$B30)</f>
        <v>#N/A</v>
      </c>
      <c r="H26" s="10" t="e" cm="1">
        <f t="array" ref="H26">ABS(pred_GDP_1qa!H30-pred_GDP_1qa!$B30)</f>
        <v>#N/A</v>
      </c>
      <c r="I26" s="10" t="e" cm="1">
        <f t="array" ref="I26">ABS(pred_GDP_1qa!I30-pred_GDP_1qa!$B30)</f>
        <v>#N/A</v>
      </c>
      <c r="J26" s="10" t="e" cm="1">
        <f t="array" ref="J26">ABS(pred_GDP_1qa!J30-pred_GDP_1qa!$B30)</f>
        <v>#N/A</v>
      </c>
      <c r="K26" s="10" cm="1">
        <f t="array" ref="K26">ABS(pred_GDP_1qa!K30-pred_GDP_1qa!$B30)</f>
        <v>0.11862755077527187</v>
      </c>
      <c r="L26" s="10" t="e" cm="1">
        <f t="array" ref="L26">ABS(pred_GDP_1qa!L30-pred_GDP_1qa!$B30)</f>
        <v>#N/A</v>
      </c>
      <c r="M26" s="10" cm="1">
        <f t="array" ref="M26">ABS(pred_GDP_1qa!M30-pred_GDP_1qa!$B30)</f>
        <v>7.9993500969660514E-2</v>
      </c>
      <c r="N26" s="10" cm="1">
        <f t="array" ref="N26">ABS(pred_GDP_1qa!N30-pred_GDP_1qa!$B30)</f>
        <v>0.1172849059104919</v>
      </c>
      <c r="O26" s="10" cm="1">
        <f t="array" ref="O26">ABS(pred_GDP_1qa!O30-pred_GDP_1qa!$B30)</f>
        <v>1.0140689746294311</v>
      </c>
      <c r="P26" s="10" cm="1">
        <f t="array" ref="P26">ABS(pred_GDP_1qa!P30-pred_GDP_1qa!$B30)</f>
        <v>0.47134763607384983</v>
      </c>
      <c r="Q26" s="6"/>
      <c r="R26" s="10" cm="1">
        <f t="array" ref="R26">ABS(pred_GDP_1qa!R30-pred_GDP_1qa!$B30)</f>
        <v>0.13454141401367903</v>
      </c>
      <c r="S26" s="10" cm="1">
        <f t="array" ref="S26">ABS(pred_GDP_1qa!S30-pred_GDP_1qa!$B30)</f>
        <v>1.2235679069138916E-2</v>
      </c>
      <c r="T26" s="10" cm="1">
        <f t="array" ref="T26">ABS(pred_GDP_1qa!T30-pred_GDP_1qa!$B30)</f>
        <v>7.9993500969659959E-2</v>
      </c>
      <c r="U26" s="10" cm="1">
        <f t="array" ref="U26">ABS(pred_GDP_1qa!U30-pred_GDP_1qa!$B30)</f>
        <v>4.6509066458489956E-3</v>
      </c>
      <c r="V26" s="10" cm="1">
        <f t="array" ref="V26">ABS(pred_GDP_1qa!V30-pred_GDP_1qa!$B30)</f>
        <v>1.5170805168639001E-2</v>
      </c>
      <c r="W26" s="10" cm="1">
        <f t="array" ref="W26">ABS(pred_GDP_1qa!W30-pred_GDP_1qa!$B30)</f>
        <v>1.3990266672155971E-2</v>
      </c>
      <c r="X26" s="10" cm="1">
        <f t="array" ref="X26">ABS(pred_GDP_1qa!X30-pred_GDP_1qa!$B30)</f>
        <v>4.9599754658599116E-3</v>
      </c>
      <c r="Y26" s="10" cm="1">
        <f t="array" ref="Y26">ABS(pred_GDP_1qa!Y30-pred_GDP_1qa!$B30)</f>
        <v>5.021346777484903E-2</v>
      </c>
      <c r="Z26" s="10" cm="1">
        <f t="array" ref="Z26">ABS(pred_GDP_1qa!Z30-pred_GDP_1qa!$B30)</f>
        <v>1.1009809921041946E-2</v>
      </c>
    </row>
    <row r="27" spans="1:26" ht="13.8" customHeight="1" x14ac:dyDescent="0.25">
      <c r="A27" s="15">
        <v>41791</v>
      </c>
      <c r="B27" s="16">
        <v>0.9</v>
      </c>
      <c r="C27" s="21" t="e" cm="1">
        <f t="array" ref="C27">ABS(pred_GDP_1qa!C31-pred_GDP_1qa!$B31)</f>
        <v>#N/A</v>
      </c>
      <c r="D27" s="10" cm="1">
        <f t="array" ref="D27">ABS(pred_GDP_1qa!D31-pred_GDP_1qa!$B31)</f>
        <v>0.175195985876753</v>
      </c>
      <c r="E27" s="10" cm="1">
        <f t="array" ref="E27">ABS(pred_GDP_1qa!E31-pred_GDP_1qa!$B31)</f>
        <v>0.40968938818032397</v>
      </c>
      <c r="F27" s="10" t="e" cm="1">
        <f t="array" ref="F27">ABS(pred_GDP_1qa!F31-pred_GDP_1qa!$B31)</f>
        <v>#N/A</v>
      </c>
      <c r="G27" s="10" t="e" cm="1">
        <f t="array" ref="G27">ABS(pred_GDP_1qa!G31-pred_GDP_1qa!$B31)</f>
        <v>#N/A</v>
      </c>
      <c r="H27" s="10" t="e" cm="1">
        <f t="array" ref="H27">ABS(pred_GDP_1qa!H31-pred_GDP_1qa!$B31)</f>
        <v>#N/A</v>
      </c>
      <c r="I27" s="10" t="e" cm="1">
        <f t="array" ref="I27">ABS(pred_GDP_1qa!I31-pred_GDP_1qa!$B31)</f>
        <v>#N/A</v>
      </c>
      <c r="J27" s="10" t="e" cm="1">
        <f t="array" ref="J27">ABS(pred_GDP_1qa!J31-pred_GDP_1qa!$B31)</f>
        <v>#N/A</v>
      </c>
      <c r="K27" s="10" cm="1">
        <f t="array" ref="K27">ABS(pred_GDP_1qa!K31-pred_GDP_1qa!$B31)</f>
        <v>8.8524851586873177E-2</v>
      </c>
      <c r="L27" s="10" t="e" cm="1">
        <f t="array" ref="L27">ABS(pred_GDP_1qa!L31-pred_GDP_1qa!$B31)</f>
        <v>#N/A</v>
      </c>
      <c r="M27" s="10" cm="1">
        <f t="array" ref="M27">ABS(pred_GDP_1qa!M31-pred_GDP_1qa!$B31)</f>
        <v>9.9985957316096163E-2</v>
      </c>
      <c r="N27" s="10" cm="1">
        <f t="array" ref="N27">ABS(pred_GDP_1qa!N31-pred_GDP_1qa!$B31)</f>
        <v>0.27208969593048093</v>
      </c>
      <c r="O27" s="10" cm="1">
        <f t="array" ref="O27">ABS(pred_GDP_1qa!O31-pred_GDP_1qa!$B31)</f>
        <v>1.159719880050456</v>
      </c>
      <c r="P27" s="10" cm="1">
        <f t="array" ref="P27">ABS(pred_GDP_1qa!P31-pred_GDP_1qa!$B31)</f>
        <v>0.5309641353507385</v>
      </c>
      <c r="Q27" s="6"/>
      <c r="R27" s="10" cm="1">
        <f t="array" ref="R27">ABS(pred_GDP_1qa!R31-pred_GDP_1qa!$B31)</f>
        <v>0.14603139347380101</v>
      </c>
      <c r="S27" s="10" cm="1">
        <f t="array" ref="S27">ABS(pred_GDP_1qa!S31-pred_GDP_1qa!$B31)</f>
        <v>8.8524851586874065E-2</v>
      </c>
      <c r="T27" s="10" cm="1">
        <f t="array" ref="T27">ABS(pred_GDP_1qa!T31-pred_GDP_1qa!$B31)</f>
        <v>8.8524851586874065E-2</v>
      </c>
      <c r="U27" s="10" cm="1">
        <f t="array" ref="U27">ABS(pred_GDP_1qa!U31-pred_GDP_1qa!$B31)</f>
        <v>9.5573806219525048E-2</v>
      </c>
      <c r="V27" s="10" cm="1">
        <f t="array" ref="V27">ABS(pred_GDP_1qa!V31-pred_GDP_1qa!$B31)</f>
        <v>3.5679733521373991E-2</v>
      </c>
      <c r="W27" s="10" cm="1">
        <f t="array" ref="W27">ABS(pred_GDP_1qa!W31-pred_GDP_1qa!$B31)</f>
        <v>3.4035952521465962E-2</v>
      </c>
      <c r="X27" s="10" cm="1">
        <f t="array" ref="X27">ABS(pred_GDP_1qa!X31-pred_GDP_1qa!$B31)</f>
        <v>2.8841546925898021E-2</v>
      </c>
      <c r="Y27" s="10" cm="1">
        <f t="array" ref="Y27">ABS(pred_GDP_1qa!Y31-pred_GDP_1qa!$B31)</f>
        <v>4.3654435776298017E-2</v>
      </c>
      <c r="Z27" s="10" cm="1">
        <f t="array" ref="Z27">ABS(pred_GDP_1qa!Z31-pred_GDP_1qa!$B31)</f>
        <v>8.8524851586874065E-2</v>
      </c>
    </row>
    <row r="28" spans="1:26" ht="13.8" customHeight="1" x14ac:dyDescent="0.25">
      <c r="A28" s="15">
        <v>41883</v>
      </c>
      <c r="B28" s="16">
        <v>0.3</v>
      </c>
      <c r="C28" s="21" t="e" cm="1">
        <f t="array" ref="C28">ABS(pred_GDP_1qa!C32-pred_GDP_1qa!$B32)</f>
        <v>#N/A</v>
      </c>
      <c r="D28" s="10" cm="1">
        <f t="array" ref="D28">ABS(pred_GDP_1qa!D32-pred_GDP_1qa!$B32)</f>
        <v>0.72614255076129997</v>
      </c>
      <c r="E28" s="10" cm="1">
        <f t="array" ref="E28">ABS(pred_GDP_1qa!E32-pred_GDP_1qa!$B32)</f>
        <v>0.97176857539019701</v>
      </c>
      <c r="F28" s="10" t="e" cm="1">
        <f t="array" ref="F28">ABS(pred_GDP_1qa!F32-pred_GDP_1qa!$B32)</f>
        <v>#N/A</v>
      </c>
      <c r="G28" s="10" t="e" cm="1">
        <f t="array" ref="G28">ABS(pred_GDP_1qa!G32-pred_GDP_1qa!$B32)</f>
        <v>#N/A</v>
      </c>
      <c r="H28" s="10" t="e" cm="1">
        <f t="array" ref="H28">ABS(pred_GDP_1qa!H32-pred_GDP_1qa!$B32)</f>
        <v>#N/A</v>
      </c>
      <c r="I28" s="10" t="e" cm="1">
        <f t="array" ref="I28">ABS(pred_GDP_1qa!I32-pred_GDP_1qa!$B32)</f>
        <v>#N/A</v>
      </c>
      <c r="J28" s="10" t="e" cm="1">
        <f t="array" ref="J28">ABS(pred_GDP_1qa!J32-pred_GDP_1qa!$B32)</f>
        <v>#N/A</v>
      </c>
      <c r="K28" s="10" cm="1">
        <f t="array" ref="K28">ABS(pred_GDP_1qa!K32-pred_GDP_1qa!$B32)</f>
        <v>0.65902860435936073</v>
      </c>
      <c r="L28" s="10" t="e" cm="1">
        <f t="array" ref="L28">ABS(pred_GDP_1qa!L32-pred_GDP_1qa!$B32)</f>
        <v>#N/A</v>
      </c>
      <c r="M28" s="10" cm="1">
        <f t="array" ref="M28">ABS(pred_GDP_1qa!M32-pred_GDP_1qa!$B32)</f>
        <v>0.44112028793989572</v>
      </c>
      <c r="N28" s="10" cm="1">
        <f t="array" ref="N28">ABS(pred_GDP_1qa!N32-pred_GDP_1qa!$B32)</f>
        <v>0.61955405473709102</v>
      </c>
      <c r="O28" s="10" cm="1">
        <f t="array" ref="O28">ABS(pred_GDP_1qa!O32-pred_GDP_1qa!$B32)</f>
        <v>0.540743626942911</v>
      </c>
      <c r="P28" s="10" cm="1">
        <f t="array" ref="P28">ABS(pred_GDP_1qa!P32-pred_GDP_1qa!$B32)</f>
        <v>0.10006218888012403</v>
      </c>
      <c r="Q28" s="6"/>
      <c r="R28" s="10" cm="1">
        <f t="array" ref="R28">ABS(pred_GDP_1qa!R32-pred_GDP_1qa!$B32)</f>
        <v>0.42527609073215106</v>
      </c>
      <c r="S28" s="10" cm="1">
        <f t="array" ref="S28">ABS(pred_GDP_1qa!S32-pred_GDP_1qa!$B32)</f>
        <v>0.61955405473709102</v>
      </c>
      <c r="T28" s="10" cm="1">
        <f t="array" ref="T28">ABS(pred_GDP_1qa!T32-pred_GDP_1qa!$B32)</f>
        <v>0.61955405473709102</v>
      </c>
      <c r="U28" s="10" cm="1">
        <f t="array" ref="U28">ABS(pred_GDP_1qa!U32-pred_GDP_1qa!$B32)</f>
        <v>0.61955405473709102</v>
      </c>
      <c r="V28" s="10" cm="1">
        <f t="array" ref="V28">ABS(pred_GDP_1qa!V32-pred_GDP_1qa!$B32)</f>
        <v>0.58294718734049611</v>
      </c>
      <c r="W28" s="10" cm="1">
        <f t="array" ref="W28">ABS(pred_GDP_1qa!W32-pred_GDP_1qa!$B32)</f>
        <v>0.58190594178822708</v>
      </c>
      <c r="X28" s="10" cm="1">
        <f t="array" ref="X28">ABS(pred_GDP_1qa!X32-pred_GDP_1qa!$B32)</f>
        <v>0.489861214835907</v>
      </c>
      <c r="Y28" s="10" cm="1">
        <f t="array" ref="Y28">ABS(pred_GDP_1qa!Y32-pred_GDP_1qa!$B32)</f>
        <v>0.522023523691302</v>
      </c>
      <c r="Z28" s="10" cm="1">
        <f t="array" ref="Z28">ABS(pred_GDP_1qa!Z32-pred_GDP_1qa!$B32)</f>
        <v>0.58289349402415191</v>
      </c>
    </row>
    <row r="29" spans="1:26" ht="13.8" customHeight="1" x14ac:dyDescent="0.25">
      <c r="A29" s="15">
        <v>41974</v>
      </c>
      <c r="B29" s="16">
        <v>0.5</v>
      </c>
      <c r="C29" s="21" t="e" cm="1">
        <f t="array" ref="C29">ABS(pred_GDP_1qa!C33-pred_GDP_1qa!$B33)</f>
        <v>#N/A</v>
      </c>
      <c r="D29" s="10" cm="1">
        <f t="array" ref="D29">ABS(pred_GDP_1qa!D33-pred_GDP_1qa!$B33)</f>
        <v>0.54585230700760001</v>
      </c>
      <c r="E29" s="10" cm="1">
        <f t="array" ref="E29">ABS(pred_GDP_1qa!E33-pred_GDP_1qa!$B33)</f>
        <v>0.73241027651470603</v>
      </c>
      <c r="F29" s="10" t="e" cm="1">
        <f t="array" ref="F29">ABS(pred_GDP_1qa!F33-pred_GDP_1qa!$B33)</f>
        <v>#N/A</v>
      </c>
      <c r="G29" s="10" t="e" cm="1">
        <f t="array" ref="G29">ABS(pred_GDP_1qa!G33-pred_GDP_1qa!$B33)</f>
        <v>#N/A</v>
      </c>
      <c r="H29" s="10" t="e" cm="1">
        <f t="array" ref="H29">ABS(pred_GDP_1qa!H33-pred_GDP_1qa!$B33)</f>
        <v>#N/A</v>
      </c>
      <c r="I29" s="10" t="e" cm="1">
        <f t="array" ref="I29">ABS(pred_GDP_1qa!I33-pred_GDP_1qa!$B33)</f>
        <v>#N/A</v>
      </c>
      <c r="J29" s="10" t="e" cm="1">
        <f t="array" ref="J29">ABS(pred_GDP_1qa!J33-pred_GDP_1qa!$B33)</f>
        <v>#N/A</v>
      </c>
      <c r="K29" s="10" cm="1">
        <f t="array" ref="K29">ABS(pred_GDP_1qa!K33-pred_GDP_1qa!$B33)</f>
        <v>0.4763485678491115</v>
      </c>
      <c r="L29" s="10" t="e" cm="1">
        <f t="array" ref="L29">ABS(pred_GDP_1qa!L33-pred_GDP_1qa!$B33)</f>
        <v>#N/A</v>
      </c>
      <c r="M29" s="10" cm="1">
        <f t="array" ref="M29">ABS(pred_GDP_1qa!M33-pred_GDP_1qa!$B33)</f>
        <v>0.26413633603688591</v>
      </c>
      <c r="N29" s="10" cm="1">
        <f t="array" ref="N29">ABS(pred_GDP_1qa!N33-pred_GDP_1qa!$B33)</f>
        <v>0.67713975906372093</v>
      </c>
      <c r="O29" s="10" cm="1">
        <f t="array" ref="O29">ABS(pred_GDP_1qa!O33-pred_GDP_1qa!$B33)</f>
        <v>0.47168637534351604</v>
      </c>
      <c r="P29" s="10" cm="1">
        <f t="array" ref="P29">ABS(pred_GDP_1qa!P33-pred_GDP_1qa!$B33)</f>
        <v>0.15354822407084201</v>
      </c>
      <c r="Q29" s="6"/>
      <c r="R29" s="10" cm="1">
        <f t="array" ref="R29">ABS(pred_GDP_1qa!R33-pred_GDP_1qa!$B33)</f>
        <v>0.29580752100823804</v>
      </c>
      <c r="S29" s="10" cm="1">
        <f t="array" ref="S29">ABS(pred_GDP_1qa!S33-pred_GDP_1qa!$B33)</f>
        <v>0.47634856784911095</v>
      </c>
      <c r="T29" s="10" cm="1">
        <f t="array" ref="T29">ABS(pred_GDP_1qa!T33-pred_GDP_1qa!$B33)</f>
        <v>0.47634856784911095</v>
      </c>
      <c r="U29" s="10" cm="1">
        <f t="array" ref="U29">ABS(pred_GDP_1qa!U33-pred_GDP_1qa!$B33)</f>
        <v>0.43215573841166599</v>
      </c>
      <c r="V29" s="10" cm="1">
        <f t="array" ref="V29">ABS(pred_GDP_1qa!V33-pred_GDP_1qa!$B33)</f>
        <v>0.38672322233574796</v>
      </c>
      <c r="W29" s="10" cm="1">
        <f t="array" ref="W29">ABS(pred_GDP_1qa!W33-pred_GDP_1qa!$B33)</f>
        <v>0.38724377914433805</v>
      </c>
      <c r="X29" s="10" cm="1">
        <f t="array" ref="X29">ABS(pred_GDP_1qa!X33-pred_GDP_1qa!$B33)</f>
        <v>0.354283658770851</v>
      </c>
      <c r="Y29" s="10" cm="1">
        <f t="array" ref="Y29">ABS(pred_GDP_1qa!Y33-pred_GDP_1qa!$B33)</f>
        <v>0.35109590333445595</v>
      </c>
      <c r="Z29" s="10" cm="1">
        <f t="array" ref="Z29">ABS(pred_GDP_1qa!Z33-pred_GDP_1qa!$B33)</f>
        <v>0.38734450943126197</v>
      </c>
    </row>
    <row r="30" spans="1:26" ht="13.8" customHeight="1" x14ac:dyDescent="0.25">
      <c r="A30" s="15">
        <v>42064</v>
      </c>
      <c r="B30" s="16">
        <v>0.9</v>
      </c>
      <c r="C30" s="21" t="e" cm="1">
        <f t="array" ref="C30">ABS(pred_GDP_1qa!C34-pred_GDP_1qa!$B34)</f>
        <v>#N/A</v>
      </c>
      <c r="D30" s="10" cm="1">
        <f t="array" ref="D30">ABS(pred_GDP_1qa!D34-pred_GDP_1qa!$B34)</f>
        <v>0.20176251545439594</v>
      </c>
      <c r="E30" s="10" cm="1">
        <f t="array" ref="E30">ABS(pred_GDP_1qa!E34-pred_GDP_1qa!$B34)</f>
        <v>0.43053244904655108</v>
      </c>
      <c r="F30" s="10" t="e" cm="1">
        <f t="array" ref="F30">ABS(pred_GDP_1qa!F34-pred_GDP_1qa!$B34)</f>
        <v>#N/A</v>
      </c>
      <c r="G30" s="10" t="e" cm="1">
        <f t="array" ref="G30">ABS(pred_GDP_1qa!G34-pred_GDP_1qa!$B34)</f>
        <v>#N/A</v>
      </c>
      <c r="H30" s="10" t="e" cm="1">
        <f t="array" ref="H30">ABS(pred_GDP_1qa!H34-pred_GDP_1qa!$B34)</f>
        <v>#N/A</v>
      </c>
      <c r="I30" s="10" t="e" cm="1">
        <f t="array" ref="I30">ABS(pred_GDP_1qa!I34-pred_GDP_1qa!$B34)</f>
        <v>#N/A</v>
      </c>
      <c r="J30" s="10" t="e" cm="1">
        <f t="array" ref="J30">ABS(pred_GDP_1qa!J34-pred_GDP_1qa!$B34)</f>
        <v>#N/A</v>
      </c>
      <c r="K30" s="10" cm="1">
        <f t="array" ref="K30">ABS(pred_GDP_1qa!K34-pred_GDP_1qa!$B34)</f>
        <v>0.28045543009904794</v>
      </c>
      <c r="L30" s="10" t="e" cm="1">
        <f t="array" ref="L30">ABS(pred_GDP_1qa!L34-pred_GDP_1qa!$B34)</f>
        <v>#N/A</v>
      </c>
      <c r="M30" s="10" cm="1">
        <f t="array" ref="M30">ABS(pred_GDP_1qa!M34-pred_GDP_1qa!$B34)</f>
        <v>0.28524718205137789</v>
      </c>
      <c r="N30" s="10" cm="1">
        <f t="array" ref="N30">ABS(pred_GDP_1qa!N34-pred_GDP_1qa!$B34)</f>
        <v>0.29820594787597698</v>
      </c>
      <c r="O30" s="10" cm="1">
        <f t="array" ref="O30">ABS(pred_GDP_1qa!O34-pred_GDP_1qa!$B34)</f>
        <v>0.78466408288569234</v>
      </c>
      <c r="P30" s="10" cm="1">
        <f t="array" ref="P30">ABS(pred_GDP_1qa!P34-pred_GDP_1qa!$B34)</f>
        <v>0.10125619569471278</v>
      </c>
      <c r="Q30" s="6"/>
      <c r="R30" s="10" cm="1">
        <f t="array" ref="R30">ABS(pred_GDP_1qa!R34-pred_GDP_1qa!$B34)</f>
        <v>5.6841259777409281E-3</v>
      </c>
      <c r="S30" s="10" cm="1">
        <f t="array" ref="S30">ABS(pred_GDP_1qa!S34-pred_GDP_1qa!$B34)</f>
        <v>0.20176251545438995</v>
      </c>
      <c r="T30" s="10" cm="1">
        <f t="array" ref="T30">ABS(pred_GDP_1qa!T34-pred_GDP_1qa!$B34)</f>
        <v>0.101256195694713</v>
      </c>
      <c r="U30" s="10" cm="1">
        <f t="array" ref="U30">ABS(pred_GDP_1qa!U34-pred_GDP_1qa!$B34)</f>
        <v>0.1274086990789699</v>
      </c>
      <c r="V30" s="10" cm="1">
        <f t="array" ref="V30">ABS(pred_GDP_1qa!V34-pred_GDP_1qa!$B34)</f>
        <v>4.6245817205010975E-2</v>
      </c>
      <c r="W30" s="10" cm="1">
        <f t="array" ref="W30">ABS(pred_GDP_1qa!W34-pred_GDP_1qa!$B34)</f>
        <v>3.9266528301682979E-2</v>
      </c>
      <c r="X30" s="10" cm="1">
        <f t="array" ref="X30">ABS(pred_GDP_1qa!X34-pred_GDP_1qa!$B34)</f>
        <v>2.7652252586973014E-2</v>
      </c>
      <c r="Y30" s="10" cm="1">
        <f t="array" ref="Y30">ABS(pred_GDP_1qa!Y34-pred_GDP_1qa!$B34)</f>
        <v>3.1864058366044001E-2</v>
      </c>
      <c r="Z30" s="10" cm="1">
        <f t="array" ref="Z30">ABS(pred_GDP_1qa!Z34-pred_GDP_1qa!$B34)</f>
        <v>1.4058681484036994E-2</v>
      </c>
    </row>
    <row r="31" spans="1:26" ht="13.8" customHeight="1" x14ac:dyDescent="0.25">
      <c r="A31" s="15">
        <v>42156</v>
      </c>
      <c r="B31" s="16">
        <v>0.4</v>
      </c>
      <c r="C31" s="21" t="e" cm="1">
        <f t="array" ref="C31">ABS(pred_GDP_1qa!C35-pred_GDP_1qa!$B35)</f>
        <v>#N/A</v>
      </c>
      <c r="D31" s="10" cm="1">
        <f t="array" ref="D31">ABS(pred_GDP_1qa!D35-pred_GDP_1qa!$B35)</f>
        <v>0.4984392819167297</v>
      </c>
      <c r="E31" s="10" cm="1">
        <f t="array" ref="E31">ABS(pred_GDP_1qa!E35-pred_GDP_1qa!$B35)</f>
        <v>0.83308474662060494</v>
      </c>
      <c r="F31" s="10" t="e" cm="1">
        <f t="array" ref="F31">ABS(pred_GDP_1qa!F35-pred_GDP_1qa!$B35)</f>
        <v>#N/A</v>
      </c>
      <c r="G31" s="10" t="e" cm="1">
        <f t="array" ref="G31">ABS(pred_GDP_1qa!G35-pred_GDP_1qa!$B35)</f>
        <v>#N/A</v>
      </c>
      <c r="H31" s="10" t="e" cm="1">
        <f t="array" ref="H31">ABS(pred_GDP_1qa!H35-pred_GDP_1qa!$B35)</f>
        <v>#N/A</v>
      </c>
      <c r="I31" s="10" t="e" cm="1">
        <f t="array" ref="I31">ABS(pred_GDP_1qa!I35-pred_GDP_1qa!$B35)</f>
        <v>#N/A</v>
      </c>
      <c r="J31" s="10" t="e" cm="1">
        <f t="array" ref="J31">ABS(pred_GDP_1qa!J35-pred_GDP_1qa!$B35)</f>
        <v>#N/A</v>
      </c>
      <c r="K31" s="10" cm="1">
        <f t="array" ref="K31">ABS(pred_GDP_1qa!K35-pred_GDP_1qa!$B35)</f>
        <v>0.34544400422624688</v>
      </c>
      <c r="L31" s="10" t="e" cm="1">
        <f t="array" ref="L31">ABS(pred_GDP_1qa!L35-pred_GDP_1qa!$B35)</f>
        <v>#N/A</v>
      </c>
      <c r="M31" s="10" cm="1">
        <f t="array" ref="M31">ABS(pred_GDP_1qa!M35-pred_GDP_1qa!$B35)</f>
        <v>0.39994837527185834</v>
      </c>
      <c r="N31" s="10" cm="1">
        <f t="array" ref="N31">ABS(pred_GDP_1qa!N35-pred_GDP_1qa!$B35)</f>
        <v>0.98770341873168899</v>
      </c>
      <c r="O31" s="10" cm="1">
        <f t="array" ref="O31">ABS(pred_GDP_1qa!O35-pred_GDP_1qa!$B35)</f>
        <v>0.24078910454189192</v>
      </c>
      <c r="P31" s="10" cm="1">
        <f t="array" ref="P31">ABS(pred_GDP_1qa!P35-pred_GDP_1qa!$B35)</f>
        <v>0.31423347962136416</v>
      </c>
      <c r="Q31" s="6"/>
      <c r="R31" s="10" cm="1">
        <f t="array" ref="R31">ABS(pred_GDP_1qa!R35-pred_GDP_1qa!$B35)</f>
        <v>0.44829488597808598</v>
      </c>
      <c r="S31" s="10" cm="1">
        <f t="array" ref="S31">ABS(pred_GDP_1qa!S35-pred_GDP_1qa!$B35)</f>
        <v>0.399948375271858</v>
      </c>
      <c r="T31" s="10" cm="1">
        <f t="array" ref="T31">ABS(pred_GDP_1qa!T35-pred_GDP_1qa!$B35)</f>
        <v>0.34544400422624599</v>
      </c>
      <c r="U31" s="10" cm="1">
        <f t="array" ref="U31">ABS(pred_GDP_1qa!U35-pred_GDP_1qa!$B35)</f>
        <v>0.399948375271858</v>
      </c>
      <c r="V31" s="10" cm="1">
        <f t="array" ref="V31">ABS(pred_GDP_1qa!V35-pred_GDP_1qa!$B35)</f>
        <v>0.39423668713874693</v>
      </c>
      <c r="W31" s="10" cm="1">
        <f t="array" ref="W31">ABS(pred_GDP_1qa!W35-pred_GDP_1qa!$B35)</f>
        <v>0.39792393416375793</v>
      </c>
      <c r="X31" s="10" cm="1">
        <f t="array" ref="X31">ABS(pred_GDP_1qa!X35-pred_GDP_1qa!$B35)</f>
        <v>0.43262372279982297</v>
      </c>
      <c r="Y31" s="10" cm="1">
        <f t="array" ref="Y31">ABS(pred_GDP_1qa!Y35-pred_GDP_1qa!$B35)</f>
        <v>0.46282404459901094</v>
      </c>
      <c r="Z31" s="10" cm="1">
        <f t="array" ref="Z31">ABS(pred_GDP_1qa!Z35-pred_GDP_1qa!$B35)</f>
        <v>0.399948375271858</v>
      </c>
    </row>
    <row r="32" spans="1:26" ht="13.8" customHeight="1" x14ac:dyDescent="0.25">
      <c r="A32" s="15">
        <v>42248</v>
      </c>
      <c r="B32" s="16">
        <v>1.5</v>
      </c>
      <c r="C32" s="21" t="e" cm="1">
        <f t="array" ref="C32">ABS(pred_GDP_1qa!C36-pred_GDP_1qa!$B36)</f>
        <v>#N/A</v>
      </c>
      <c r="D32" s="10" cm="1">
        <f t="array" ref="D32">ABS(pred_GDP_1qa!D36-pred_GDP_1qa!$B36)</f>
        <v>0.59045374153908625</v>
      </c>
      <c r="E32" s="10" cm="1">
        <f t="array" ref="E32">ABS(pred_GDP_1qa!E36-pred_GDP_1qa!$B36)</f>
        <v>0.26997798224440595</v>
      </c>
      <c r="F32" s="10" t="e" cm="1">
        <f t="array" ref="F32">ABS(pred_GDP_1qa!F36-pred_GDP_1qa!$B36)</f>
        <v>#N/A</v>
      </c>
      <c r="G32" s="10" t="e" cm="1">
        <f t="array" ref="G32">ABS(pred_GDP_1qa!G36-pred_GDP_1qa!$B36)</f>
        <v>#N/A</v>
      </c>
      <c r="H32" s="10" t="e" cm="1">
        <f t="array" ref="H32">ABS(pred_GDP_1qa!H36-pred_GDP_1qa!$B36)</f>
        <v>#N/A</v>
      </c>
      <c r="I32" s="10" t="e" cm="1">
        <f t="array" ref="I32">ABS(pred_GDP_1qa!I36-pred_GDP_1qa!$B36)</f>
        <v>#N/A</v>
      </c>
      <c r="J32" s="10" t="e" cm="1">
        <f t="array" ref="J32">ABS(pred_GDP_1qa!J36-pred_GDP_1qa!$B36)</f>
        <v>#N/A</v>
      </c>
      <c r="K32" s="10" cm="1">
        <f t="array" ref="K32">ABS(pred_GDP_1qa!K36-pred_GDP_1qa!$B36)</f>
        <v>0.399136372188718</v>
      </c>
      <c r="L32" s="10" t="e" cm="1">
        <f t="array" ref="L32">ABS(pred_GDP_1qa!L36-pred_GDP_1qa!$B36)</f>
        <v>#N/A</v>
      </c>
      <c r="M32" s="10" cm="1">
        <f t="array" ref="M32">ABS(pred_GDP_1qa!M36-pred_GDP_1qa!$B36)</f>
        <v>0.86714752976994303</v>
      </c>
      <c r="N32" s="10" cm="1">
        <f t="array" ref="N32">ABS(pred_GDP_1qa!N36-pred_GDP_1qa!$B36)</f>
        <v>1.0702181160449982</v>
      </c>
      <c r="O32" s="10" cm="1">
        <f t="array" ref="O32">ABS(pred_GDP_1qa!O36-pred_GDP_1qa!$B36)</f>
        <v>1.599212777059082</v>
      </c>
      <c r="P32" s="10" cm="1">
        <f t="array" ref="P32">ABS(pred_GDP_1qa!P36-pred_GDP_1qa!$B36)</f>
        <v>1.0139018019254005</v>
      </c>
      <c r="Q32" s="6"/>
      <c r="R32" s="10" cm="1">
        <f t="array" ref="R32">ABS(pred_GDP_1qa!R36-pred_GDP_1qa!$B36)</f>
        <v>0.830006902967377</v>
      </c>
      <c r="S32" s="10" cm="1">
        <f t="array" ref="S32">ABS(pred_GDP_1qa!S36-pred_GDP_1qa!$B36)</f>
        <v>0.86714752976994303</v>
      </c>
      <c r="T32" s="10" cm="1">
        <f t="array" ref="T32">ABS(pred_GDP_1qa!T36-pred_GDP_1qa!$B36)</f>
        <v>0.86714752976994303</v>
      </c>
      <c r="U32" s="10" cm="1">
        <f t="array" ref="U32">ABS(pred_GDP_1qa!U36-pred_GDP_1qa!$B36)</f>
        <v>0.86714752976994303</v>
      </c>
      <c r="V32" s="10" cm="1">
        <f t="array" ref="V32">ABS(pred_GDP_1qa!V36-pred_GDP_1qa!$B36)</f>
        <v>0.947232167000151</v>
      </c>
      <c r="W32" s="10" cm="1">
        <f t="array" ref="W32">ABS(pred_GDP_1qa!W36-pred_GDP_1qa!$B36)</f>
        <v>0.94284072225942805</v>
      </c>
      <c r="X32" s="10" cm="1">
        <f t="array" ref="X32">ABS(pred_GDP_1qa!X36-pred_GDP_1qa!$B36)</f>
        <v>0.92209761632299603</v>
      </c>
      <c r="Y32" s="10" cm="1">
        <f t="array" ref="Y32">ABS(pred_GDP_1qa!Y36-pred_GDP_1qa!$B36)</f>
        <v>0.84717524273802702</v>
      </c>
      <c r="Z32" s="10" cm="1">
        <f t="array" ref="Z32">ABS(pred_GDP_1qa!Z36-pred_GDP_1qa!$B36)</f>
        <v>0.86714752976994303</v>
      </c>
    </row>
    <row r="33" spans="1:26" ht="13.8" customHeight="1" x14ac:dyDescent="0.25">
      <c r="A33" s="15">
        <v>42339</v>
      </c>
      <c r="B33" s="16">
        <v>0.8</v>
      </c>
      <c r="C33" s="21" t="e" cm="1">
        <f t="array" ref="C33">ABS(pred_GDP_1qa!C37-pred_GDP_1qa!$B37)</f>
        <v>#N/A</v>
      </c>
      <c r="D33" s="10" cm="1">
        <f t="array" ref="D33">ABS(pred_GDP_1qa!D37-pred_GDP_1qa!$B37)</f>
        <v>0.39110397608288605</v>
      </c>
      <c r="E33" s="10" cm="1">
        <f t="array" ref="E33">ABS(pred_GDP_1qa!E37-pred_GDP_1qa!$B37)</f>
        <v>0.53209872005952685</v>
      </c>
      <c r="F33" s="10" t="e" cm="1">
        <f t="array" ref="F33">ABS(pred_GDP_1qa!F37-pred_GDP_1qa!$B37)</f>
        <v>#N/A</v>
      </c>
      <c r="G33" s="10" t="e" cm="1">
        <f t="array" ref="G33">ABS(pred_GDP_1qa!G37-pred_GDP_1qa!$B37)</f>
        <v>#N/A</v>
      </c>
      <c r="H33" s="10" t="e" cm="1">
        <f t="array" ref="H33">ABS(pred_GDP_1qa!H37-pred_GDP_1qa!$B37)</f>
        <v>#N/A</v>
      </c>
      <c r="I33" s="10" t="e" cm="1">
        <f t="array" ref="I33">ABS(pred_GDP_1qa!I37-pred_GDP_1qa!$B37)</f>
        <v>#N/A</v>
      </c>
      <c r="J33" s="10" t="e" cm="1">
        <f t="array" ref="J33">ABS(pred_GDP_1qa!J37-pred_GDP_1qa!$B37)</f>
        <v>#N/A</v>
      </c>
      <c r="K33" s="10" cm="1">
        <f t="array" ref="K33">ABS(pred_GDP_1qa!K37-pred_GDP_1qa!$B37)</f>
        <v>0.26627392513609105</v>
      </c>
      <c r="L33" s="10" t="e" cm="1">
        <f t="array" ref="L33">ABS(pred_GDP_1qa!L37-pred_GDP_1qa!$B37)</f>
        <v>#N/A</v>
      </c>
      <c r="M33" s="10" cm="1">
        <f t="array" ref="M33">ABS(pred_GDP_1qa!M37-pred_GDP_1qa!$B37)</f>
        <v>3.0486830102852247E-2</v>
      </c>
      <c r="N33" s="10" cm="1">
        <f t="array" ref="N33">ABS(pred_GDP_1qa!N37-pred_GDP_1qa!$B37)</f>
        <v>0.12403653860092168</v>
      </c>
      <c r="O33" s="10" cm="1">
        <f t="array" ref="O33">ABS(pred_GDP_1qa!O37-pred_GDP_1qa!$B37)</f>
        <v>0.62487594542722424</v>
      </c>
      <c r="P33" s="10" cm="1">
        <f t="array" ref="P33">ABS(pred_GDP_1qa!P37-pred_GDP_1qa!$B37)</f>
        <v>0.26904612904174019</v>
      </c>
      <c r="Q33" s="6"/>
      <c r="R33" s="10">
        <v>2.5279184907615E-2</v>
      </c>
      <c r="S33" s="10">
        <v>3.6930000000000001E-3</v>
      </c>
      <c r="T33" s="10">
        <v>2.5279184907615E-2</v>
      </c>
      <c r="U33" s="10">
        <v>3.6930000000000001E-3</v>
      </c>
      <c r="V33" s="10">
        <v>2.5279184907615E-2</v>
      </c>
      <c r="W33" s="10">
        <v>2.5279184907615E-2</v>
      </c>
      <c r="X33" s="10">
        <v>2.5279184907615E-2</v>
      </c>
      <c r="Y33" s="10">
        <v>2.5279184907615E-2</v>
      </c>
      <c r="Z33" s="10">
        <v>2.5279184907615E-2</v>
      </c>
    </row>
    <row r="34" spans="1:26" ht="13.8" customHeight="1" x14ac:dyDescent="0.25">
      <c r="A34" s="15">
        <v>42430</v>
      </c>
      <c r="B34" s="16">
        <v>0.3</v>
      </c>
      <c r="C34" s="21" t="e" cm="1">
        <f t="array" ref="C34">ABS(pred_GDP_1qa!C38-pred_GDP_1qa!$B38)</f>
        <v>#N/A</v>
      </c>
      <c r="D34" s="10" cm="1">
        <f t="array" ref="D34">ABS(pred_GDP_1qa!D38-pred_GDP_1qa!$B38)</f>
        <v>0.52747739892177203</v>
      </c>
      <c r="E34" s="10" cm="1">
        <f t="array" ref="E34">ABS(pred_GDP_1qa!E38-pred_GDP_1qa!$B38)</f>
        <v>0.78179772148186988</v>
      </c>
      <c r="F34" s="10" t="e" cm="1">
        <f t="array" ref="F34">ABS(pred_GDP_1qa!F38-pred_GDP_1qa!$B38)</f>
        <v>#N/A</v>
      </c>
      <c r="G34" s="10" t="e" cm="1">
        <f t="array" ref="G34">ABS(pred_GDP_1qa!G38-pred_GDP_1qa!$B38)</f>
        <v>#N/A</v>
      </c>
      <c r="H34" s="10" t="e" cm="1">
        <f t="array" ref="H34">ABS(pred_GDP_1qa!H38-pred_GDP_1qa!$B38)</f>
        <v>#N/A</v>
      </c>
      <c r="I34" s="10" t="e" cm="1">
        <f t="array" ref="I34">ABS(pred_GDP_1qa!I38-pred_GDP_1qa!$B38)</f>
        <v>#N/A</v>
      </c>
      <c r="J34" s="10" t="e" cm="1">
        <f t="array" ref="J34">ABS(pred_GDP_1qa!J38-pred_GDP_1qa!$B38)</f>
        <v>#N/A</v>
      </c>
      <c r="K34" s="10" cm="1">
        <f t="array" ref="K34">ABS(pred_GDP_1qa!K38-pred_GDP_1qa!$B38)</f>
        <v>0.46611712193246718</v>
      </c>
      <c r="L34" s="10" t="e" cm="1">
        <f t="array" ref="L34">ABS(pred_GDP_1qa!L38-pred_GDP_1qa!$B38)</f>
        <v>#N/A</v>
      </c>
      <c r="M34" s="10" cm="1">
        <f t="array" ref="M34">ABS(pred_GDP_1qa!M38-pred_GDP_1qa!$B38)</f>
        <v>0.44429481288525036</v>
      </c>
      <c r="N34" s="10" cm="1">
        <f t="array" ref="N34">ABS(pred_GDP_1qa!N38-pred_GDP_1qa!$B38)</f>
        <v>0.45382518768310548</v>
      </c>
      <c r="O34" s="10" cm="1">
        <f t="array" ref="O34">ABS(pred_GDP_1qa!O38-pred_GDP_1qa!$B38)</f>
        <v>0.17525696326907347</v>
      </c>
      <c r="P34" s="10" cm="1">
        <f t="array" ref="P34">ABS(pred_GDP_1qa!P38-pred_GDP_1qa!$B38)</f>
        <v>4.3609765682850687E-2</v>
      </c>
      <c r="Q34" s="6"/>
      <c r="R34" s="10">
        <v>0.21558782728904499</v>
      </c>
      <c r="S34" s="10">
        <v>0.29031935186958302</v>
      </c>
      <c r="T34" s="10">
        <v>0.21558782728904499</v>
      </c>
      <c r="U34" s="10">
        <v>0.29031935186958302</v>
      </c>
      <c r="V34" s="10">
        <v>0.21558782728904499</v>
      </c>
      <c r="W34" s="10">
        <v>0.21558782728904499</v>
      </c>
      <c r="X34" s="10">
        <v>0.21558782728904499</v>
      </c>
      <c r="Y34" s="10">
        <v>0.21558782728904499</v>
      </c>
      <c r="Z34" s="10">
        <v>0.21558782728904499</v>
      </c>
    </row>
    <row r="35" spans="1:26" ht="13.8" customHeight="1" x14ac:dyDescent="0.25">
      <c r="A35" s="15">
        <v>42522</v>
      </c>
      <c r="B35" s="16">
        <v>1.2</v>
      </c>
      <c r="C35" s="21" cm="1">
        <f t="array" ref="C35">ABS(pred_GDP_1qa!C39-pred_GDP_1qa!$B39)</f>
        <v>0.67813000000000001</v>
      </c>
      <c r="D35" s="10" cm="1">
        <f t="array" ref="D35">ABS(pred_GDP_1qa!D39-pred_GDP_1qa!$B39)</f>
        <v>0.51825999999999994</v>
      </c>
      <c r="E35" s="10" cm="1">
        <f t="array" ref="E35">ABS(pred_GDP_1qa!E39-pred_GDP_1qa!$B39)</f>
        <v>0.59092</v>
      </c>
      <c r="F35" s="10" cm="1">
        <f t="array" ref="F35">ABS(pred_GDP_1qa!F39-pred_GDP_1qa!$B39)</f>
        <v>0.79068999999999989</v>
      </c>
      <c r="G35" s="10" t="e" cm="1">
        <f t="array" ref="G35">ABS(pred_GDP_1qa!G39-pred_GDP_1qa!$B39)</f>
        <v>#N/A</v>
      </c>
      <c r="H35" s="10" cm="1">
        <f t="array" ref="H35">ABS(pred_GDP_1qa!H39-pred_GDP_1qa!$B39)</f>
        <v>0.12163999999999997</v>
      </c>
      <c r="I35" s="10" cm="1">
        <f t="array" ref="I35">ABS(pred_GDP_1qa!I39-pred_GDP_1qa!$B39)</f>
        <v>0.21295999999999993</v>
      </c>
      <c r="J35" s="10" cm="1">
        <f t="array" ref="J35">ABS(pred_GDP_1qa!J39-pred_GDP_1qa!$B39)</f>
        <v>1.2348399999999999</v>
      </c>
      <c r="K35" s="10" cm="1">
        <f t="array" ref="K35">ABS(pred_GDP_1qa!K39-pred_GDP_1qa!$B39)</f>
        <v>0.34407999999999994</v>
      </c>
      <c r="L35" s="10" cm="1">
        <f t="array" ref="L35">ABS(pred_GDP_1qa!L39-pred_GDP_1qa!$B39)</f>
        <v>0.39999999999999991</v>
      </c>
      <c r="M35" s="10" cm="1">
        <f t="array" ref="M35">ABS(pred_GDP_1qa!M39-pred_GDP_1qa!$B39)</f>
        <v>0.40926999999999991</v>
      </c>
      <c r="N35" s="10" cm="1">
        <f t="array" ref="N35">ABS(pred_GDP_1qa!N39-pred_GDP_1qa!$B39)</f>
        <v>9.5310000000000006E-2</v>
      </c>
      <c r="O35" s="10" cm="1">
        <f t="array" ref="O35">ABS(pred_GDP_1qa!O39-pred_GDP_1qa!$B39)</f>
        <v>0.55008999999999997</v>
      </c>
      <c r="P35" s="10" cm="1">
        <f t="array" ref="P35">ABS(pred_GDP_1qa!P39-pred_GDP_1qa!$B39)</f>
        <v>0.21365999999999996</v>
      </c>
      <c r="Q35" s="6"/>
      <c r="R35" s="10">
        <v>0.29610278602368401</v>
      </c>
      <c r="S35" s="10">
        <v>0.28477400000000003</v>
      </c>
      <c r="T35" s="10">
        <v>0.29610278602368401</v>
      </c>
      <c r="U35" s="10">
        <v>0.28477400000000003</v>
      </c>
      <c r="V35" s="10">
        <v>0.29610278602368401</v>
      </c>
      <c r="W35" s="10">
        <v>0.29610278602368401</v>
      </c>
      <c r="X35" s="10">
        <v>0.29610278602368401</v>
      </c>
      <c r="Y35" s="10">
        <v>0.29610278602368401</v>
      </c>
      <c r="Z35" s="10">
        <v>0.29610278602368401</v>
      </c>
    </row>
    <row r="36" spans="1:26" ht="13.8" customHeight="1" x14ac:dyDescent="0.25">
      <c r="A36" s="15">
        <v>42614</v>
      </c>
      <c r="B36" s="16">
        <v>0.4</v>
      </c>
      <c r="C36" s="21" cm="1">
        <f t="array" ref="C36">ABS(pred_GDP_1qa!C40-pred_GDP_1qa!$B40)</f>
        <v>0.38732</v>
      </c>
      <c r="D36" s="10" cm="1">
        <f t="array" ref="D36">ABS(pred_GDP_1qa!D40-pred_GDP_1qa!$B40)</f>
        <v>5.2510000000000001E-2</v>
      </c>
      <c r="E36" s="10" cm="1">
        <f t="array" ref="E36">ABS(pred_GDP_1qa!E40-pred_GDP_1qa!$B40)</f>
        <v>4.0789999999999993E-2</v>
      </c>
      <c r="F36" s="10" cm="1">
        <f t="array" ref="F36">ABS(pred_GDP_1qa!F40-pred_GDP_1qa!$B40)</f>
        <v>0.24712000000000001</v>
      </c>
      <c r="G36" s="10" t="e" cm="1">
        <f t="array" ref="G36">ABS(pred_GDP_1qa!G40-pred_GDP_1qa!$B40)</f>
        <v>#N/A</v>
      </c>
      <c r="H36" s="10" cm="1">
        <f t="array" ref="H36">ABS(pred_GDP_1qa!H40-pred_GDP_1qa!$B40)</f>
        <v>0.64601000000000008</v>
      </c>
      <c r="I36" s="10" cm="1">
        <f t="array" ref="I36">ABS(pred_GDP_1qa!I40-pred_GDP_1qa!$B40)</f>
        <v>0.48748999999999998</v>
      </c>
      <c r="J36" s="10" cm="1">
        <f t="array" ref="J36">ABS(pred_GDP_1qa!J40-pred_GDP_1qa!$B40)</f>
        <v>1.4439999999999953E-2</v>
      </c>
      <c r="K36" s="10" cm="1">
        <f t="array" ref="K36">ABS(pred_GDP_1qa!K40-pred_GDP_1qa!$B40)</f>
        <v>0.10363999999999995</v>
      </c>
      <c r="L36" s="10" cm="1">
        <f t="array" ref="L36">ABS(pred_GDP_1qa!L40-pred_GDP_1qa!$B40)</f>
        <v>0.4</v>
      </c>
      <c r="M36" s="10" cm="1">
        <f t="array" ref="M36">ABS(pred_GDP_1qa!M40-pred_GDP_1qa!$B40)</f>
        <v>5.7899999999999618E-3</v>
      </c>
      <c r="N36" s="10" cm="1">
        <f t="array" ref="N36">ABS(pred_GDP_1qa!N40-pred_GDP_1qa!$B40)</f>
        <v>0.73504999999999987</v>
      </c>
      <c r="O36" s="10" cm="1">
        <f t="array" ref="O36">ABS(pred_GDP_1qa!O40-pred_GDP_1qa!$B40)</f>
        <v>0.28818999999999995</v>
      </c>
      <c r="P36" s="10" cm="1">
        <f t="array" ref="P36">ABS(pred_GDP_1qa!P40-pred_GDP_1qa!$B40)</f>
        <v>0.61988999999999994</v>
      </c>
      <c r="Q36" s="6"/>
      <c r="R36" s="10">
        <v>0.35014649938451498</v>
      </c>
      <c r="S36" s="10">
        <v>0.36055125999999998</v>
      </c>
      <c r="T36" s="10">
        <v>0.35014649938451498</v>
      </c>
      <c r="U36" s="10">
        <v>0.36611872595902101</v>
      </c>
      <c r="V36" s="10">
        <v>0.35014649938451498</v>
      </c>
      <c r="W36" s="10">
        <v>0.35014649938451498</v>
      </c>
      <c r="X36" s="10">
        <v>0.35014649938451498</v>
      </c>
      <c r="Y36" s="10">
        <v>0.35014649938451498</v>
      </c>
      <c r="Z36" s="10">
        <v>0.35014649938451498</v>
      </c>
    </row>
    <row r="37" spans="1:26" ht="13.8" customHeight="1" x14ac:dyDescent="0.25">
      <c r="A37" s="15">
        <v>42705</v>
      </c>
      <c r="B37" s="16">
        <v>0.6</v>
      </c>
      <c r="C37" s="21" cm="1">
        <f t="array" ref="C37">ABS(pred_GDP_1qa!C41-pred_GDP_1qa!$B41)</f>
        <v>1.6759999999999997E-2</v>
      </c>
      <c r="D37" s="10" cm="1">
        <f t="array" ref="D37">ABS(pred_GDP_1qa!D41-pred_GDP_1qa!$B41)</f>
        <v>0.13693</v>
      </c>
      <c r="E37" s="10" cm="1">
        <f t="array" ref="E37">ABS(pred_GDP_1qa!E41-pred_GDP_1qa!$B41)</f>
        <v>0.20093999999999995</v>
      </c>
      <c r="F37" s="10" cm="1">
        <f t="array" ref="F37">ABS(pred_GDP_1qa!F41-pred_GDP_1qa!$B41)</f>
        <v>8.1479999999999997E-2</v>
      </c>
      <c r="G37" s="10" t="e" cm="1">
        <f t="array" ref="G37">ABS(pred_GDP_1qa!G41-pred_GDP_1qa!$B41)</f>
        <v>#N/A</v>
      </c>
      <c r="H37" s="10" cm="1">
        <f t="array" ref="H37">ABS(pred_GDP_1qa!H41-pred_GDP_1qa!$B41)</f>
        <v>4.5379999999999976E-2</v>
      </c>
      <c r="I37" s="10" cm="1">
        <f t="array" ref="I37">ABS(pred_GDP_1qa!I41-pred_GDP_1qa!$B41)</f>
        <v>6.9550000000000001E-2</v>
      </c>
      <c r="J37" s="10" cm="1">
        <f t="array" ref="J37">ABS(pred_GDP_1qa!J41-pred_GDP_1qa!$B41)</f>
        <v>0.35980000000000001</v>
      </c>
      <c r="K37" s="10" cm="1">
        <f t="array" ref="K37">ABS(pred_GDP_1qa!K41-pred_GDP_1qa!$B41)</f>
        <v>9.0380000000000016E-2</v>
      </c>
      <c r="L37" s="10" cm="1">
        <f t="array" ref="L37">ABS(pred_GDP_1qa!L41-pred_GDP_1qa!$B41)</f>
        <v>9.9999999999999978E-2</v>
      </c>
      <c r="M37" s="10" cm="1">
        <f t="array" ref="M37">ABS(pred_GDP_1qa!M41-pred_GDP_1qa!$B41)</f>
        <v>7.0609999999999951E-2</v>
      </c>
      <c r="N37" s="10" cm="1">
        <f t="array" ref="N37">ABS(pred_GDP_1qa!N41-pred_GDP_1qa!$B41)</f>
        <v>0.6468600000000001</v>
      </c>
      <c r="O37" s="10" cm="1">
        <f t="array" ref="O37">ABS(pred_GDP_1qa!O41-pred_GDP_1qa!$B41)</f>
        <v>3.080000000000005E-2</v>
      </c>
      <c r="P37" s="10" cm="1">
        <f t="array" ref="P37">ABS(pred_GDP_1qa!P41-pred_GDP_1qa!$B41)</f>
        <v>0.25448000000000004</v>
      </c>
      <c r="Q37" s="6"/>
      <c r="R37" s="10">
        <v>8.6826227859210001E-2</v>
      </c>
      <c r="S37" s="10">
        <v>7.7116235841309999E-2</v>
      </c>
      <c r="T37" s="10">
        <v>9.7866999999999996E-2</v>
      </c>
      <c r="U37" s="10">
        <v>7.7116235841309999E-2</v>
      </c>
      <c r="V37" s="10">
        <v>9.8026673604159995E-2</v>
      </c>
      <c r="W37" s="10">
        <v>9.7468830780229998E-2</v>
      </c>
      <c r="X37" s="10">
        <v>8.4539890402589996E-2</v>
      </c>
      <c r="Y37" s="10">
        <v>8.6265237955560001E-2</v>
      </c>
      <c r="Z37" s="10">
        <v>8.6265237955560001E-2</v>
      </c>
    </row>
    <row r="38" spans="1:26" ht="13.8" customHeight="1" x14ac:dyDescent="0.25">
      <c r="A38" s="15">
        <v>42795</v>
      </c>
      <c r="B38" s="16">
        <v>1</v>
      </c>
      <c r="C38" s="21" cm="1">
        <f t="array" ref="C38">ABS(pred_GDP_1qa!C42-pred_GDP_1qa!$B42)</f>
        <v>8.9650000000000007E-2</v>
      </c>
      <c r="D38" s="10" cm="1">
        <f t="array" ref="D38">ABS(pred_GDP_1qa!D42-pred_GDP_1qa!$B42)</f>
        <v>8.391000000000004E-2</v>
      </c>
      <c r="E38" s="10" cm="1">
        <f t="array" ref="E38">ABS(pred_GDP_1qa!E42-pred_GDP_1qa!$B42)</f>
        <v>0.12251000000000001</v>
      </c>
      <c r="F38" s="10" cm="1">
        <f t="array" ref="F38">ABS(pred_GDP_1qa!F42-pred_GDP_1qa!$B42)</f>
        <v>0.21419999999999995</v>
      </c>
      <c r="G38" s="10" t="e" cm="1">
        <f t="array" ref="G38">ABS(pred_GDP_1qa!G42-pred_GDP_1qa!$B42)</f>
        <v>#N/A</v>
      </c>
      <c r="H38" s="10" cm="1">
        <f t="array" ref="H38">ABS(pred_GDP_1qa!H42-pred_GDP_1qa!$B42)</f>
        <v>0.34306999999999999</v>
      </c>
      <c r="I38" s="10" cm="1">
        <f t="array" ref="I38">ABS(pred_GDP_1qa!I42-pred_GDP_1qa!$B42)</f>
        <v>9.8349999999999937E-2</v>
      </c>
      <c r="J38" s="10" cm="1">
        <f t="array" ref="J38">ABS(pred_GDP_1qa!J42-pred_GDP_1qa!$B42)</f>
        <v>0.89307999999999998</v>
      </c>
      <c r="K38" s="10" cm="1">
        <f t="array" ref="K38">ABS(pred_GDP_1qa!K42-pred_GDP_1qa!$B42)</f>
        <v>0.81616</v>
      </c>
      <c r="L38" s="10" cm="1">
        <f t="array" ref="L38">ABS(pred_GDP_1qa!L42-pred_GDP_1qa!$B42)</f>
        <v>0.19999999999999996</v>
      </c>
      <c r="M38" s="10" cm="1">
        <f t="array" ref="M38">ABS(pred_GDP_1qa!M42-pred_GDP_1qa!$B42)</f>
        <v>0.32237000000000005</v>
      </c>
      <c r="N38" s="10" cm="1">
        <f t="array" ref="N38">ABS(pred_GDP_1qa!N42-pred_GDP_1qa!$B42)</f>
        <v>0.2422200000000001</v>
      </c>
      <c r="O38" s="10" cm="1">
        <f t="array" ref="O38">ABS(pred_GDP_1qa!O42-pred_GDP_1qa!$B42)</f>
        <v>1.4580000000000037E-2</v>
      </c>
      <c r="P38" s="10" cm="1">
        <f t="array" ref="P38">ABS(pred_GDP_1qa!P42-pred_GDP_1qa!$B42)</f>
        <v>0.15928000000000009</v>
      </c>
      <c r="Q38" s="6"/>
      <c r="R38" s="10">
        <v>0.15854855072910701</v>
      </c>
      <c r="S38" s="10">
        <v>0.14540700000000001</v>
      </c>
      <c r="T38" s="10">
        <v>0.30852499999999999</v>
      </c>
      <c r="U38" s="10">
        <v>0.145376205119606</v>
      </c>
      <c r="V38" s="10">
        <v>0.28664444691868002</v>
      </c>
      <c r="W38" s="10">
        <v>0.28084988834621999</v>
      </c>
      <c r="X38" s="10">
        <v>0.17905430151985999</v>
      </c>
      <c r="Y38" s="10">
        <v>0.15738065772659701</v>
      </c>
      <c r="Z38" s="10">
        <v>0.158187290243748</v>
      </c>
    </row>
    <row r="39" spans="1:26" ht="13.8" customHeight="1" x14ac:dyDescent="0.25">
      <c r="A39" s="15">
        <v>42887</v>
      </c>
      <c r="B39" s="16">
        <v>0.8</v>
      </c>
      <c r="C39" s="21" cm="1">
        <f t="array" ref="C39">ABS(pred_GDP_1qa!C43-pred_GDP_1qa!$B43)</f>
        <v>9.2380000000000018E-2</v>
      </c>
      <c r="D39" s="10" cm="1">
        <f t="array" ref="D39">ABS(pred_GDP_1qa!D43-pred_GDP_1qa!$B43)</f>
        <v>0.33027000000000006</v>
      </c>
      <c r="E39" s="10" cm="1">
        <f t="array" ref="E39">ABS(pred_GDP_1qa!E43-pred_GDP_1qa!$B43)</f>
        <v>0.34980000000000006</v>
      </c>
      <c r="F39" s="10" cm="1">
        <f t="array" ref="F39">ABS(pred_GDP_1qa!F43-pred_GDP_1qa!$B43)</f>
        <v>5.7919999999999972E-2</v>
      </c>
      <c r="G39" s="10" t="e" cm="1">
        <f t="array" ref="G39">ABS(pred_GDP_1qa!G43-pred_GDP_1qa!$B43)</f>
        <v>#N/A</v>
      </c>
      <c r="H39" s="10" cm="1">
        <f t="array" ref="H39">ABS(pred_GDP_1qa!H43-pred_GDP_1qa!$B43)</f>
        <v>0.24834999999999985</v>
      </c>
      <c r="I39" s="10" cm="1">
        <f t="array" ref="I39">ABS(pred_GDP_1qa!I43-pred_GDP_1qa!$B43)</f>
        <v>0.28066999999999998</v>
      </c>
      <c r="J39" s="10" cm="1">
        <f t="array" ref="J39">ABS(pred_GDP_1qa!J43-pred_GDP_1qa!$B43)</f>
        <v>0.39335000000000003</v>
      </c>
      <c r="K39" s="10" cm="1">
        <f t="array" ref="K39">ABS(pred_GDP_1qa!K43-pred_GDP_1qa!$B43)</f>
        <v>1.15811</v>
      </c>
      <c r="L39" s="10" cm="1">
        <f t="array" ref="L39">ABS(pred_GDP_1qa!L43-pred_GDP_1qa!$B43)</f>
        <v>0.20000000000000007</v>
      </c>
      <c r="M39" s="10" cm="1">
        <f t="array" ref="M39">ABS(pred_GDP_1qa!M43-pred_GDP_1qa!$B43)</f>
        <v>0.39011000000000007</v>
      </c>
      <c r="N39" s="10" cm="1">
        <f t="array" ref="N39">ABS(pred_GDP_1qa!N43-pred_GDP_1qa!$B43)</f>
        <v>0.20120999999999989</v>
      </c>
      <c r="O39" s="10" cm="1">
        <f t="array" ref="O39">ABS(pred_GDP_1qa!O43-pred_GDP_1qa!$B43)</f>
        <v>2.145000000000008E-2</v>
      </c>
      <c r="P39" s="10" cm="1">
        <f t="array" ref="P39">ABS(pred_GDP_1qa!P43-pred_GDP_1qa!$B43)</f>
        <v>0.43764999999999987</v>
      </c>
      <c r="Q39" s="6"/>
      <c r="R39" s="10">
        <v>0.69210409622726299</v>
      </c>
      <c r="S39" s="10">
        <v>0.65654105034134302</v>
      </c>
      <c r="T39" s="10">
        <v>1.000759</v>
      </c>
      <c r="U39" s="10">
        <v>0.65681866634733399</v>
      </c>
      <c r="V39" s="10">
        <v>0.81279673420542997</v>
      </c>
      <c r="W39" s="10">
        <v>0.818579506599589</v>
      </c>
      <c r="X39" s="10">
        <v>0.78710939000295799</v>
      </c>
      <c r="Y39" s="10">
        <v>0.70186834022320799</v>
      </c>
      <c r="Z39" s="10">
        <v>0.68847032663863195</v>
      </c>
    </row>
    <row r="40" spans="1:26" ht="13.8" customHeight="1" x14ac:dyDescent="0.25">
      <c r="A40" s="15">
        <v>42979</v>
      </c>
      <c r="B40" s="16">
        <v>1.4</v>
      </c>
      <c r="C40" s="21" cm="1">
        <f t="array" ref="C40">ABS(pred_GDP_1qa!C44-pred_GDP_1qa!$B44)</f>
        <v>0.47786999999999991</v>
      </c>
      <c r="D40" s="10" cm="1">
        <f t="array" ref="D40">ABS(pred_GDP_1qa!D44-pred_GDP_1qa!$B44)</f>
        <v>0.89928999999999992</v>
      </c>
      <c r="E40" s="10" cm="1">
        <f t="array" ref="E40">ABS(pred_GDP_1qa!E44-pred_GDP_1qa!$B44)</f>
        <v>0.95091999999999999</v>
      </c>
      <c r="F40" s="10" cm="1">
        <f t="array" ref="F40">ABS(pred_GDP_1qa!F44-pred_GDP_1qa!$B44)</f>
        <v>0.48663999999999996</v>
      </c>
      <c r="G40" s="10" t="e" cm="1">
        <f t="array" ref="G40">ABS(pred_GDP_1qa!G44-pred_GDP_1qa!$B44)</f>
        <v>#N/A</v>
      </c>
      <c r="H40" s="10" cm="1">
        <f t="array" ref="H40">ABS(pred_GDP_1qa!H44-pred_GDP_1qa!$B44)</f>
        <v>0.81393999999999989</v>
      </c>
      <c r="I40" s="10" cm="1">
        <f t="array" ref="I40">ABS(pred_GDP_1qa!I44-pred_GDP_1qa!$B44)</f>
        <v>0.68359999999999987</v>
      </c>
      <c r="J40" s="10" cm="1">
        <f t="array" ref="J40">ABS(pred_GDP_1qa!J44-pred_GDP_1qa!$B44)</f>
        <v>1.2753099999999999</v>
      </c>
      <c r="K40" s="10" cm="1">
        <f t="array" ref="K40">ABS(pred_GDP_1qa!K44-pred_GDP_1qa!$B44)</f>
        <v>1.1532799999999999</v>
      </c>
      <c r="L40" s="10" cm="1">
        <f t="array" ref="L40">ABS(pred_GDP_1qa!L44-pred_GDP_1qa!$B44)</f>
        <v>0.29999999999999982</v>
      </c>
      <c r="M40" s="10" cm="1">
        <f t="array" ref="M40">ABS(pred_GDP_1qa!M44-pred_GDP_1qa!$B44)</f>
        <v>0.94765999999999995</v>
      </c>
      <c r="N40" s="10" cm="1">
        <f t="array" ref="N40">ABS(pred_GDP_1qa!N44-pred_GDP_1qa!$B44)</f>
        <v>0.48920999999999992</v>
      </c>
      <c r="O40" s="10" cm="1">
        <f t="array" ref="O40">ABS(pred_GDP_1qa!O44-pred_GDP_1qa!$B44)</f>
        <v>0.55460999999999994</v>
      </c>
      <c r="P40" s="10" cm="1">
        <f t="array" ref="P40">ABS(pred_GDP_1qa!P44-pred_GDP_1qa!$B44)</f>
        <v>0.18142999999999998</v>
      </c>
      <c r="Q40" s="6"/>
      <c r="R40" s="10">
        <v>1.01532873970747</v>
      </c>
      <c r="S40" s="10">
        <v>1.0193522500000001</v>
      </c>
      <c r="T40" s="10">
        <v>1.04325213918027</v>
      </c>
      <c r="U40" s="10">
        <v>1.0193522500000001</v>
      </c>
      <c r="V40" s="10">
        <v>1.0525133345736599</v>
      </c>
      <c r="W40" s="10">
        <v>1.0493793354129399</v>
      </c>
      <c r="X40" s="10">
        <v>1.01325680233101</v>
      </c>
      <c r="Y40" s="10">
        <v>1.01400401359907</v>
      </c>
      <c r="Z40" s="10">
        <v>1.0193522500000001</v>
      </c>
    </row>
    <row r="41" spans="1:26" ht="13.8" customHeight="1" x14ac:dyDescent="0.25">
      <c r="A41" s="15">
        <v>43070</v>
      </c>
      <c r="B41" s="16">
        <v>-0.3</v>
      </c>
      <c r="C41" s="21" cm="1">
        <f t="array" ref="C41">ABS(pred_GDP_1qa!C45-pred_GDP_1qa!$B45)</f>
        <v>1.27254</v>
      </c>
      <c r="D41" s="10" cm="1">
        <f t="array" ref="D41">ABS(pred_GDP_1qa!D45-pred_GDP_1qa!$B45)</f>
        <v>0.84775</v>
      </c>
      <c r="E41" s="10" cm="1">
        <f t="array" ref="E41">ABS(pred_GDP_1qa!E45-pred_GDP_1qa!$B45)</f>
        <v>0.76282000000000005</v>
      </c>
      <c r="F41" s="10" cm="1">
        <f t="array" ref="F41">ABS(pred_GDP_1qa!F45-pred_GDP_1qa!$B45)</f>
        <v>0.73926000000000003</v>
      </c>
      <c r="G41" s="10" t="e" cm="1">
        <f t="array" ref="G41">ABS(pred_GDP_1qa!G45-pred_GDP_1qa!$B45)</f>
        <v>#N/A</v>
      </c>
      <c r="H41" s="10" cm="1">
        <f t="array" ref="H41">ABS(pred_GDP_1qa!H45-pred_GDP_1qa!$B45)</f>
        <v>1.28617</v>
      </c>
      <c r="I41" s="10" cm="1">
        <f t="array" ref="I41">ABS(pred_GDP_1qa!I45-pred_GDP_1qa!$B45)</f>
        <v>1.35751</v>
      </c>
      <c r="J41" s="10" cm="1">
        <f t="array" ref="J41">ABS(pred_GDP_1qa!J45-pred_GDP_1qa!$B45)</f>
        <v>0.38408999999999999</v>
      </c>
      <c r="K41" s="10" cm="1">
        <f t="array" ref="K41">ABS(pred_GDP_1qa!K45-pred_GDP_1qa!$B45)</f>
        <v>0.72293999999999992</v>
      </c>
      <c r="L41" s="10" cm="1">
        <f t="array" ref="L41">ABS(pred_GDP_1qa!L45-pred_GDP_1qa!$B45)</f>
        <v>1.2</v>
      </c>
      <c r="M41" s="10" cm="1">
        <f t="array" ref="M41">ABS(pred_GDP_1qa!M45-pred_GDP_1qa!$B45)</f>
        <v>0.80966999999999989</v>
      </c>
      <c r="N41" s="10" cm="1">
        <f t="array" ref="N41">ABS(pred_GDP_1qa!N45-pred_GDP_1qa!$B45)</f>
        <v>1.5478000000000001</v>
      </c>
      <c r="O41" s="10" cm="1">
        <f t="array" ref="O41">ABS(pred_GDP_1qa!O45-pred_GDP_1qa!$B45)</f>
        <v>1.1493800000000001</v>
      </c>
      <c r="P41" s="10" cm="1">
        <f t="array" ref="P41">ABS(pred_GDP_1qa!P45-pred_GDP_1qa!$B45)</f>
        <v>1.42079</v>
      </c>
      <c r="Q41" s="6"/>
      <c r="R41" s="10">
        <v>0.33631228902703297</v>
      </c>
      <c r="S41" s="10">
        <v>0.36293199999999998</v>
      </c>
      <c r="T41" s="10">
        <v>0.36293199999999998</v>
      </c>
      <c r="U41" s="10">
        <v>0.35439632500613</v>
      </c>
      <c r="V41" s="10">
        <v>0.27896374698026999</v>
      </c>
      <c r="W41" s="10">
        <v>0.27628187658762998</v>
      </c>
      <c r="X41" s="10">
        <v>0.2985528406745</v>
      </c>
      <c r="Y41" s="10">
        <v>0.31776567171537801</v>
      </c>
      <c r="Z41" s="10">
        <v>0.327995537245098</v>
      </c>
    </row>
    <row r="42" spans="1:26" ht="13.8" customHeight="1" x14ac:dyDescent="0.25">
      <c r="A42" s="15">
        <v>43160</v>
      </c>
      <c r="B42" s="16">
        <v>1.3</v>
      </c>
      <c r="C42" s="21" cm="1">
        <f t="array" ref="C42">ABS(pred_GDP_1qa!C46-pred_GDP_1qa!$B46)</f>
        <v>0.37509000000000003</v>
      </c>
      <c r="D42" s="10" cm="1">
        <f t="array" ref="D42">ABS(pred_GDP_1qa!D46-pred_GDP_1qa!$B46)</f>
        <v>0.63058000000000003</v>
      </c>
      <c r="E42" s="10" cm="1">
        <f t="array" ref="E42">ABS(pred_GDP_1qa!E46-pred_GDP_1qa!$B46)</f>
        <v>0.68606</v>
      </c>
      <c r="F42" s="10" cm="1">
        <f t="array" ref="F42">ABS(pred_GDP_1qa!F46-pred_GDP_1qa!$B46)</f>
        <v>0.32867000000000002</v>
      </c>
      <c r="G42" s="10" t="e" cm="1">
        <f t="array" ref="G42">ABS(pred_GDP_1qa!G46-pred_GDP_1qa!$B46)</f>
        <v>#N/A</v>
      </c>
      <c r="H42" s="10" cm="1">
        <f t="array" ref="H42">ABS(pred_GDP_1qa!H46-pred_GDP_1qa!$B46)</f>
        <v>0.46233000000000002</v>
      </c>
      <c r="I42" s="10" cm="1">
        <f t="array" ref="I42">ABS(pred_GDP_1qa!I46-pred_GDP_1qa!$B46)</f>
        <v>0.50292000000000003</v>
      </c>
      <c r="J42" s="10" cm="1">
        <f t="array" ref="J42">ABS(pred_GDP_1qa!J46-pred_GDP_1qa!$B46)</f>
        <v>1.09354</v>
      </c>
      <c r="K42" s="10" cm="1">
        <f t="array" ref="K42">ABS(pred_GDP_1qa!K46-pred_GDP_1qa!$B46)</f>
        <v>0.66848000000000007</v>
      </c>
      <c r="L42" s="10" cm="1">
        <f t="array" ref="L42">ABS(pred_GDP_1qa!L46-pred_GDP_1qa!$B46)</f>
        <v>0.19999999999999996</v>
      </c>
      <c r="M42" s="10" cm="1">
        <f t="array" ref="M42">ABS(pred_GDP_1qa!M46-pred_GDP_1qa!$B46)</f>
        <v>0.63369000000000009</v>
      </c>
      <c r="N42" s="10" cm="1">
        <f t="array" ref="N42">ABS(pred_GDP_1qa!N46-pred_GDP_1qa!$B46)</f>
        <v>0.42699000000000009</v>
      </c>
      <c r="O42" s="10" cm="1">
        <f t="array" ref="O42">ABS(pred_GDP_1qa!O46-pred_GDP_1qa!$B46)</f>
        <v>0.75122</v>
      </c>
      <c r="P42" s="10" cm="1">
        <f t="array" ref="P42">ABS(pred_GDP_1qa!P46-pred_GDP_1qa!$B46)</f>
        <v>0.52751999999999999</v>
      </c>
      <c r="Q42" s="6"/>
      <c r="R42" s="10">
        <v>6.6115275186860003E-3</v>
      </c>
      <c r="S42" s="10">
        <v>6.6259100000000001E-2</v>
      </c>
      <c r="T42" s="10">
        <v>0.12273773275599099</v>
      </c>
      <c r="U42" s="10">
        <v>6.6259100000000001E-2</v>
      </c>
      <c r="V42" s="10">
        <v>6.4205867640945005E-2</v>
      </c>
      <c r="W42" s="10">
        <v>6.0638945477485003E-2</v>
      </c>
      <c r="X42" s="10">
        <v>2.8780402176060002E-3</v>
      </c>
      <c r="Y42" s="10">
        <v>4.2656668611989997E-3</v>
      </c>
      <c r="Z42" s="10">
        <v>6.4205867640945005E-2</v>
      </c>
    </row>
    <row r="43" spans="1:26" ht="13.8" customHeight="1" x14ac:dyDescent="0.25">
      <c r="A43" s="15">
        <v>43252</v>
      </c>
      <c r="B43" s="16">
        <v>0.7</v>
      </c>
      <c r="C43" s="21" cm="1">
        <f t="array" ref="C43">ABS(pred_GDP_1qa!C47-pred_GDP_1qa!$B47)</f>
        <v>8.9029999999999943E-2</v>
      </c>
      <c r="D43" s="10" cm="1">
        <f t="array" ref="D43">ABS(pred_GDP_1qa!D47-pred_GDP_1qa!$B47)</f>
        <v>1.0599999999999943E-2</v>
      </c>
      <c r="E43" s="10" cm="1">
        <f t="array" ref="E43">ABS(pred_GDP_1qa!E47-pred_GDP_1qa!$B47)</f>
        <v>4.8889999999999989E-2</v>
      </c>
      <c r="F43" s="10" cm="1">
        <f t="array" ref="F43">ABS(pred_GDP_1qa!F47-pred_GDP_1qa!$B47)</f>
        <v>0.1849599999999999</v>
      </c>
      <c r="G43" s="10" t="e" cm="1">
        <f t="array" ref="G43">ABS(pred_GDP_1qa!G47-pred_GDP_1qa!$B47)</f>
        <v>#N/A</v>
      </c>
      <c r="H43" s="10" cm="1">
        <f t="array" ref="H43">ABS(pred_GDP_1qa!H47-pred_GDP_1qa!$B47)</f>
        <v>0.36597999999999997</v>
      </c>
      <c r="I43" s="10" cm="1">
        <f t="array" ref="I43">ABS(pred_GDP_1qa!I47-pred_GDP_1qa!$B47)</f>
        <v>0.20624999999999993</v>
      </c>
      <c r="J43" s="10" cm="1">
        <f t="array" ref="J43">ABS(pred_GDP_1qa!J47-pred_GDP_1qa!$B47)</f>
        <v>0.42852999999999997</v>
      </c>
      <c r="K43" s="10" cm="1">
        <f t="array" ref="K43">ABS(pred_GDP_1qa!K47-pred_GDP_1qa!$B47)</f>
        <v>0.21975999999999996</v>
      </c>
      <c r="L43" s="10" cm="1">
        <f t="array" ref="L43">ABS(pred_GDP_1qa!L47-pred_GDP_1qa!$B47)</f>
        <v>9.9999999999999978E-2</v>
      </c>
      <c r="M43" s="10" cm="1">
        <f t="array" ref="M43">ABS(pred_GDP_1qa!M47-pred_GDP_1qa!$B47)</f>
        <v>0.12574999999999992</v>
      </c>
      <c r="N43" s="10" cm="1">
        <f t="array" ref="N43">ABS(pred_GDP_1qa!N47-pred_GDP_1qa!$B47)</f>
        <v>8.232000000000006E-2</v>
      </c>
      <c r="O43" s="10" cm="1">
        <f t="array" ref="O43">ABS(pred_GDP_1qa!O47-pred_GDP_1qa!$B47)</f>
        <v>3.6549999999999971E-2</v>
      </c>
      <c r="P43" s="10" cm="1">
        <f t="array" ref="P43">ABS(pred_GDP_1qa!P47-pred_GDP_1qa!$B47)</f>
        <v>0.30266000000000015</v>
      </c>
      <c r="Q43" s="6"/>
      <c r="R43" s="10">
        <v>6.0551647160818997E-2</v>
      </c>
      <c r="S43" s="10">
        <v>4.256360970225E-3</v>
      </c>
      <c r="T43" s="10">
        <v>4.256360970225E-3</v>
      </c>
      <c r="U43" s="10">
        <v>3.5839223730270002E-3</v>
      </c>
      <c r="V43" s="10">
        <v>5.7856486438050997E-2</v>
      </c>
      <c r="W43" s="10">
        <v>5.2982565430816003E-2</v>
      </c>
      <c r="X43" s="10">
        <v>4.7709770450914998E-2</v>
      </c>
      <c r="Y43" s="10">
        <v>6.038020812192E-2</v>
      </c>
      <c r="Z43" s="10">
        <v>4.256360970225E-3</v>
      </c>
    </row>
    <row r="44" spans="1:26" ht="13.8" customHeight="1" x14ac:dyDescent="0.25">
      <c r="A44" s="15">
        <v>43344</v>
      </c>
      <c r="B44" s="16">
        <v>0.6</v>
      </c>
      <c r="C44" s="21" cm="1">
        <f t="array" ref="C44">ABS(pred_GDP_1qa!C48-pred_GDP_1qa!$B48)</f>
        <v>0.44817999999999991</v>
      </c>
      <c r="D44" s="10" cm="1">
        <f t="array" ref="D44">ABS(pred_GDP_1qa!D48-pred_GDP_1qa!$B48)</f>
        <v>7.7300000000000146E-3</v>
      </c>
      <c r="E44" s="10" cm="1">
        <f t="array" ref="E44">ABS(pred_GDP_1qa!E48-pred_GDP_1qa!$B48)</f>
        <v>3.456999999999999E-2</v>
      </c>
      <c r="F44" s="10" cm="1">
        <f t="array" ref="F44">ABS(pred_GDP_1qa!F48-pred_GDP_1qa!$B48)</f>
        <v>0.19571000000000005</v>
      </c>
      <c r="G44" s="10" t="e" cm="1">
        <f t="array" ref="G44">ABS(pred_GDP_1qa!G48-pred_GDP_1qa!$B48)</f>
        <v>#N/A</v>
      </c>
      <c r="H44" s="10" cm="1">
        <f t="array" ref="H44">ABS(pred_GDP_1qa!H48-pred_GDP_1qa!$B48)</f>
        <v>0.67523999999999995</v>
      </c>
      <c r="I44" s="10" cm="1">
        <f t="array" ref="I44">ABS(pred_GDP_1qa!I48-pred_GDP_1qa!$B48)</f>
        <v>0.32318999999999998</v>
      </c>
      <c r="J44" s="10" cm="1">
        <f t="array" ref="J44">ABS(pred_GDP_1qa!J48-pred_GDP_1qa!$B48)</f>
        <v>0.40203</v>
      </c>
      <c r="K44" s="10" cm="1">
        <f t="array" ref="K44">ABS(pred_GDP_1qa!K48-pred_GDP_1qa!$B48)</f>
        <v>4.220999999999997E-2</v>
      </c>
      <c r="L44" s="10" cm="1">
        <f t="array" ref="L44">ABS(pred_GDP_1qa!L48-pred_GDP_1qa!$B48)</f>
        <v>0.20000000000000007</v>
      </c>
      <c r="M44" s="10" cm="1">
        <f t="array" ref="M44">ABS(pred_GDP_1qa!M48-pred_GDP_1qa!$B48)</f>
        <v>2.0869999999999944E-2</v>
      </c>
      <c r="N44" s="10" cm="1">
        <f t="array" ref="N44">ABS(pred_GDP_1qa!N48-pred_GDP_1qa!$B48)</f>
        <v>0.86175999999999997</v>
      </c>
      <c r="O44" s="10" cm="1">
        <f t="array" ref="O44">ABS(pred_GDP_1qa!O48-pred_GDP_1qa!$B48)</f>
        <v>6.9000000000000172E-3</v>
      </c>
      <c r="P44" s="10" cm="1">
        <f t="array" ref="P44">ABS(pred_GDP_1qa!P48-pred_GDP_1qa!$B48)</f>
        <v>0.24057000000000006</v>
      </c>
      <c r="Q44" s="6"/>
      <c r="R44" s="10">
        <v>0.19957879711672999</v>
      </c>
      <c r="S44" s="10">
        <v>0.24896725942010001</v>
      </c>
      <c r="T44" s="10">
        <v>0.14688172158614701</v>
      </c>
      <c r="U44" s="10">
        <v>0.269301217487742</v>
      </c>
      <c r="V44" s="10">
        <v>0.25235301125322901</v>
      </c>
      <c r="W44" s="10">
        <v>0.247192226554376</v>
      </c>
      <c r="X44" s="10">
        <v>0.20413937719240899</v>
      </c>
      <c r="Y44" s="10">
        <v>0.20000461885166801</v>
      </c>
      <c r="Z44" s="10">
        <v>0.248535585348513</v>
      </c>
    </row>
    <row r="45" spans="1:26" ht="13.8" customHeight="1" x14ac:dyDescent="0.25">
      <c r="A45" s="15">
        <v>43435</v>
      </c>
      <c r="B45" s="16">
        <v>0.6</v>
      </c>
      <c r="C45" s="21" cm="1">
        <f t="array" ref="C45">ABS(pred_GDP_1qa!C49-pred_GDP_1qa!$B49)</f>
        <v>5.8099999999999929E-2</v>
      </c>
      <c r="D45" s="10" cm="1">
        <f t="array" ref="D45">ABS(pred_GDP_1qa!D49-pred_GDP_1qa!$B49)</f>
        <v>9.4659999999999966E-2</v>
      </c>
      <c r="E45" s="10" cm="1">
        <f t="array" ref="E45">ABS(pred_GDP_1qa!E49-pred_GDP_1qa!$B49)</f>
        <v>0.1532</v>
      </c>
      <c r="F45" s="10" cm="1">
        <f t="array" ref="F45">ABS(pred_GDP_1qa!F49-pred_GDP_1qa!$B49)</f>
        <v>6.7860000000000031E-2</v>
      </c>
      <c r="G45" s="10" t="e" cm="1">
        <f t="array" ref="G45">ABS(pred_GDP_1qa!G49-pred_GDP_1qa!$B49)</f>
        <v>#N/A</v>
      </c>
      <c r="H45" s="10" cm="1">
        <f t="array" ref="H45">ABS(pred_GDP_1qa!H49-pred_GDP_1qa!$B49)</f>
        <v>0.26717999999999997</v>
      </c>
      <c r="I45" s="10" cm="1">
        <f t="array" ref="I45">ABS(pred_GDP_1qa!I49-pred_GDP_1qa!$B49)</f>
        <v>8.2369999999999943E-2</v>
      </c>
      <c r="J45" s="10" cm="1">
        <f t="array" ref="J45">ABS(pred_GDP_1qa!J49-pred_GDP_1qa!$B49)</f>
        <v>0.50479999999999992</v>
      </c>
      <c r="K45" s="10" cm="1">
        <f t="array" ref="K45">ABS(pred_GDP_1qa!K49-pred_GDP_1qa!$B49)</f>
        <v>0.13619000000000003</v>
      </c>
      <c r="L45" s="10" cm="1">
        <f t="array" ref="L45">ABS(pred_GDP_1qa!L49-pred_GDP_1qa!$B49)</f>
        <v>9.9999999999999978E-2</v>
      </c>
      <c r="M45" s="10" cm="1">
        <f t="array" ref="M45">ABS(pred_GDP_1qa!M49-pred_GDP_1qa!$B49)</f>
        <v>8.6389999999999967E-2</v>
      </c>
      <c r="N45" s="10" cm="1">
        <f t="array" ref="N45">ABS(pred_GDP_1qa!N49-pred_GDP_1qa!$B49)</f>
        <v>0.35077000000000003</v>
      </c>
      <c r="O45" s="10" cm="1">
        <f t="array" ref="O45">ABS(pred_GDP_1qa!O49-pred_GDP_1qa!$B49)</f>
        <v>0.37004999999999999</v>
      </c>
      <c r="P45" s="10" cm="1">
        <f t="array" ref="P45">ABS(pred_GDP_1qa!P49-pred_GDP_1qa!$B49)</f>
        <v>0.11429</v>
      </c>
      <c r="Q45" s="6"/>
      <c r="R45" s="10">
        <v>0.29223357834805203</v>
      </c>
      <c r="S45" s="10">
        <v>0.25650499999999998</v>
      </c>
      <c r="T45" s="10">
        <v>0.46154299999999998</v>
      </c>
      <c r="U45" s="10">
        <v>0.24145007754300099</v>
      </c>
      <c r="V45" s="10">
        <v>1.48637133962161E-2</v>
      </c>
      <c r="W45" s="10">
        <v>1.5501631504712799E-2</v>
      </c>
      <c r="X45" s="10">
        <v>0.20157972148325801</v>
      </c>
      <c r="Y45" s="10">
        <v>0.29175247718307001</v>
      </c>
      <c r="Z45" s="10">
        <v>0.240800702749698</v>
      </c>
    </row>
    <row r="46" spans="1:26" ht="13.8" customHeight="1" x14ac:dyDescent="0.25">
      <c r="A46" s="15">
        <v>43525</v>
      </c>
      <c r="B46" s="16">
        <v>-0.1</v>
      </c>
      <c r="C46" s="21" cm="1">
        <f t="array" ref="C46">ABS(pred_GDP_1qa!C50-pred_GDP_1qa!$B50)</f>
        <v>0.67776000000000003</v>
      </c>
      <c r="D46" s="10" cm="1">
        <f t="array" ref="D46">ABS(pred_GDP_1qa!D50-pred_GDP_1qa!$B50)</f>
        <v>0.49509000000000003</v>
      </c>
      <c r="E46" s="10" cm="1">
        <f t="array" ref="E46">ABS(pred_GDP_1qa!E50-pred_GDP_1qa!$B50)</f>
        <v>0.43361000000000005</v>
      </c>
      <c r="F46" s="10" cm="1">
        <f t="array" ref="F46">ABS(pred_GDP_1qa!F50-pred_GDP_1qa!$B50)</f>
        <v>0.34953000000000001</v>
      </c>
      <c r="G46" s="10" t="e" cm="1">
        <f t="array" ref="G46">ABS(pred_GDP_1qa!G50-pred_GDP_1qa!$B50)</f>
        <v>#N/A</v>
      </c>
      <c r="H46" s="10" cm="1">
        <f t="array" ref="H46">ABS(pred_GDP_1qa!H50-pred_GDP_1qa!$B50)</f>
        <v>0.66220000000000001</v>
      </c>
      <c r="I46" s="10" cm="1">
        <f t="array" ref="I46">ABS(pred_GDP_1qa!I50-pred_GDP_1qa!$B50)</f>
        <v>0.71187999999999996</v>
      </c>
      <c r="J46" s="10" cm="1">
        <f t="array" ref="J46">ABS(pred_GDP_1qa!J50-pred_GDP_1qa!$B50)</f>
        <v>8.9700000000000002E-2</v>
      </c>
      <c r="K46" s="10" cm="1">
        <f t="array" ref="K46">ABS(pred_GDP_1qa!K50-pred_GDP_1qa!$B50)</f>
        <v>0.42493999999999998</v>
      </c>
      <c r="L46" s="10" cm="1">
        <f t="array" ref="L46">ABS(pred_GDP_1qa!L50-pred_GDP_1qa!$B50)</f>
        <v>0.79999999999999993</v>
      </c>
      <c r="M46" s="10" cm="1">
        <f t="array" ref="M46">ABS(pred_GDP_1qa!M50-pred_GDP_1qa!$B50)</f>
        <v>0.78928999999999994</v>
      </c>
      <c r="N46" s="10" cm="1">
        <f t="array" ref="N46">ABS(pred_GDP_1qa!N50-pred_GDP_1qa!$B50)</f>
        <v>0.71862999999999999</v>
      </c>
      <c r="O46" s="10" cm="1">
        <f t="array" ref="O46">ABS(pred_GDP_1qa!O50-pred_GDP_1qa!$B50)</f>
        <v>0.76242999999999994</v>
      </c>
      <c r="P46" s="10" cm="1">
        <f t="array" ref="P46">ABS(pred_GDP_1qa!P50-pred_GDP_1qa!$B50)</f>
        <v>0.63444999999999996</v>
      </c>
      <c r="Q46" s="6"/>
      <c r="R46" s="10">
        <v>0.167459718749327</v>
      </c>
      <c r="S46" s="10">
        <v>0.21900900000000001</v>
      </c>
      <c r="T46" s="10">
        <v>0.24591499999999999</v>
      </c>
      <c r="U46" s="10">
        <v>0.21900900000000001</v>
      </c>
      <c r="V46" s="10">
        <v>0.20583508807734599</v>
      </c>
      <c r="W46" s="10">
        <v>0.20443254798320001</v>
      </c>
      <c r="X46" s="10">
        <v>0.18943704924831101</v>
      </c>
      <c r="Y46" s="10">
        <v>0.16778809777253101</v>
      </c>
      <c r="Z46" s="10">
        <v>0.20583508807734599</v>
      </c>
    </row>
    <row r="47" spans="1:26" ht="13.8" customHeight="1" x14ac:dyDescent="0.25">
      <c r="A47" s="15">
        <v>43617</v>
      </c>
      <c r="B47" s="16">
        <v>1.1000000000000001</v>
      </c>
      <c r="C47" s="21" cm="1">
        <f t="array" ref="C47">ABS(pred_GDP_1qa!C51-pred_GDP_1qa!$B51)</f>
        <v>0.54733000000000009</v>
      </c>
      <c r="D47" s="10" cm="1">
        <f t="array" ref="D47">ABS(pred_GDP_1qa!D51-pred_GDP_1qa!$B51)</f>
        <v>0.42751000000000006</v>
      </c>
      <c r="E47" s="10" cm="1">
        <f t="array" ref="E47">ABS(pred_GDP_1qa!E51-pred_GDP_1qa!$B51)</f>
        <v>0.46579000000000004</v>
      </c>
      <c r="F47" s="10" cm="1">
        <f t="array" ref="F47">ABS(pred_GDP_1qa!F51-pred_GDP_1qa!$B51)</f>
        <v>0.69116000000000011</v>
      </c>
      <c r="G47" s="10" t="e" cm="1">
        <f t="array" ref="G47">ABS(pred_GDP_1qa!G51-pred_GDP_1qa!$B51)</f>
        <v>#N/A</v>
      </c>
      <c r="H47" s="10" cm="1">
        <f t="array" ref="H47">ABS(pred_GDP_1qa!H51-pred_GDP_1qa!$B51)</f>
        <v>0.12933000000000006</v>
      </c>
      <c r="I47" s="10" cm="1">
        <f t="array" ref="I47">ABS(pred_GDP_1qa!I51-pred_GDP_1qa!$B51)</f>
        <v>0.10999000000000014</v>
      </c>
      <c r="J47" s="10" cm="1">
        <f t="array" ref="J47">ABS(pred_GDP_1qa!J51-pred_GDP_1qa!$B51)</f>
        <v>1.39079</v>
      </c>
      <c r="K47" s="10" cm="1">
        <f t="array" ref="K47">ABS(pred_GDP_1qa!K51-pred_GDP_1qa!$B51)</f>
        <v>0.48179000000000005</v>
      </c>
      <c r="L47" s="10" cm="1">
        <f t="array" ref="L47">ABS(pred_GDP_1qa!L51-pred_GDP_1qa!$B51)</f>
        <v>0.40000000000000013</v>
      </c>
      <c r="M47" s="10" cm="1">
        <f t="array" ref="M47">ABS(pred_GDP_1qa!M51-pred_GDP_1qa!$B51)</f>
        <v>0.37562000000000006</v>
      </c>
      <c r="N47" s="10" cm="1">
        <f t="array" ref="N47">ABS(pred_GDP_1qa!N51-pred_GDP_1qa!$B51)</f>
        <v>0.19758000000000009</v>
      </c>
      <c r="O47" s="10" cm="1">
        <f t="array" ref="O47">ABS(pred_GDP_1qa!O51-pred_GDP_1qa!$B51)</f>
        <v>0.97428000000000003</v>
      </c>
      <c r="P47" s="10" cm="1">
        <f t="array" ref="P47">ABS(pred_GDP_1qa!P51-pred_GDP_1qa!$B51)</f>
        <v>0.67678000000000016</v>
      </c>
      <c r="Q47" s="6"/>
      <c r="R47" s="10">
        <v>0.277589706374816</v>
      </c>
      <c r="S47" s="10">
        <v>0.28031200000000001</v>
      </c>
      <c r="T47" s="10">
        <v>7.0158257943808006E-2</v>
      </c>
      <c r="U47" s="10">
        <v>0.27927159248540401</v>
      </c>
      <c r="V47" s="10">
        <v>0.16313576192052201</v>
      </c>
      <c r="W47" s="10">
        <v>0.16634621175782499</v>
      </c>
      <c r="X47" s="10">
        <v>0.211787348854899</v>
      </c>
      <c r="Y47" s="10">
        <v>0.26708364206718699</v>
      </c>
      <c r="Z47" s="10">
        <v>0.26660049130640601</v>
      </c>
    </row>
    <row r="48" spans="1:26" ht="13.8" customHeight="1" x14ac:dyDescent="0.25">
      <c r="A48" s="15">
        <v>43709</v>
      </c>
      <c r="B48" s="16">
        <v>0.4</v>
      </c>
      <c r="C48" s="21" cm="1">
        <f t="array" ref="C48">ABS(pred_GDP_1qa!C52-pred_GDP_1qa!$B52)</f>
        <v>7.2459999999999969E-2</v>
      </c>
      <c r="D48" s="10" cm="1">
        <f t="array" ref="D48">ABS(pred_GDP_1qa!D52-pred_GDP_1qa!$B52)</f>
        <v>0.20326</v>
      </c>
      <c r="E48" s="10" cm="1">
        <f t="array" ref="E48">ABS(pred_GDP_1qa!E52-pred_GDP_1qa!$B52)</f>
        <v>0.19833999999999996</v>
      </c>
      <c r="F48" s="10" cm="1">
        <f t="array" ref="F48">ABS(pred_GDP_1qa!F52-pred_GDP_1qa!$B52)</f>
        <v>0.17947000000000002</v>
      </c>
      <c r="G48" s="10" t="e" cm="1">
        <f t="array" ref="G48">ABS(pred_GDP_1qa!G52-pred_GDP_1qa!$B52)</f>
        <v>#N/A</v>
      </c>
      <c r="H48" s="10" cm="1">
        <f t="array" ref="H48">ABS(pred_GDP_1qa!H52-pred_GDP_1qa!$B52)</f>
        <v>6.7520000000000024E-2</v>
      </c>
      <c r="I48" s="10" cm="1">
        <f t="array" ref="I48">ABS(pred_GDP_1qa!I52-pred_GDP_1qa!$B52)</f>
        <v>0.19058999999999993</v>
      </c>
      <c r="J48" s="10" cm="1">
        <f t="array" ref="J48">ABS(pred_GDP_1qa!J52-pred_GDP_1qa!$B52)</f>
        <v>3.8099999999999967E-2</v>
      </c>
      <c r="K48" s="10" cm="1">
        <f t="array" ref="K48">ABS(pred_GDP_1qa!K52-pred_GDP_1qa!$B52)</f>
        <v>0.18421999999999994</v>
      </c>
      <c r="L48" s="10" cm="1">
        <f t="array" ref="L48">ABS(pred_GDP_1qa!L52-pred_GDP_1qa!$B52)</f>
        <v>0.2</v>
      </c>
      <c r="M48" s="10" cm="1">
        <f t="array" ref="M48">ABS(pred_GDP_1qa!M52-pred_GDP_1qa!$B52)</f>
        <v>0.23819999999999997</v>
      </c>
      <c r="N48" s="10" cm="1">
        <f t="array" ref="N48">ABS(pred_GDP_1qa!N52-pred_GDP_1qa!$B52)</f>
        <v>0.65883999999999998</v>
      </c>
      <c r="O48" s="10" cm="1">
        <f t="array" ref="O48">ABS(pred_GDP_1qa!O52-pred_GDP_1qa!$B52)</f>
        <v>0.26602999999999999</v>
      </c>
      <c r="P48" s="10" cm="1">
        <f t="array" ref="P48">ABS(pred_GDP_1qa!P52-pred_GDP_1qa!$B52)</f>
        <v>0.38224999999999998</v>
      </c>
      <c r="Q48" s="6"/>
      <c r="R48" s="10">
        <v>0.49911512345626902</v>
      </c>
      <c r="S48" s="10">
        <v>0.49776750170176498</v>
      </c>
      <c r="T48" s="10">
        <v>0.33248800000000001</v>
      </c>
      <c r="U48" s="10">
        <v>0.48650353615091002</v>
      </c>
      <c r="V48" s="10">
        <v>0.39049034134098098</v>
      </c>
      <c r="W48" s="10">
        <v>0.39433512466543102</v>
      </c>
      <c r="X48" s="10">
        <v>0.43155658064535102</v>
      </c>
      <c r="Y48" s="10">
        <v>0.49444103392916899</v>
      </c>
      <c r="Z48" s="10">
        <v>0.47218270587433298</v>
      </c>
    </row>
    <row r="49" spans="1:26" ht="13.8" customHeight="1" x14ac:dyDescent="0.25">
      <c r="A49" s="15">
        <v>43800</v>
      </c>
      <c r="B49" s="16">
        <v>1.2</v>
      </c>
      <c r="C49" s="21" cm="1">
        <f t="array" ref="C49">ABS(pred_GDP_1qa!C53-pred_GDP_1qa!$B53)</f>
        <v>0.62745999999999991</v>
      </c>
      <c r="D49" s="10" cm="1">
        <f t="array" ref="D49">ABS(pred_GDP_1qa!D53-pred_GDP_1qa!$B53)</f>
        <v>0.52249000000000001</v>
      </c>
      <c r="E49" s="10" cm="1">
        <f t="array" ref="E49">ABS(pred_GDP_1qa!E53-pred_GDP_1qa!$B53)</f>
        <v>0.56394999999999995</v>
      </c>
      <c r="F49" s="10" cm="1">
        <f t="array" ref="F49">ABS(pred_GDP_1qa!F53-pred_GDP_1qa!$B53)</f>
        <v>0.52412999999999998</v>
      </c>
      <c r="G49" s="10" t="e" cm="1">
        <f t="array" ref="G49">ABS(pred_GDP_1qa!G53-pred_GDP_1qa!$B53)</f>
        <v>#N/A</v>
      </c>
      <c r="H49" s="10" cm="1">
        <f t="array" ref="H49">ABS(pred_GDP_1qa!H53-pred_GDP_1qa!$B53)</f>
        <v>0.58959000000000006</v>
      </c>
      <c r="I49" s="10" cm="1">
        <f t="array" ref="I49">ABS(pred_GDP_1qa!I53-pred_GDP_1qa!$B53)</f>
        <v>8.7930000000000064E-2</v>
      </c>
      <c r="J49" s="10" cm="1">
        <f t="array" ref="J49">ABS(pred_GDP_1qa!J53-pred_GDP_1qa!$B53)</f>
        <v>1.0255000000000001</v>
      </c>
      <c r="K49" s="10" cm="1">
        <f t="array" ref="K49">ABS(pred_GDP_1qa!K53-pred_GDP_1qa!$B53)</f>
        <v>0.45817999999999992</v>
      </c>
      <c r="L49" s="10" cm="1">
        <f t="array" ref="L49">ABS(pred_GDP_1qa!L53-pred_GDP_1qa!$B53)</f>
        <v>0.5</v>
      </c>
      <c r="M49" s="10" cm="1">
        <f t="array" ref="M49">ABS(pred_GDP_1qa!M53-pred_GDP_1qa!$B53)</f>
        <v>0.53945999999999994</v>
      </c>
      <c r="N49" s="10" cm="1">
        <f t="array" ref="N49">ABS(pred_GDP_1qa!N53-pred_GDP_1qa!$B53)</f>
        <v>0.49371999999999994</v>
      </c>
      <c r="O49" s="10" cm="1">
        <f t="array" ref="O49">ABS(pred_GDP_1qa!O53-pred_GDP_1qa!$B53)</f>
        <v>0.50768999999999997</v>
      </c>
      <c r="P49" s="10" cm="1">
        <f t="array" ref="P49">ABS(pred_GDP_1qa!P53-pred_GDP_1qa!$B53)</f>
        <v>0.25410999999999995</v>
      </c>
      <c r="Q49" s="6"/>
      <c r="R49" s="10">
        <v>1.3992390251495901</v>
      </c>
      <c r="S49" s="10">
        <v>1.332603</v>
      </c>
      <c r="T49" s="10">
        <v>1.332603</v>
      </c>
      <c r="U49" s="10">
        <v>1.3202201485618299</v>
      </c>
      <c r="V49" s="10">
        <v>1.4708831114426999</v>
      </c>
      <c r="W49" s="10">
        <v>1.4705800836514999</v>
      </c>
      <c r="X49" s="10">
        <v>1.45231056420533</v>
      </c>
      <c r="Y49" s="10">
        <v>1.41299718886518</v>
      </c>
      <c r="Z49" s="10">
        <v>1.332603</v>
      </c>
    </row>
    <row r="50" spans="1:26" ht="13.8" customHeight="1" x14ac:dyDescent="0.25">
      <c r="A50" s="15">
        <v>43891</v>
      </c>
      <c r="B50" s="16">
        <v>-1.3</v>
      </c>
      <c r="C50" s="21" cm="1">
        <f t="array" ref="C50">ABS(pred_GDP_1qa!C54-pred_GDP_1qa!$B54)</f>
        <v>1.76986</v>
      </c>
      <c r="D50" s="10" cm="1">
        <f t="array" ref="D50">ABS(pred_GDP_1qa!D54-pred_GDP_1qa!$B54)</f>
        <v>1.8490600000000001</v>
      </c>
      <c r="E50" s="10" cm="1">
        <f t="array" ref="E50">ABS(pred_GDP_1qa!E54-pred_GDP_1qa!$B54)</f>
        <v>1.8205</v>
      </c>
      <c r="F50" s="10" cm="1">
        <f t="array" ref="F50">ABS(pred_GDP_1qa!F54-pred_GDP_1qa!$B54)</f>
        <v>1.88666</v>
      </c>
      <c r="G50" s="10" t="e" cm="1">
        <f t="array" ref="G50">ABS(pred_GDP_1qa!G54-pred_GDP_1qa!$B54)</f>
        <v>#N/A</v>
      </c>
      <c r="H50" s="10" cm="1">
        <f t="array" ref="H50">ABS(pred_GDP_1qa!H54-pred_GDP_1qa!$B54)</f>
        <v>2.0369700000000002</v>
      </c>
      <c r="I50" s="10" cm="1">
        <f t="array" ref="I50">ABS(pred_GDP_1qa!I54-pred_GDP_1qa!$B54)</f>
        <v>2.26315</v>
      </c>
      <c r="J50" s="10" cm="1">
        <f t="array" ref="J50">ABS(pred_GDP_1qa!J54-pred_GDP_1qa!$B54)</f>
        <v>1.32968</v>
      </c>
      <c r="K50" s="10" cm="1">
        <f t="array" ref="K50">ABS(pred_GDP_1qa!K54-pred_GDP_1qa!$B54)</f>
        <v>1.5765899999999999</v>
      </c>
      <c r="L50" s="10" cm="1">
        <f t="array" ref="L50">ABS(pred_GDP_1qa!L54-pred_GDP_1qa!$B54)</f>
        <v>1.8</v>
      </c>
      <c r="M50" s="10" cm="1">
        <f t="array" ref="M50">ABS(pred_GDP_1qa!M54-pred_GDP_1qa!$B54)</f>
        <v>1.92608</v>
      </c>
      <c r="N50" s="10" cm="1">
        <f t="array" ref="N50">ABS(pred_GDP_1qa!N54-pred_GDP_1qa!$B54)</f>
        <v>2.22268</v>
      </c>
      <c r="O50" s="10" cm="1">
        <f t="array" ref="O50">ABS(pred_GDP_1qa!O54-pred_GDP_1qa!$B54)</f>
        <v>1.7092499999999999</v>
      </c>
      <c r="P50" s="10" cm="1">
        <f t="array" ref="P50">ABS(pred_GDP_1qa!P54-pred_GDP_1qa!$B54)</f>
        <v>2.0368400000000002</v>
      </c>
      <c r="Q50" s="6"/>
      <c r="R50" s="10">
        <v>1.9192591210602601</v>
      </c>
      <c r="S50" s="10">
        <v>2.0151009870290202</v>
      </c>
      <c r="T50" s="10">
        <v>1.8387899999999999</v>
      </c>
      <c r="U50" s="10">
        <v>0.16442632675169999</v>
      </c>
      <c r="V50" s="10">
        <v>2.3305924971500001</v>
      </c>
      <c r="W50" s="10">
        <v>2.3117956234205201</v>
      </c>
      <c r="X50" s="10">
        <v>2.0443938178055698</v>
      </c>
      <c r="Y50" s="10">
        <v>1.9967480735587</v>
      </c>
      <c r="Z50" s="10">
        <v>0.16442632675169999</v>
      </c>
    </row>
    <row r="51" spans="1:26" ht="13.8" customHeight="1" x14ac:dyDescent="0.25">
      <c r="A51" s="15">
        <v>43983</v>
      </c>
      <c r="B51" s="16">
        <v>-3</v>
      </c>
      <c r="C51" s="21" cm="1">
        <f t="array" ref="C51">ABS(pred_GDP_1qa!C55-pred_GDP_1qa!$B55)</f>
        <v>3.07402</v>
      </c>
      <c r="D51" s="10" cm="1">
        <f t="array" ref="D51">ABS(pred_GDP_1qa!D55-pred_GDP_1qa!$B55)</f>
        <v>2.76146</v>
      </c>
      <c r="E51" s="10" cm="1">
        <f t="array" ref="E51">ABS(pred_GDP_1qa!E55-pred_GDP_1qa!$B55)</f>
        <v>2.7130100000000001</v>
      </c>
      <c r="F51" s="10" cm="1">
        <f t="array" ref="F51">ABS(pred_GDP_1qa!F55-pred_GDP_1qa!$B55)</f>
        <v>3.0560900000000002</v>
      </c>
      <c r="G51" s="10" t="e" cm="1">
        <f t="array" ref="G51">ABS(pred_GDP_1qa!G55-pred_GDP_1qa!$B55)</f>
        <v>#N/A</v>
      </c>
      <c r="H51" s="10" cm="1">
        <f t="array" ref="H51">ABS(pred_GDP_1qa!H55-pred_GDP_1qa!$B55)</f>
        <v>1.6874800000000001</v>
      </c>
      <c r="I51" s="10" cm="1">
        <f t="array" ref="I51">ABS(pred_GDP_1qa!I55-pred_GDP_1qa!$B55)</f>
        <v>2.6845499999999998</v>
      </c>
      <c r="J51" s="10" cm="1">
        <f t="array" ref="J51">ABS(pred_GDP_1qa!J55-pred_GDP_1qa!$B55)</f>
        <v>3.02508</v>
      </c>
      <c r="K51" s="10" cm="1">
        <f t="array" ref="K51">ABS(pred_GDP_1qa!K55-pred_GDP_1qa!$B55)</f>
        <v>1.8467899999999999</v>
      </c>
      <c r="L51" s="10" cm="1">
        <f t="array" ref="L51">ABS(pred_GDP_1qa!L55-pred_GDP_1qa!$B55)</f>
        <v>3.7</v>
      </c>
      <c r="M51" s="10" cm="1">
        <f t="array" ref="M51">ABS(pred_GDP_1qa!M55-pred_GDP_1qa!$B55)</f>
        <v>3.8443899999999998</v>
      </c>
      <c r="N51" s="10" cm="1">
        <f t="array" ref="N51">ABS(pred_GDP_1qa!N55-pred_GDP_1qa!$B55)</f>
        <v>0.19412999999999991</v>
      </c>
      <c r="O51" s="10" cm="1">
        <f t="array" ref="O51">ABS(pred_GDP_1qa!O55-pred_GDP_1qa!$B55)</f>
        <v>3.8411200000000001</v>
      </c>
      <c r="P51" s="10" cm="1">
        <f t="array" ref="P51">ABS(pred_GDP_1qa!P55-pred_GDP_1qa!$B55)</f>
        <v>3.6698499999999998</v>
      </c>
      <c r="Q51" s="6"/>
      <c r="R51" s="10">
        <v>0.61380191516546001</v>
      </c>
      <c r="S51" s="10">
        <v>0.69753327243923002</v>
      </c>
      <c r="T51" s="10">
        <v>0.80275099277496997</v>
      </c>
      <c r="U51" s="10">
        <v>0.69753327243923002</v>
      </c>
      <c r="V51" s="10">
        <v>0.59860095705370997</v>
      </c>
      <c r="W51" s="10">
        <v>0.59796409225617997</v>
      </c>
      <c r="X51" s="10">
        <v>0.63411021834947001</v>
      </c>
      <c r="Y51" s="10">
        <v>0.60793799769431001</v>
      </c>
      <c r="Z51" s="10">
        <v>0.64902729890317001</v>
      </c>
    </row>
    <row r="52" spans="1:26" ht="13.8" customHeight="1" x14ac:dyDescent="0.25">
      <c r="A52" s="15">
        <v>44075</v>
      </c>
      <c r="B52" s="16">
        <v>2.2999999999999998</v>
      </c>
      <c r="C52" s="21" cm="1">
        <f t="array" ref="C52">ABS(pred_GDP_1qa!C56-pred_GDP_1qa!$B56)</f>
        <v>2.81548</v>
      </c>
      <c r="D52" s="10" cm="1">
        <f t="array" ref="D52">ABS(pred_GDP_1qa!D56-pred_GDP_1qa!$B56)</f>
        <v>1.1503199999999998</v>
      </c>
      <c r="E52" s="10" cm="1">
        <f t="array" ref="E52">ABS(pred_GDP_1qa!E56-pred_GDP_1qa!$B56)</f>
        <v>1.2473699999999999</v>
      </c>
      <c r="F52" s="10" cm="1">
        <f t="array" ref="F52">ABS(pred_GDP_1qa!F56-pred_GDP_1qa!$B56)</f>
        <v>2.8607199999999997</v>
      </c>
      <c r="G52" s="10" t="e" cm="1">
        <f t="array" ref="G52">ABS(pred_GDP_1qa!G56-pred_GDP_1qa!$B56)</f>
        <v>#N/A</v>
      </c>
      <c r="H52" s="10" cm="1">
        <f t="array" ref="H52">ABS(pred_GDP_1qa!H56-pred_GDP_1qa!$B56)</f>
        <v>1.0318399999999999</v>
      </c>
      <c r="I52" s="10" cm="1">
        <f t="array" ref="I52">ABS(pred_GDP_1qa!I56-pred_GDP_1qa!$B56)</f>
        <v>0.32017999999999991</v>
      </c>
      <c r="J52" s="10" cm="1">
        <f t="array" ref="J52">ABS(pred_GDP_1qa!J56-pred_GDP_1qa!$B56)</f>
        <v>3.7335399999999996</v>
      </c>
      <c r="K52" s="10" cm="1">
        <f t="array" ref="K52">ABS(pred_GDP_1qa!K56-pred_GDP_1qa!$B56)</f>
        <v>0.84404999999999974</v>
      </c>
      <c r="L52" s="10" cm="1">
        <f t="array" ref="L52">ABS(pred_GDP_1qa!L56-pred_GDP_1qa!$B56)</f>
        <v>2.0999999999999996</v>
      </c>
      <c r="M52" s="10" cm="1">
        <f t="array" ref="M52">ABS(pred_GDP_1qa!M56-pred_GDP_1qa!$B56)</f>
        <v>0.68532999999999977</v>
      </c>
      <c r="N52" s="10" cm="1">
        <f t="array" ref="N52">ABS(pred_GDP_1qa!N56-pred_GDP_1qa!$B56)</f>
        <v>0.99601999999999991</v>
      </c>
      <c r="O52" s="10" cm="1">
        <f t="array" ref="O52">ABS(pred_GDP_1qa!O56-pred_GDP_1qa!$B56)</f>
        <v>2.1317999999999997</v>
      </c>
      <c r="P52" s="10" cm="1">
        <f t="array" ref="P52">ABS(pred_GDP_1qa!P56-pred_GDP_1qa!$B56)</f>
        <v>1.4313199999999999</v>
      </c>
      <c r="Q52" s="6"/>
      <c r="R52" s="10">
        <v>2.6030950782999999E-2</v>
      </c>
      <c r="S52" s="10">
        <v>0.16602995250183</v>
      </c>
      <c r="T52" s="10">
        <v>0.25885000000000002</v>
      </c>
      <c r="U52" s="10">
        <v>0.16602995250183</v>
      </c>
      <c r="V52" s="10">
        <v>0.10176010264733</v>
      </c>
      <c r="W52" s="10">
        <v>9.6548415223510001E-2</v>
      </c>
      <c r="X52" s="10">
        <v>7.0042222485539998E-2</v>
      </c>
      <c r="Y52" s="10">
        <v>0.13140803874538001</v>
      </c>
      <c r="Z52" s="10">
        <v>0.13140803874538001</v>
      </c>
    </row>
    <row r="53" spans="1:26" ht="13.8" customHeight="1" x14ac:dyDescent="0.25">
      <c r="A53" s="15">
        <v>44166</v>
      </c>
      <c r="B53" s="16">
        <v>1.3</v>
      </c>
      <c r="C53" s="21" cm="1">
        <f t="array" ref="C53">ABS(pred_GDP_1qa!C57-pred_GDP_1qa!$B57)</f>
        <v>1.54281</v>
      </c>
      <c r="D53" s="10" cm="1">
        <f t="array" ref="D53">ABS(pred_GDP_1qa!D57-pred_GDP_1qa!$B57)</f>
        <v>0.51990000000000003</v>
      </c>
      <c r="E53" s="10" cm="1">
        <f t="array" ref="E53">ABS(pred_GDP_1qa!E57-pred_GDP_1qa!$B57)</f>
        <v>0.29935</v>
      </c>
      <c r="F53" s="10" cm="1">
        <f t="array" ref="F53">ABS(pred_GDP_1qa!F57-pred_GDP_1qa!$B57)</f>
        <v>1.1095200000000001</v>
      </c>
      <c r="G53" s="10" t="e" cm="1">
        <f t="array" ref="G53">ABS(pred_GDP_1qa!G57-pred_GDP_1qa!$B57)</f>
        <v>#N/A</v>
      </c>
      <c r="H53" s="10" cm="1">
        <f t="array" ref="H53">ABS(pred_GDP_1qa!H57-pred_GDP_1qa!$B57)</f>
        <v>0.16356999999999999</v>
      </c>
      <c r="I53" s="10" cm="1">
        <f t="array" ref="I53">ABS(pred_GDP_1qa!I57-pred_GDP_1qa!$B57)</f>
        <v>0.67010999999999998</v>
      </c>
      <c r="J53" s="10" cm="1">
        <f t="array" ref="J53">ABS(pred_GDP_1qa!J57-pred_GDP_1qa!$B57)</f>
        <v>0.32420000000000004</v>
      </c>
      <c r="K53" s="10" cm="1">
        <f t="array" ref="K53">ABS(pred_GDP_1qa!K57-pred_GDP_1qa!$B57)</f>
        <v>0.16842000000000001</v>
      </c>
      <c r="L53" s="10" cm="1">
        <f t="array" ref="L53">ABS(pred_GDP_1qa!L57-pred_GDP_1qa!$B57)</f>
        <v>1.6</v>
      </c>
      <c r="M53" s="10" cm="1">
        <f t="array" ref="M53">ABS(pred_GDP_1qa!M57-pred_GDP_1qa!$B57)</f>
        <v>1.03284</v>
      </c>
      <c r="N53" s="10" cm="1">
        <f t="array" ref="N53">ABS(pred_GDP_1qa!N57-pred_GDP_1qa!$B57)</f>
        <v>0.22375000000000012</v>
      </c>
      <c r="O53" s="10" cm="1">
        <f t="array" ref="O53">ABS(pred_GDP_1qa!O57-pred_GDP_1qa!$B57)</f>
        <v>0.62178</v>
      </c>
      <c r="P53" s="10" cm="1">
        <f t="array" ref="P53">ABS(pred_GDP_1qa!P57-pred_GDP_1qa!$B57)</f>
        <v>8.1189999999999873E-2</v>
      </c>
      <c r="Q53" s="6"/>
      <c r="R53" s="10">
        <v>0.48578625172031997</v>
      </c>
      <c r="S53" s="10">
        <v>0.57370900000000002</v>
      </c>
      <c r="T53" s="10">
        <v>0.38983886241913002</v>
      </c>
      <c r="U53" s="10">
        <v>0.57370900000000002</v>
      </c>
      <c r="V53" s="10">
        <v>0.41441661373310001</v>
      </c>
      <c r="W53" s="10">
        <v>0.41751407228653997</v>
      </c>
      <c r="X53" s="10">
        <v>0.42005112640043002</v>
      </c>
      <c r="Y53" s="10">
        <v>0.38384758108919997</v>
      </c>
      <c r="Z53" s="10">
        <v>0.42005112640043002</v>
      </c>
    </row>
    <row r="54" spans="1:26" ht="13.8" customHeight="1" x14ac:dyDescent="0.25">
      <c r="A54" s="15">
        <v>44256</v>
      </c>
      <c r="B54" s="16">
        <v>1.8</v>
      </c>
      <c r="C54" s="21" cm="1">
        <f t="array" ref="C54">ABS(pred_GDP_1qa!C58-pred_GDP_1qa!$B58)</f>
        <v>1.0778400000000001</v>
      </c>
      <c r="D54" s="10" cm="1">
        <f t="array" ref="D54">ABS(pred_GDP_1qa!D58-pred_GDP_1qa!$B58)</f>
        <v>1.5734699999999999</v>
      </c>
      <c r="E54" s="10" cm="1">
        <f t="array" ref="E54">ABS(pred_GDP_1qa!E58-pred_GDP_1qa!$B58)</f>
        <v>1.63822</v>
      </c>
      <c r="F54" s="10" cm="1">
        <f t="array" ref="F54">ABS(pred_GDP_1qa!F58-pred_GDP_1qa!$B58)</f>
        <v>0.59682999999999997</v>
      </c>
      <c r="G54" s="10" t="e" cm="1">
        <f t="array" ref="G54">ABS(pred_GDP_1qa!G58-pred_GDP_1qa!$B58)</f>
        <v>#N/A</v>
      </c>
      <c r="H54" s="10" cm="1">
        <f t="array" ref="H54">ABS(pred_GDP_1qa!H58-pred_GDP_1qa!$B58)</f>
        <v>0.31909999999999994</v>
      </c>
      <c r="I54" s="10" cm="1">
        <f t="array" ref="I54">ABS(pred_GDP_1qa!I58-pred_GDP_1qa!$B58)</f>
        <v>0.95198000000000005</v>
      </c>
      <c r="J54" s="10" cm="1">
        <f t="array" ref="J54">ABS(pred_GDP_1qa!J58-pred_GDP_1qa!$B58)</f>
        <v>0.80719000000000007</v>
      </c>
      <c r="K54" s="10" cm="1">
        <f t="array" ref="K54">ABS(pred_GDP_1qa!K58-pred_GDP_1qa!$B58)</f>
        <v>1.1904600000000001</v>
      </c>
      <c r="L54" s="10" cm="1">
        <f t="array" ref="L54">ABS(pred_GDP_1qa!L58-pred_GDP_1qa!$B58)</f>
        <v>0.60000000000000009</v>
      </c>
      <c r="M54" s="10" cm="1">
        <f t="array" ref="M54">ABS(pred_GDP_1qa!M58-pred_GDP_1qa!$B58)</f>
        <v>0.76927999999999996</v>
      </c>
      <c r="N54" s="10" cm="1">
        <f t="array" ref="N54">ABS(pred_GDP_1qa!N58-pred_GDP_1qa!$B58)</f>
        <v>0.91573000000000004</v>
      </c>
      <c r="O54" s="10" cm="1">
        <f t="array" ref="O54">ABS(pred_GDP_1qa!O58-pred_GDP_1qa!$B58)</f>
        <v>1.0589200000000001</v>
      </c>
      <c r="P54" s="10" cm="1">
        <f t="array" ref="P54">ABS(pred_GDP_1qa!P58-pred_GDP_1qa!$B58)</f>
        <v>0.66593000000000013</v>
      </c>
      <c r="Q54" s="6"/>
      <c r="R54" s="10">
        <v>0.25298574060616003</v>
      </c>
      <c r="S54" s="10">
        <v>0.16898343034572999</v>
      </c>
      <c r="T54" s="10">
        <v>0.35391600000000001</v>
      </c>
      <c r="U54" s="10">
        <v>0.16898343034572999</v>
      </c>
      <c r="V54" s="10">
        <v>0.25042334900696001</v>
      </c>
      <c r="W54" s="10">
        <v>0.25004225408251002</v>
      </c>
      <c r="X54" s="10">
        <v>0.28318140294760002</v>
      </c>
      <c r="Y54" s="10">
        <v>0.25785234795224998</v>
      </c>
      <c r="Z54" s="10">
        <v>0.25042334900696001</v>
      </c>
    </row>
    <row r="55" spans="1:26" ht="13.8" customHeight="1" x14ac:dyDescent="0.25">
      <c r="A55" s="15">
        <v>44348</v>
      </c>
      <c r="B55" s="16">
        <v>0.9</v>
      </c>
      <c r="C55" s="21" cm="1">
        <f t="array" ref="C55">ABS(pred_GDP_1qa!C59-pred_GDP_1qa!$B59)</f>
        <v>4.2600000000000415E-3</v>
      </c>
      <c r="D55" s="10" cm="1">
        <f t="array" ref="D55">ABS(pred_GDP_1qa!D59-pred_GDP_1qa!$B59)</f>
        <v>0.46390000000000003</v>
      </c>
      <c r="E55" s="10" cm="1">
        <f t="array" ref="E55">ABS(pred_GDP_1qa!E59-pred_GDP_1qa!$B59)</f>
        <v>0.50107000000000002</v>
      </c>
      <c r="F55" s="10" cm="1">
        <f t="array" ref="F55">ABS(pred_GDP_1qa!F59-pred_GDP_1qa!$B59)</f>
        <v>5.2400000000000224E-3</v>
      </c>
      <c r="G55" s="10" t="e" cm="1">
        <f t="array" ref="G55">ABS(pred_GDP_1qa!G59-pred_GDP_1qa!$B59)</f>
        <v>#N/A</v>
      </c>
      <c r="H55" s="10" cm="1">
        <f t="array" ref="H55">ABS(pred_GDP_1qa!H59-pred_GDP_1qa!$B59)</f>
        <v>0.63950000000000007</v>
      </c>
      <c r="I55" s="10" cm="1">
        <f t="array" ref="I55">ABS(pred_GDP_1qa!I59-pred_GDP_1qa!$B59)</f>
        <v>0.18386999999999987</v>
      </c>
      <c r="J55" s="10" cm="1">
        <f t="array" ref="J55">ABS(pred_GDP_1qa!J59-pred_GDP_1qa!$B59)</f>
        <v>0.51188999999999996</v>
      </c>
      <c r="K55" s="10" cm="1">
        <f t="array" ref="K55">ABS(pred_GDP_1qa!K59-pred_GDP_1qa!$B59)</f>
        <v>1.2059</v>
      </c>
      <c r="L55" s="10" cm="1">
        <f t="array" ref="L55">ABS(pred_GDP_1qa!L59-pred_GDP_1qa!$B59)</f>
        <v>0</v>
      </c>
      <c r="M55" s="10" cm="1">
        <f t="array" ref="M55">ABS(pred_GDP_1qa!M59-pred_GDP_1qa!$B59)</f>
        <v>0.67500000000000004</v>
      </c>
      <c r="N55" s="10" cm="1">
        <f t="array" ref="N55">ABS(pred_GDP_1qa!N59-pred_GDP_1qa!$B59)</f>
        <v>0.37917999999999996</v>
      </c>
      <c r="O55" s="10" cm="1">
        <f t="array" ref="O55">ABS(pred_GDP_1qa!O59-pred_GDP_1qa!$B59)</f>
        <v>8.8940000000000019E-2</v>
      </c>
      <c r="P55" s="10" cm="1">
        <f t="array" ref="P55">ABS(pred_GDP_1qa!P59-pred_GDP_1qa!$B59)</f>
        <v>0.14438000000000006</v>
      </c>
      <c r="Q55" s="6"/>
      <c r="R55" s="10">
        <v>0.76287972973443197</v>
      </c>
      <c r="S55" s="10">
        <v>0.76006889859060001</v>
      </c>
      <c r="T55" s="10">
        <v>0.94445273744210001</v>
      </c>
      <c r="U55" s="10">
        <v>0.759589307636093</v>
      </c>
      <c r="V55" s="10">
        <v>0.84211913218317802</v>
      </c>
      <c r="W55" s="10">
        <v>0.83879051856493803</v>
      </c>
      <c r="X55" s="10">
        <v>0.87131381995258705</v>
      </c>
      <c r="Y55" s="10">
        <v>0.77741985975077199</v>
      </c>
      <c r="Z55" s="10">
        <v>0.77732676058150996</v>
      </c>
    </row>
    <row r="56" spans="1:26" ht="13.8" customHeight="1" x14ac:dyDescent="0.25">
      <c r="A56" s="15">
        <v>44440</v>
      </c>
      <c r="B56" s="16">
        <v>0.1</v>
      </c>
      <c r="C56" s="21" cm="1">
        <f t="array" ref="C56">ABS(pred_GDP_1qa!C60-pred_GDP_1qa!$B60)</f>
        <v>1.41028</v>
      </c>
      <c r="D56" s="10" cm="1">
        <f t="array" ref="D56">ABS(pred_GDP_1qa!D60-pred_GDP_1qa!$B60)</f>
        <v>0.32769999999999999</v>
      </c>
      <c r="E56" s="10" cm="1">
        <f t="array" ref="E56">ABS(pred_GDP_1qa!E60-pred_GDP_1qa!$B60)</f>
        <v>0.27312000000000003</v>
      </c>
      <c r="F56" s="10" cm="1">
        <f t="array" ref="F56">ABS(pred_GDP_1qa!F60-pred_GDP_1qa!$B60)</f>
        <v>0.84665000000000001</v>
      </c>
      <c r="G56" s="10" t="e" cm="1">
        <f t="array" ref="G56">ABS(pred_GDP_1qa!G60-pred_GDP_1qa!$B60)</f>
        <v>#N/A</v>
      </c>
      <c r="H56" s="10" cm="1">
        <f t="array" ref="H56">ABS(pred_GDP_1qa!H60-pred_GDP_1qa!$B60)</f>
        <v>1.2315199999999999</v>
      </c>
      <c r="I56" s="10" cm="1">
        <f t="array" ref="I56">ABS(pred_GDP_1qa!I60-pred_GDP_1qa!$B60)</f>
        <v>0.60228999999999999</v>
      </c>
      <c r="J56" s="10" cm="1">
        <f t="array" ref="J56">ABS(pred_GDP_1qa!J60-pred_GDP_1qa!$B60)</f>
        <v>0.24915000000000001</v>
      </c>
      <c r="K56" s="10" cm="1">
        <f t="array" ref="K56">ABS(pred_GDP_1qa!K60-pred_GDP_1qa!$B60)</f>
        <v>4.9529999999999991E-2</v>
      </c>
      <c r="L56" s="10" cm="1">
        <f t="array" ref="L56">ABS(pred_GDP_1qa!L60-pred_GDP_1qa!$B60)</f>
        <v>0.8</v>
      </c>
      <c r="M56" s="10" cm="1">
        <f t="array" ref="M56">ABS(pred_GDP_1qa!M60-pred_GDP_1qa!$B60)</f>
        <v>0.40312000000000003</v>
      </c>
      <c r="N56" s="10" cm="1">
        <f t="array" ref="N56">ABS(pred_GDP_1qa!N60-pred_GDP_1qa!$B60)</f>
        <v>0.72401000000000004</v>
      </c>
      <c r="O56" s="10" cm="1">
        <f t="array" ref="O56">ABS(pred_GDP_1qa!O60-pred_GDP_1qa!$B60)</f>
        <v>0.50250000000000006</v>
      </c>
      <c r="P56" s="10" cm="1">
        <f t="array" ref="P56">ABS(pred_GDP_1qa!P60-pred_GDP_1qa!$B60)</f>
        <v>0.71455999999999997</v>
      </c>
      <c r="Q56" s="6"/>
      <c r="R56" s="10">
        <v>0.26932793078359002</v>
      </c>
      <c r="S56" s="10">
        <v>0.18783900000000001</v>
      </c>
      <c r="T56" s="10">
        <v>4.7076E-2</v>
      </c>
      <c r="U56" s="10">
        <v>0.15627312039936</v>
      </c>
      <c r="V56" s="10">
        <v>6.2288726335779997E-2</v>
      </c>
      <c r="W56" s="10">
        <v>6.7214254087440001E-2</v>
      </c>
      <c r="X56" s="10">
        <v>0.16815686333093999</v>
      </c>
      <c r="Y56" s="10">
        <v>0.22797153678377999</v>
      </c>
      <c r="Z56" s="10">
        <v>0.16661353638234</v>
      </c>
    </row>
    <row r="57" spans="1:26" ht="13.8" customHeight="1" x14ac:dyDescent="0.25">
      <c r="A57" s="15">
        <v>44531</v>
      </c>
      <c r="B57" s="16">
        <v>1.4</v>
      </c>
      <c r="C57" s="21" cm="1">
        <f t="array" ref="C57">ABS(pred_GDP_1qa!C61-pred_GDP_1qa!$B61)</f>
        <v>0.13076999999999983</v>
      </c>
      <c r="D57" s="10" cm="1">
        <f t="array" ref="D57">ABS(pred_GDP_1qa!D61-pred_GDP_1qa!$B61)</f>
        <v>1.12035</v>
      </c>
      <c r="E57" s="10" cm="1">
        <f t="array" ref="E57">ABS(pred_GDP_1qa!E61-pred_GDP_1qa!$B61)</f>
        <v>1.1726999999999999</v>
      </c>
      <c r="F57" s="10" cm="1">
        <f t="array" ref="F57">ABS(pred_GDP_1qa!F61-pred_GDP_1qa!$B61)</f>
        <v>0.92879999999999985</v>
      </c>
      <c r="G57" s="10" t="e" cm="1">
        <f t="array" ref="G57">ABS(pred_GDP_1qa!G61-pred_GDP_1qa!$B61)</f>
        <v>#N/A</v>
      </c>
      <c r="H57" s="10" cm="1">
        <f t="array" ref="H57">ABS(pred_GDP_1qa!H61-pred_GDP_1qa!$B61)</f>
        <v>1.08107</v>
      </c>
      <c r="I57" s="10" cm="1">
        <f t="array" ref="I57">ABS(pred_GDP_1qa!I61-pred_GDP_1qa!$B61)</f>
        <v>0.80167999999999995</v>
      </c>
      <c r="J57" s="10" cm="1">
        <f t="array" ref="J57">ABS(pred_GDP_1qa!J61-pred_GDP_1qa!$B61)</f>
        <v>1.2935999999999999</v>
      </c>
      <c r="K57" s="10" cm="1">
        <f t="array" ref="K57">ABS(pred_GDP_1qa!K61-pred_GDP_1qa!$B61)</f>
        <v>1.0900599999999998</v>
      </c>
      <c r="L57" s="10" cm="1">
        <f t="array" ref="L57">ABS(pred_GDP_1qa!L61-pred_GDP_1qa!$B61)</f>
        <v>0.89999999999999991</v>
      </c>
      <c r="M57" s="10" cm="1">
        <f t="array" ref="M57">ABS(pred_GDP_1qa!M61-pred_GDP_1qa!$B61)</f>
        <v>0.70261999999999991</v>
      </c>
      <c r="N57" s="10" cm="1">
        <f t="array" ref="N57">ABS(pred_GDP_1qa!N61-pred_GDP_1qa!$B61)</f>
        <v>0.70409999999999995</v>
      </c>
      <c r="O57" s="10" cm="1">
        <f t="array" ref="O57">ABS(pred_GDP_1qa!O61-pred_GDP_1qa!$B61)</f>
        <v>0.65423999999999993</v>
      </c>
      <c r="P57" s="10" cm="1">
        <f t="array" ref="P57">ABS(pred_GDP_1qa!P61-pred_GDP_1qa!$B61)</f>
        <v>0.41445999999999994</v>
      </c>
      <c r="Q57" s="6"/>
      <c r="R57" s="10">
        <v>0.189259904801405</v>
      </c>
      <c r="S57" s="10">
        <v>0.169855594816955</v>
      </c>
      <c r="T57" s="10">
        <v>0.13652900000000001</v>
      </c>
      <c r="U57" s="10">
        <v>0.169855594816955</v>
      </c>
      <c r="V57" s="10">
        <v>0.156086053487377</v>
      </c>
      <c r="W57" s="10">
        <v>0.15604069575337101</v>
      </c>
      <c r="X57" s="10">
        <v>0.167033385075712</v>
      </c>
      <c r="Y57" s="10">
        <v>0.174964375725919</v>
      </c>
      <c r="Z57" s="10">
        <v>0.169855594816955</v>
      </c>
    </row>
    <row r="58" spans="1:26" ht="13.8" customHeight="1" x14ac:dyDescent="0.25">
      <c r="A58" s="15">
        <v>44621</v>
      </c>
      <c r="B58" s="16">
        <v>0.7</v>
      </c>
      <c r="C58" s="21" cm="1">
        <f t="array" ref="C58">ABS(pred_GDP_1qa!C62-pred_GDP_1qa!$B62)</f>
        <v>0.86853000000000002</v>
      </c>
      <c r="D58" s="10" cm="1">
        <f t="array" ref="D58">ABS(pred_GDP_1qa!D62-pred_GDP_1qa!$B62)</f>
        <v>4.1729999999999934E-2</v>
      </c>
      <c r="E58" s="10" cm="1">
        <f t="array" ref="E58">ABS(pred_GDP_1qa!E62-pred_GDP_1qa!$B62)</f>
        <v>6.8599999999999994E-2</v>
      </c>
      <c r="F58" s="10" cm="1">
        <f t="array" ref="F58">ABS(pred_GDP_1qa!F62-pred_GDP_1qa!$B62)</f>
        <v>0.2327800000000001</v>
      </c>
      <c r="G58" s="10" t="e" cm="1">
        <f t="array" ref="G58">ABS(pred_GDP_1qa!G62-pred_GDP_1qa!$B62)</f>
        <v>#N/A</v>
      </c>
      <c r="H58" s="10" cm="1">
        <f t="array" ref="H58">ABS(pred_GDP_1qa!H62-pred_GDP_1qa!$B62)</f>
        <v>0.20118000000000003</v>
      </c>
      <c r="I58" s="10" cm="1">
        <f t="array" ref="I58">ABS(pred_GDP_1qa!I62-pred_GDP_1qa!$B62)</f>
        <v>1.8159999999999954E-2</v>
      </c>
      <c r="J58" s="10" cm="1">
        <f t="array" ref="J58">ABS(pred_GDP_1qa!J62-pred_GDP_1qa!$B62)</f>
        <v>0.12706999999999991</v>
      </c>
      <c r="K58" s="10" cm="1">
        <f t="array" ref="K58">ABS(pred_GDP_1qa!K62-pred_GDP_1qa!$B62)</f>
        <v>0.47108999999999995</v>
      </c>
      <c r="L58" s="10" cm="1">
        <f t="array" ref="L58">ABS(pred_GDP_1qa!L62-pred_GDP_1qa!$B62)</f>
        <v>0.19999999999999996</v>
      </c>
      <c r="M58" s="10" cm="1">
        <f t="array" ref="M58">ABS(pred_GDP_1qa!M62-pred_GDP_1qa!$B62)</f>
        <v>0.42655999999999994</v>
      </c>
      <c r="N58" s="10" cm="1">
        <f t="array" ref="N58">ABS(pred_GDP_1qa!N62-pred_GDP_1qa!$B62)</f>
        <v>0.2396600000000001</v>
      </c>
      <c r="O58" s="10" cm="1">
        <f t="array" ref="O58">ABS(pred_GDP_1qa!O62-pred_GDP_1qa!$B62)</f>
        <v>0.13555000000000006</v>
      </c>
      <c r="P58" s="10" cm="1">
        <f t="array" ref="P58">ABS(pred_GDP_1qa!P62-pred_GDP_1qa!$B62)</f>
        <v>0.18065000000000009</v>
      </c>
      <c r="Q58" s="6"/>
      <c r="R58" s="10">
        <v>0.232694468802153</v>
      </c>
      <c r="S58" s="10">
        <v>0.316518940294163</v>
      </c>
      <c r="T58" s="10">
        <v>0.40805000000000002</v>
      </c>
      <c r="U58" s="10">
        <v>0.31753412279388699</v>
      </c>
      <c r="V58" s="10">
        <v>0.383859076462645</v>
      </c>
      <c r="W58" s="10">
        <v>0.38019985048605298</v>
      </c>
      <c r="X58" s="10">
        <v>0.34172689953580199</v>
      </c>
      <c r="Y58" s="10">
        <v>0.25425346696311002</v>
      </c>
      <c r="Z58" s="10">
        <v>0.31786891182301102</v>
      </c>
    </row>
    <row r="59" spans="1:26" ht="13.8" customHeight="1" x14ac:dyDescent="0.25">
      <c r="A59" s="15">
        <v>44713</v>
      </c>
      <c r="B59" s="16">
        <v>0.8</v>
      </c>
      <c r="C59" s="21" cm="1">
        <f t="array" ref="C59">ABS(pred_GDP_1qa!C63-pred_GDP_1qa!$B63)</f>
        <v>0.13684999999999992</v>
      </c>
      <c r="D59" s="10" cm="1">
        <f t="array" ref="D59">ABS(pred_GDP_1qa!D63-pred_GDP_1qa!$B63)</f>
        <v>0.70303000000000004</v>
      </c>
      <c r="E59" s="10" cm="1">
        <f t="array" ref="E59">ABS(pred_GDP_1qa!E63-pred_GDP_1qa!$B63)</f>
        <v>0.76865000000000006</v>
      </c>
      <c r="F59" s="10" cm="1">
        <f t="array" ref="F59">ABS(pred_GDP_1qa!F63-pred_GDP_1qa!$B63)</f>
        <v>0.18336000000000008</v>
      </c>
      <c r="G59" s="10" t="e" cm="1">
        <f t="array" ref="G59">ABS(pred_GDP_1qa!G63-pred_GDP_1qa!$B63)</f>
        <v>#N/A</v>
      </c>
      <c r="H59" s="10" cm="1">
        <f t="array" ref="H59">ABS(pred_GDP_1qa!H63-pred_GDP_1qa!$B63)</f>
        <v>6.3339999999999952E-2</v>
      </c>
      <c r="I59" s="10" cm="1">
        <f t="array" ref="I59">ABS(pred_GDP_1qa!I63-pred_GDP_1qa!$B63)</f>
        <v>2.3449999999999971E-2</v>
      </c>
      <c r="J59" s="10" cm="1">
        <f t="array" ref="J59">ABS(pred_GDP_1qa!J63-pred_GDP_1qa!$B63)</f>
        <v>0.30554000000000003</v>
      </c>
      <c r="K59" s="10" cm="1">
        <f t="array" ref="K59">ABS(pred_GDP_1qa!K63-pred_GDP_1qa!$B63)</f>
        <v>0.17155000000000009</v>
      </c>
      <c r="L59" s="10" cm="1">
        <f t="array" ref="L59">ABS(pred_GDP_1qa!L63-pred_GDP_1qa!$B63)</f>
        <v>9.9999999999999978E-2</v>
      </c>
      <c r="M59" s="10" cm="1">
        <f t="array" ref="M59">ABS(pred_GDP_1qa!M63-pred_GDP_1qa!$B63)</f>
        <v>0.14434000000000002</v>
      </c>
      <c r="N59" s="10" cm="1">
        <f t="array" ref="N59">ABS(pred_GDP_1qa!N63-pred_GDP_1qa!$B63)</f>
        <v>2.3010000000000086E-2</v>
      </c>
      <c r="O59" s="10" cm="1">
        <f t="array" ref="O59">ABS(pred_GDP_1qa!O63-pred_GDP_1qa!$B63)</f>
        <v>0.62167000000000006</v>
      </c>
      <c r="P59" s="10" cm="1">
        <f t="array" ref="P59">ABS(pred_GDP_1qa!P63-pred_GDP_1qa!$B63)</f>
        <v>0.11591000000000007</v>
      </c>
      <c r="Q59" s="6"/>
      <c r="R59" s="10">
        <v>0.216885322048327</v>
      </c>
      <c r="S59" s="10">
        <v>0.22239780630841299</v>
      </c>
      <c r="T59" s="10">
        <v>7.2000000000000002E-5</v>
      </c>
      <c r="U59" s="10">
        <v>0.22239780630841299</v>
      </c>
      <c r="V59" s="10">
        <v>0.121258886906461</v>
      </c>
      <c r="W59" s="10">
        <v>0.127112070815732</v>
      </c>
      <c r="X59" s="10">
        <v>0.181309836009347</v>
      </c>
      <c r="Y59" s="10">
        <v>0.222954019621492</v>
      </c>
      <c r="Z59" s="10">
        <v>0.216885322048327</v>
      </c>
    </row>
    <row r="60" spans="1:26" ht="13.8" customHeight="1" x14ac:dyDescent="0.25">
      <c r="A60" s="15">
        <v>44805</v>
      </c>
      <c r="B60" s="16">
        <v>0.2</v>
      </c>
      <c r="C60" s="21" cm="1">
        <f t="array" ref="C60">ABS(pred_GDP_1qa!C64-pred_GDP_1qa!$B64)</f>
        <v>0.90884000000000009</v>
      </c>
      <c r="D60" s="10" cm="1">
        <f t="array" ref="D60">ABS(pred_GDP_1qa!D64-pred_GDP_1qa!$B64)</f>
        <v>0.15752000000000002</v>
      </c>
      <c r="E60" s="10" cm="1">
        <f t="array" ref="E60">ABS(pred_GDP_1qa!E64-pred_GDP_1qa!$B64)</f>
        <v>0.22288000000000002</v>
      </c>
      <c r="F60" s="10" cm="1">
        <f t="array" ref="F60">ABS(pred_GDP_1qa!F64-pred_GDP_1qa!$B64)</f>
        <v>1.5400000000000025E-2</v>
      </c>
      <c r="G60" s="10" t="e" cm="1">
        <f t="array" ref="G60">ABS(pred_GDP_1qa!G64-pred_GDP_1qa!$B64)</f>
        <v>#N/A</v>
      </c>
      <c r="H60" s="10" cm="1">
        <f t="array" ref="H60">ABS(pred_GDP_1qa!H64-pred_GDP_1qa!$B64)</f>
        <v>0.12093000000000001</v>
      </c>
      <c r="I60" s="10" cm="1">
        <f t="array" ref="I60">ABS(pred_GDP_1qa!I64-pred_GDP_1qa!$B64)</f>
        <v>0.20233999999999996</v>
      </c>
      <c r="J60" s="10" cm="1">
        <f t="array" ref="J60">ABS(pred_GDP_1qa!J64-pred_GDP_1qa!$B64)</f>
        <v>7.3639999999999983E-2</v>
      </c>
      <c r="K60" s="10" cm="1">
        <f t="array" ref="K60">ABS(pred_GDP_1qa!K64-pred_GDP_1qa!$B64)</f>
        <v>0.59413999999999989</v>
      </c>
      <c r="L60" s="10" cm="1">
        <f t="array" ref="L60">ABS(pred_GDP_1qa!L64-pred_GDP_1qa!$B64)</f>
        <v>0.49999999999999994</v>
      </c>
      <c r="M60" s="10" cm="1">
        <f t="array" ref="M60">ABS(pred_GDP_1qa!M64-pred_GDP_1qa!$B64)</f>
        <v>0.73072999999999988</v>
      </c>
      <c r="N60" s="10" cm="1">
        <f t="array" ref="N60">ABS(pred_GDP_1qa!N64-pred_GDP_1qa!$B64)</f>
        <v>0.26544999999999996</v>
      </c>
      <c r="O60" s="10" cm="1">
        <f t="array" ref="O60">ABS(pred_GDP_1qa!O64-pred_GDP_1qa!$B64)</f>
        <v>0.17572000000000002</v>
      </c>
      <c r="P60" s="10" cm="1">
        <f t="array" ref="P60">ABS(pred_GDP_1qa!P64-pred_GDP_1qa!$B64)</f>
        <v>0.14268999999999998</v>
      </c>
      <c r="Q60" s="6"/>
      <c r="R60" s="10">
        <v>3.0880136163871998E-2</v>
      </c>
      <c r="S60" s="10">
        <v>0.13844999999999999</v>
      </c>
      <c r="T60" s="10">
        <v>0.48486000000000001</v>
      </c>
      <c r="U60" s="10">
        <v>0.24609930192896801</v>
      </c>
      <c r="V60" s="10">
        <v>0.36991820538431802</v>
      </c>
      <c r="W60" s="10">
        <v>0.36253580945547698</v>
      </c>
      <c r="X60" s="10">
        <v>0.11945348324031201</v>
      </c>
      <c r="Y60" s="10">
        <v>3.2630483258749003E-2</v>
      </c>
      <c r="Z60" s="10">
        <v>0.211991635547401</v>
      </c>
    </row>
    <row r="61" spans="1:26" ht="13.8" customHeight="1" x14ac:dyDescent="0.25">
      <c r="A61" s="15">
        <v>44896</v>
      </c>
      <c r="B61" s="16">
        <v>-0.3</v>
      </c>
      <c r="C61" s="21" cm="1">
        <f t="array" ref="C61">ABS(pred_GDP_1qa!C65-pred_GDP_1qa!$B65)</f>
        <v>1.0432399999999999</v>
      </c>
      <c r="D61" s="10" cm="1">
        <f t="array" ref="D61">ABS(pred_GDP_1qa!D65-pred_GDP_1qa!$B65)</f>
        <v>0.62168999999999996</v>
      </c>
      <c r="E61" s="10" cm="1">
        <f t="array" ref="E61">ABS(pred_GDP_1qa!E65-pred_GDP_1qa!$B65)</f>
        <v>0.56069999999999998</v>
      </c>
      <c r="F61" s="10" cm="1">
        <f t="array" ref="F61">ABS(pred_GDP_1qa!F65-pred_GDP_1qa!$B65)</f>
        <v>0.59976000000000007</v>
      </c>
      <c r="G61" s="10" t="e" cm="1">
        <f t="array" ref="G61">ABS(pred_GDP_1qa!G65-pred_GDP_1qa!$B65)</f>
        <v>#N/A</v>
      </c>
      <c r="H61" s="10" cm="1">
        <f t="array" ref="H61">ABS(pred_GDP_1qa!H65-pred_GDP_1qa!$B65)</f>
        <v>0.54326999999999992</v>
      </c>
      <c r="I61" s="10" cm="1">
        <f t="array" ref="I61">ABS(pred_GDP_1qa!I65-pred_GDP_1qa!$B65)</f>
        <v>0.75573000000000001</v>
      </c>
      <c r="J61" s="10" cm="1">
        <f t="array" ref="J61">ABS(pred_GDP_1qa!J65-pred_GDP_1qa!$B65)</f>
        <v>0.52986999999999995</v>
      </c>
      <c r="K61" s="10" cm="1">
        <f t="array" ref="K61">ABS(pred_GDP_1qa!K65-pred_GDP_1qa!$B65)</f>
        <v>0.97636999999999996</v>
      </c>
      <c r="L61" s="10" cm="1">
        <f t="array" ref="L61">ABS(pred_GDP_1qa!L65-pred_GDP_1qa!$B65)</f>
        <v>1</v>
      </c>
      <c r="M61" s="10" cm="1">
        <f t="array" ref="M61">ABS(pred_GDP_1qa!M65-pred_GDP_1qa!$B65)</f>
        <v>0.97243999999999997</v>
      </c>
      <c r="N61" s="10" cm="1">
        <f t="array" ref="N61">ABS(pred_GDP_1qa!N65-pred_GDP_1qa!$B65)</f>
        <v>0.82828999999999997</v>
      </c>
      <c r="O61" s="10" cm="1">
        <f t="array" ref="O61">ABS(pred_GDP_1qa!O65-pred_GDP_1qa!$B65)</f>
        <v>0.79122999999999999</v>
      </c>
      <c r="P61" s="10" cm="1">
        <f t="array" ref="P61">ABS(pred_GDP_1qa!P65-pred_GDP_1qa!$B65)</f>
        <v>0.96585999999999994</v>
      </c>
      <c r="Q61" s="6"/>
      <c r="R61" s="10" cm="1">
        <f t="array" ref="R61">ABS(pred_GDP_1qa!R65-pred_GDP_1qa!$B65)</f>
        <v>0.78372692307692304</v>
      </c>
      <c r="S61" s="10" cm="1">
        <f t="array" ref="S61">ABS(pred_GDP_1qa!S65-pred_GDP_1qa!$B65)</f>
        <v>0.79122999999999999</v>
      </c>
      <c r="T61" s="10" cm="1">
        <f t="array" ref="T61">ABS(pred_GDP_1qa!T65-pred_GDP_1qa!$B65)</f>
        <v>0.82828999999999997</v>
      </c>
      <c r="U61" s="10" cm="1">
        <f t="array" ref="U61">ABS(pred_GDP_1qa!U65-pred_GDP_1qa!$B65)</f>
        <v>0.79122999999999999</v>
      </c>
      <c r="V61" s="10" cm="1">
        <f t="array" ref="V61">ABS(pred_GDP_1qa!V65-pred_GDP_1qa!$B65)</f>
        <v>0.94250523637841499</v>
      </c>
      <c r="W61" s="10" cm="1">
        <f t="array" ref="W61">ABS(pred_GDP_1qa!W65-pred_GDP_1qa!$B65)</f>
        <v>0.93879488148752199</v>
      </c>
      <c r="X61" s="10" cm="1">
        <f t="array" ref="X61">ABS(pred_GDP_1qa!X65-pred_GDP_1qa!$B65)</f>
        <v>0.83017709079095403</v>
      </c>
      <c r="Y61" s="10" cm="1">
        <f t="array" ref="Y61">ABS(pred_GDP_1qa!Y65-pred_GDP_1qa!$B65)</f>
        <v>0.79080076998609994</v>
      </c>
      <c r="Z61" s="10" cm="1">
        <f t="array" ref="Z61">ABS(pred_GDP_1qa!Z65-pred_GDP_1qa!$B65)</f>
        <v>0.79231946598268799</v>
      </c>
    </row>
    <row r="62" spans="1:26" ht="13.8" customHeight="1" x14ac:dyDescent="0.25">
      <c r="A62" s="15">
        <v>44986</v>
      </c>
      <c r="B62" s="16">
        <v>0.3</v>
      </c>
      <c r="C62" s="21" cm="1">
        <f t="array" ref="C62">ABS(pred_GDP_1qa!C66-pred_GDP_1qa!$B66)</f>
        <v>0.32314999999999999</v>
      </c>
      <c r="D62" s="10" cm="1">
        <f t="array" ref="D62">ABS(pred_GDP_1qa!D66-pred_GDP_1qa!$B66)</f>
        <v>9.9040000000000017E-2</v>
      </c>
      <c r="E62" s="10" cm="1">
        <f t="array" ref="E62">ABS(pred_GDP_1qa!E66-pred_GDP_1qa!$B66)</f>
        <v>2.4919999999999998E-2</v>
      </c>
      <c r="F62" s="10" cm="1">
        <f t="array" ref="F62">ABS(pred_GDP_1qa!F66-pred_GDP_1qa!$B66)</f>
        <v>0.58481000000000005</v>
      </c>
      <c r="G62" s="10" t="e" cm="1">
        <f t="array" ref="G62">ABS(pred_GDP_1qa!G66-pred_GDP_1qa!$B66)</f>
        <v>#N/A</v>
      </c>
      <c r="H62" s="10" cm="1">
        <f t="array" ref="H62">ABS(pred_GDP_1qa!H66-pred_GDP_1qa!$B66)</f>
        <v>0.22392000000000001</v>
      </c>
      <c r="I62" s="10" cm="1">
        <f t="array" ref="I62">ABS(pred_GDP_1qa!I66-pred_GDP_1qa!$B66)</f>
        <v>0.33270000000000005</v>
      </c>
      <c r="J62" s="10" cm="1">
        <f t="array" ref="J62">ABS(pred_GDP_1qa!J66-pred_GDP_1qa!$B66)</f>
        <v>0.47197</v>
      </c>
      <c r="K62" s="10" cm="1">
        <f t="array" ref="K62">ABS(pred_GDP_1qa!K66-pred_GDP_1qa!$B66)</f>
        <v>0.59373999999999993</v>
      </c>
      <c r="L62" s="10" cm="1">
        <f t="array" ref="L62">ABS(pred_GDP_1qa!L66-pred_GDP_1qa!$B66)</f>
        <v>0.2</v>
      </c>
      <c r="M62" s="10" cm="1">
        <f t="array" ref="M62">ABS(pred_GDP_1qa!M66-pred_GDP_1qa!$B66)</f>
        <v>0.46027000000000001</v>
      </c>
      <c r="N62" s="10" cm="1">
        <f t="array" ref="N62">ABS(pred_GDP_1qa!N66-pred_GDP_1qa!$B66)</f>
        <v>9.8140000000000005E-2</v>
      </c>
      <c r="O62" s="10" cm="1">
        <f t="array" ref="O62">ABS(pred_GDP_1qa!O66-pred_GDP_1qa!$B66)</f>
        <v>8.77E-2</v>
      </c>
      <c r="P62" s="10" cm="1">
        <f t="array" ref="P62">ABS(pred_GDP_1qa!P66-pred_GDP_1qa!$B66)</f>
        <v>0.22064</v>
      </c>
      <c r="Q62" s="6"/>
      <c r="R62" s="10" cm="1">
        <f t="array" ref="R62">ABS(pred_GDP_1qa!R66-pred_GDP_1qa!$B66)</f>
        <v>8.9200000000000002E-2</v>
      </c>
      <c r="S62" s="10" cm="1">
        <f t="array" ref="S62">ABS(pred_GDP_1qa!S66-pred_GDP_1qa!$B66)</f>
        <v>9.9040000000000017E-2</v>
      </c>
      <c r="T62" s="10" cm="1">
        <f t="array" ref="T62">ABS(pred_GDP_1qa!T66-pred_GDP_1qa!$B66)</f>
        <v>0.22392000000000001</v>
      </c>
      <c r="U62" s="10" cm="1">
        <f t="array" ref="U62">ABS(pred_GDP_1qa!U66-pred_GDP_1qa!$B66)</f>
        <v>9.8590000000000011E-2</v>
      </c>
      <c r="V62" s="10" cm="1">
        <f t="array" ref="V62">ABS(pred_GDP_1qa!V66-pred_GDP_1qa!$B66)</f>
        <v>0.27816648164937968</v>
      </c>
      <c r="W62" s="10" cm="1">
        <f t="array" ref="W62">ABS(pred_GDP_1qa!W66-pred_GDP_1qa!$B66)</f>
        <v>0.27008170307173651</v>
      </c>
      <c r="X62" s="10" cm="1">
        <f t="array" ref="X62">ABS(pred_GDP_1qa!X66-pred_GDP_1qa!$B66)</f>
        <v>6.5080451769688991E-2</v>
      </c>
      <c r="Y62" s="10" cm="1">
        <f t="array" ref="Y62">ABS(pred_GDP_1qa!Y66-pred_GDP_1qa!$B66)</f>
        <v>5.5706566647200029E-2</v>
      </c>
      <c r="Z62" s="10" cm="1">
        <f t="array" ref="Z62">ABS(pred_GDP_1qa!Z66-pred_GDP_1qa!$B66)</f>
        <v>8.7903486372541029E-2</v>
      </c>
    </row>
    <row r="63" spans="1:26" ht="13.8" customHeight="1" x14ac:dyDescent="0.25">
      <c r="A63" s="22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3.8" customHeight="1" x14ac:dyDescent="0.25">
      <c r="A64" s="23" t="s">
        <v>25</v>
      </c>
      <c r="B64" s="24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22"/>
      <c r="V64" s="6"/>
      <c r="W64" s="6"/>
      <c r="X64" s="6"/>
      <c r="Y64" s="6"/>
      <c r="Z64" s="6"/>
    </row>
    <row r="65" spans="1:26" ht="13.8" customHeight="1" x14ac:dyDescent="0.25">
      <c r="A65" s="25" t="s">
        <v>26</v>
      </c>
      <c r="B65" s="24"/>
      <c r="C65" s="6"/>
      <c r="D65" s="10">
        <f>AVERAGE(D2:D62)</f>
        <v>0.66207596468310059</v>
      </c>
      <c r="E65" s="10">
        <f>AVERAGE(E2:E62)</f>
        <v>0.68641052735427421</v>
      </c>
      <c r="F65" s="6"/>
      <c r="G65" s="6"/>
      <c r="H65" s="6"/>
      <c r="I65" s="6"/>
      <c r="J65" s="6"/>
      <c r="K65" s="10">
        <f>AVERAGE(K2:K62)</f>
        <v>0.6160067310849825</v>
      </c>
      <c r="L65" s="6"/>
      <c r="M65" s="10">
        <f>AVERAGE(M2:M62)</f>
        <v>0.56823427641478153</v>
      </c>
      <c r="N65" s="10">
        <f>AVERAGE(N2:N62)</f>
        <v>0.60660493503117174</v>
      </c>
      <c r="O65" s="10">
        <f>AVERAGE(O2:O62)</f>
        <v>0.79622999600459621</v>
      </c>
      <c r="P65" s="10">
        <f>AVERAGE(P2:P62)</f>
        <v>0.65707643146514239</v>
      </c>
      <c r="Q65" s="6"/>
      <c r="R65" s="10">
        <f t="shared" ref="R65:Z65" si="0">AVERAGE(R2:R62)</f>
        <v>0.45446512943396972</v>
      </c>
      <c r="S65" s="10">
        <f t="shared" si="0"/>
        <v>0.47391527853001381</v>
      </c>
      <c r="T65" s="10">
        <f t="shared" si="0"/>
        <v>0.49010227573119686</v>
      </c>
      <c r="U65" s="30">
        <f t="shared" si="0"/>
        <v>0.43925049171716773</v>
      </c>
      <c r="V65" s="10">
        <f t="shared" si="0"/>
        <v>0.47973659326154761</v>
      </c>
      <c r="W65" s="10">
        <f t="shared" si="0"/>
        <v>0.47869978321076329</v>
      </c>
      <c r="X65" s="10">
        <f t="shared" si="0"/>
        <v>0.46355950167274407</v>
      </c>
      <c r="Y65" s="10">
        <f t="shared" si="0"/>
        <v>0.47019667975965435</v>
      </c>
      <c r="Z65" s="10">
        <f t="shared" si="0"/>
        <v>0.45678705372997752</v>
      </c>
    </row>
    <row r="66" spans="1:26" ht="13.8" customHeight="1" x14ac:dyDescent="0.25">
      <c r="A66" s="28" t="s">
        <v>27</v>
      </c>
      <c r="B66" s="24"/>
      <c r="C66" s="6"/>
      <c r="D66" s="10" cm="1">
        <f t="array" ref="D66">AVERAGE(D2:D9)</f>
        <v>1.4933629173714154</v>
      </c>
      <c r="E66" s="10" cm="1">
        <f t="array" ref="E66">AVERAGE(E2:E9)</f>
        <v>1.4885717299654129</v>
      </c>
      <c r="F66" s="6"/>
      <c r="G66" s="6"/>
      <c r="H66" s="6"/>
      <c r="I66" s="6"/>
      <c r="J66" s="6"/>
      <c r="K66" s="10" cm="1">
        <f t="array" ref="K66">AVERAGE(K2:K9)</f>
        <v>1.2281771673856505</v>
      </c>
      <c r="L66" s="6"/>
      <c r="M66" s="10" cm="1">
        <f t="array" ref="M66">AVERAGE(M2:M9)</f>
        <v>1.0248258108481303</v>
      </c>
      <c r="N66" s="10" cm="1">
        <f t="array" ref="N66">AVERAGE(N2:N9)</f>
        <v>1.3207999169826508</v>
      </c>
      <c r="O66" s="10" cm="1">
        <f t="array" ref="O66">AVERAGE(O2:O9)</f>
        <v>1.2916444345132758</v>
      </c>
      <c r="P66" s="10" cm="1">
        <f t="array" ref="P66">AVERAGE(P2:P9)</f>
        <v>1.3374455557385465</v>
      </c>
      <c r="Q66" s="6"/>
      <c r="R66" s="10" cm="1">
        <f t="array" ref="R66">AVERAGE(R2:R9)</f>
        <v>1.0851797778254413</v>
      </c>
      <c r="S66" s="10" cm="1">
        <f t="array" ref="S66">AVERAGE(S2:S9)</f>
        <v>1.1263614662389352</v>
      </c>
      <c r="T66" s="26" cm="1">
        <f t="array" ref="T66">AVERAGE(T2:T9)</f>
        <v>1.1432880445830012</v>
      </c>
      <c r="U66" s="29" cm="1">
        <f t="array" ref="U66">AVERAGE(U2:U9)</f>
        <v>1.0990053192167326</v>
      </c>
      <c r="V66" s="21" cm="1">
        <f t="array" ref="V66">AVERAGE(V2:V9)</f>
        <v>1.0798112199678551</v>
      </c>
      <c r="W66" s="10" cm="1">
        <f t="array" ref="W66">AVERAGE(W2:W9)</f>
        <v>1.0828511309238353</v>
      </c>
      <c r="X66" s="10" cm="1">
        <f t="array" ref="X66">AVERAGE(X2:X9)</f>
        <v>1.1150066213661121</v>
      </c>
      <c r="Y66" s="10" cm="1">
        <f t="array" ref="Y66">AVERAGE(Y2:Y9)</f>
        <v>1.2002210396757655</v>
      </c>
      <c r="Z66" s="10" cm="1">
        <f t="array" ref="Z66">AVERAGE(Z2:Z9)</f>
        <v>1.2832696763679865</v>
      </c>
    </row>
  </sheetData>
  <phoneticPr fontId="1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pred_GDP_now</vt:lpstr>
      <vt:lpstr>error_now</vt:lpstr>
      <vt:lpstr>pred_GDP_1qa</vt:lpstr>
      <vt:lpstr>error_1qa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조형배</cp:lastModifiedBy>
  <dcterms:modified xsi:type="dcterms:W3CDTF">2026-02-09T01:19:42Z</dcterms:modified>
</cp:coreProperties>
</file>