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208D162F-46CC-404C-AA89-127E8F42CBA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ed_GDP_now" sheetId="1" r:id="rId1"/>
    <sheet name="error_n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2" l="1"/>
  <c r="T2" i="2"/>
  <c r="U2" i="2"/>
  <c r="V2" i="2"/>
  <c r="W2" i="2"/>
  <c r="X2" i="2"/>
  <c r="Y2" i="2"/>
  <c r="Z2" i="2"/>
  <c r="S3" i="2"/>
  <c r="T3" i="2"/>
  <c r="U3" i="2"/>
  <c r="V3" i="2"/>
  <c r="W3" i="2"/>
  <c r="X3" i="2"/>
  <c r="Y3" i="2"/>
  <c r="Z3" i="2"/>
  <c r="S4" i="2"/>
  <c r="T4" i="2"/>
  <c r="U4" i="2"/>
  <c r="V4" i="2"/>
  <c r="W4" i="2"/>
  <c r="X4" i="2"/>
  <c r="Y4" i="2"/>
  <c r="Z4" i="2"/>
  <c r="Z65" i="2" s="1"/>
  <c r="S5" i="2"/>
  <c r="T5" i="2"/>
  <c r="U5" i="2"/>
  <c r="V5" i="2"/>
  <c r="W5" i="2"/>
  <c r="X5" i="2"/>
  <c r="Y5" i="2"/>
  <c r="Z5" i="2"/>
  <c r="S6" i="2"/>
  <c r="T6" i="2"/>
  <c r="U6" i="2"/>
  <c r="V6" i="2"/>
  <c r="W6" i="2"/>
  <c r="X6" i="2"/>
  <c r="Y6" i="2"/>
  <c r="Z6" i="2"/>
  <c r="S7" i="2"/>
  <c r="T7" i="2"/>
  <c r="U7" i="2"/>
  <c r="V7" i="2"/>
  <c r="W7" i="2"/>
  <c r="X7" i="2"/>
  <c r="Y7" i="2"/>
  <c r="Z7" i="2"/>
  <c r="S8" i="2"/>
  <c r="T8" i="2"/>
  <c r="U8" i="2"/>
  <c r="V8" i="2"/>
  <c r="W8" i="2"/>
  <c r="X8" i="2"/>
  <c r="Y8" i="2"/>
  <c r="Z8" i="2"/>
  <c r="S9" i="2"/>
  <c r="T9" i="2"/>
  <c r="U9" i="2"/>
  <c r="V9" i="2"/>
  <c r="W9" i="2"/>
  <c r="X9" i="2"/>
  <c r="Y9" i="2"/>
  <c r="Z9" i="2"/>
  <c r="S10" i="2"/>
  <c r="T10" i="2"/>
  <c r="U10" i="2"/>
  <c r="V10" i="2"/>
  <c r="W10" i="2"/>
  <c r="X10" i="2"/>
  <c r="Y10" i="2"/>
  <c r="Z10" i="2"/>
  <c r="S11" i="2"/>
  <c r="T11" i="2"/>
  <c r="U11" i="2"/>
  <c r="V11" i="2"/>
  <c r="W11" i="2"/>
  <c r="X11" i="2"/>
  <c r="Y11" i="2"/>
  <c r="Z11" i="2"/>
  <c r="S12" i="2"/>
  <c r="T12" i="2"/>
  <c r="U12" i="2"/>
  <c r="V12" i="2"/>
  <c r="W12" i="2"/>
  <c r="X12" i="2"/>
  <c r="Y12" i="2"/>
  <c r="Z12" i="2"/>
  <c r="S13" i="2"/>
  <c r="T13" i="2"/>
  <c r="U13" i="2"/>
  <c r="V13" i="2"/>
  <c r="W13" i="2"/>
  <c r="X13" i="2"/>
  <c r="Y13" i="2"/>
  <c r="Z13" i="2"/>
  <c r="S14" i="2"/>
  <c r="T14" i="2"/>
  <c r="U14" i="2"/>
  <c r="V14" i="2"/>
  <c r="W14" i="2"/>
  <c r="X14" i="2"/>
  <c r="Y14" i="2"/>
  <c r="Z14" i="2"/>
  <c r="S15" i="2"/>
  <c r="T15" i="2"/>
  <c r="U15" i="2"/>
  <c r="V15" i="2"/>
  <c r="W15" i="2"/>
  <c r="X15" i="2"/>
  <c r="Y15" i="2"/>
  <c r="Z15" i="2"/>
  <c r="S16" i="2"/>
  <c r="T16" i="2"/>
  <c r="U16" i="2"/>
  <c r="V16" i="2"/>
  <c r="W16" i="2"/>
  <c r="X16" i="2"/>
  <c r="Y16" i="2"/>
  <c r="Z16" i="2"/>
  <c r="S17" i="2"/>
  <c r="T17" i="2"/>
  <c r="U17" i="2"/>
  <c r="V17" i="2"/>
  <c r="W17" i="2"/>
  <c r="X17" i="2"/>
  <c r="Y17" i="2"/>
  <c r="Z17" i="2"/>
  <c r="S18" i="2"/>
  <c r="T18" i="2"/>
  <c r="U18" i="2"/>
  <c r="V18" i="2"/>
  <c r="W18" i="2"/>
  <c r="X18" i="2"/>
  <c r="Y18" i="2"/>
  <c r="Z18" i="2"/>
  <c r="S19" i="2"/>
  <c r="T19" i="2"/>
  <c r="U19" i="2"/>
  <c r="V19" i="2"/>
  <c r="W19" i="2"/>
  <c r="X19" i="2"/>
  <c r="Y19" i="2"/>
  <c r="Z19" i="2"/>
  <c r="S20" i="2"/>
  <c r="T20" i="2"/>
  <c r="U20" i="2"/>
  <c r="V20" i="2"/>
  <c r="W20" i="2"/>
  <c r="X20" i="2"/>
  <c r="Y20" i="2"/>
  <c r="Z20" i="2"/>
  <c r="S21" i="2"/>
  <c r="T21" i="2"/>
  <c r="U21" i="2"/>
  <c r="V21" i="2"/>
  <c r="W21" i="2"/>
  <c r="X21" i="2"/>
  <c r="Y21" i="2"/>
  <c r="Z21" i="2"/>
  <c r="S22" i="2"/>
  <c r="T22" i="2"/>
  <c r="U22" i="2"/>
  <c r="V22" i="2"/>
  <c r="W22" i="2"/>
  <c r="X22" i="2"/>
  <c r="Y22" i="2"/>
  <c r="Z22" i="2"/>
  <c r="S23" i="2"/>
  <c r="T23" i="2"/>
  <c r="U23" i="2"/>
  <c r="V23" i="2"/>
  <c r="W23" i="2"/>
  <c r="X23" i="2"/>
  <c r="Y23" i="2"/>
  <c r="Z23" i="2"/>
  <c r="S24" i="2"/>
  <c r="T24" i="2"/>
  <c r="U24" i="2"/>
  <c r="V24" i="2"/>
  <c r="W24" i="2"/>
  <c r="X24" i="2"/>
  <c r="Y24" i="2"/>
  <c r="Z24" i="2"/>
  <c r="S25" i="2"/>
  <c r="T25" i="2"/>
  <c r="U25" i="2"/>
  <c r="V25" i="2"/>
  <c r="W25" i="2"/>
  <c r="X25" i="2"/>
  <c r="Y25" i="2"/>
  <c r="Z25" i="2"/>
  <c r="S26" i="2"/>
  <c r="T26" i="2"/>
  <c r="U26" i="2"/>
  <c r="V26" i="2"/>
  <c r="W26" i="2"/>
  <c r="X26" i="2"/>
  <c r="Y26" i="2"/>
  <c r="Z26" i="2"/>
  <c r="S27" i="2"/>
  <c r="T27" i="2"/>
  <c r="U27" i="2"/>
  <c r="V27" i="2"/>
  <c r="W27" i="2"/>
  <c r="X27" i="2"/>
  <c r="Y27" i="2"/>
  <c r="Z27" i="2"/>
  <c r="S28" i="2"/>
  <c r="T28" i="2"/>
  <c r="U28" i="2"/>
  <c r="V28" i="2"/>
  <c r="W28" i="2"/>
  <c r="X28" i="2"/>
  <c r="Y28" i="2"/>
  <c r="Z28" i="2"/>
  <c r="S29" i="2"/>
  <c r="T29" i="2"/>
  <c r="U29" i="2"/>
  <c r="V29" i="2"/>
  <c r="W29" i="2"/>
  <c r="X29" i="2"/>
  <c r="Y29" i="2"/>
  <c r="Z29" i="2"/>
  <c r="S30" i="2"/>
  <c r="T30" i="2"/>
  <c r="U30" i="2"/>
  <c r="V30" i="2"/>
  <c r="W30" i="2"/>
  <c r="X30" i="2"/>
  <c r="Y30" i="2"/>
  <c r="Z30" i="2"/>
  <c r="S31" i="2"/>
  <c r="T31" i="2"/>
  <c r="U31" i="2"/>
  <c r="V31" i="2"/>
  <c r="W31" i="2"/>
  <c r="X31" i="2"/>
  <c r="Y31" i="2"/>
  <c r="Z31" i="2"/>
  <c r="S32" i="2"/>
  <c r="T32" i="2"/>
  <c r="U32" i="2"/>
  <c r="V32" i="2"/>
  <c r="W32" i="2"/>
  <c r="X32" i="2"/>
  <c r="Y32" i="2"/>
  <c r="Z32" i="2"/>
  <c r="S33" i="2"/>
  <c r="T33" i="2"/>
  <c r="U33" i="2"/>
  <c r="V33" i="2"/>
  <c r="W33" i="2"/>
  <c r="X33" i="2"/>
  <c r="Y33" i="2"/>
  <c r="Z33" i="2"/>
  <c r="S34" i="2"/>
  <c r="T34" i="2"/>
  <c r="U34" i="2"/>
  <c r="V34" i="2"/>
  <c r="W34" i="2"/>
  <c r="X34" i="2"/>
  <c r="Y34" i="2"/>
  <c r="Z34" i="2"/>
  <c r="S35" i="2"/>
  <c r="T35" i="2"/>
  <c r="U35" i="2"/>
  <c r="V35" i="2"/>
  <c r="W35" i="2"/>
  <c r="X35" i="2"/>
  <c r="Y35" i="2"/>
  <c r="Z35" i="2"/>
  <c r="S36" i="2"/>
  <c r="T36" i="2"/>
  <c r="U36" i="2"/>
  <c r="V36" i="2"/>
  <c r="W36" i="2"/>
  <c r="X36" i="2"/>
  <c r="Y36" i="2"/>
  <c r="Z36" i="2"/>
  <c r="S37" i="2"/>
  <c r="T37" i="2"/>
  <c r="U37" i="2"/>
  <c r="V37" i="2"/>
  <c r="W37" i="2"/>
  <c r="X37" i="2"/>
  <c r="Y37" i="2"/>
  <c r="Z37" i="2"/>
  <c r="S38" i="2"/>
  <c r="T38" i="2"/>
  <c r="U38" i="2"/>
  <c r="V38" i="2"/>
  <c r="W38" i="2"/>
  <c r="X38" i="2"/>
  <c r="Y38" i="2"/>
  <c r="Z38" i="2"/>
  <c r="S39" i="2"/>
  <c r="T39" i="2"/>
  <c r="U39" i="2"/>
  <c r="V39" i="2"/>
  <c r="W39" i="2"/>
  <c r="X39" i="2"/>
  <c r="Y39" i="2"/>
  <c r="Z39" i="2"/>
  <c r="S40" i="2"/>
  <c r="T40" i="2"/>
  <c r="U40" i="2"/>
  <c r="V40" i="2"/>
  <c r="W40" i="2"/>
  <c r="X40" i="2"/>
  <c r="Y40" i="2"/>
  <c r="Z40" i="2"/>
  <c r="S41" i="2"/>
  <c r="T41" i="2"/>
  <c r="U41" i="2"/>
  <c r="V41" i="2"/>
  <c r="W41" i="2"/>
  <c r="X41" i="2"/>
  <c r="Y41" i="2"/>
  <c r="Z41" i="2"/>
  <c r="S42" i="2"/>
  <c r="T42" i="2"/>
  <c r="U42" i="2"/>
  <c r="V42" i="2"/>
  <c r="W42" i="2"/>
  <c r="X42" i="2"/>
  <c r="Y42" i="2"/>
  <c r="Z42" i="2"/>
  <c r="S43" i="2"/>
  <c r="T43" i="2"/>
  <c r="U43" i="2"/>
  <c r="V43" i="2"/>
  <c r="W43" i="2"/>
  <c r="X43" i="2"/>
  <c r="Y43" i="2"/>
  <c r="Z43" i="2"/>
  <c r="S44" i="2"/>
  <c r="T44" i="2"/>
  <c r="U44" i="2"/>
  <c r="V44" i="2"/>
  <c r="W44" i="2"/>
  <c r="X44" i="2"/>
  <c r="Y44" i="2"/>
  <c r="Z44" i="2"/>
  <c r="S45" i="2"/>
  <c r="T45" i="2"/>
  <c r="U45" i="2"/>
  <c r="V45" i="2"/>
  <c r="W45" i="2"/>
  <c r="X45" i="2"/>
  <c r="Y45" i="2"/>
  <c r="Z45" i="2"/>
  <c r="S46" i="2"/>
  <c r="T46" i="2"/>
  <c r="U46" i="2"/>
  <c r="V46" i="2"/>
  <c r="W46" i="2"/>
  <c r="X46" i="2"/>
  <c r="Y46" i="2"/>
  <c r="Z46" i="2"/>
  <c r="S47" i="2"/>
  <c r="T47" i="2"/>
  <c r="U47" i="2"/>
  <c r="V47" i="2"/>
  <c r="W47" i="2"/>
  <c r="X47" i="2"/>
  <c r="Y47" i="2"/>
  <c r="Z47" i="2"/>
  <c r="S48" i="2"/>
  <c r="T48" i="2"/>
  <c r="U48" i="2"/>
  <c r="V48" i="2"/>
  <c r="W48" i="2"/>
  <c r="X48" i="2"/>
  <c r="Y48" i="2"/>
  <c r="Z48" i="2"/>
  <c r="S49" i="2"/>
  <c r="T49" i="2"/>
  <c r="U49" i="2"/>
  <c r="V49" i="2"/>
  <c r="W49" i="2"/>
  <c r="X49" i="2"/>
  <c r="Y49" i="2"/>
  <c r="Z49" i="2"/>
  <c r="S50" i="2"/>
  <c r="T50" i="2"/>
  <c r="U50" i="2"/>
  <c r="V50" i="2"/>
  <c r="W50" i="2"/>
  <c r="X50" i="2"/>
  <c r="Y50" i="2"/>
  <c r="Z50" i="2"/>
  <c r="S51" i="2"/>
  <c r="T51" i="2"/>
  <c r="U51" i="2"/>
  <c r="V51" i="2"/>
  <c r="W51" i="2"/>
  <c r="X51" i="2"/>
  <c r="Y51" i="2"/>
  <c r="Z51" i="2"/>
  <c r="S52" i="2"/>
  <c r="T52" i="2"/>
  <c r="U52" i="2"/>
  <c r="V52" i="2"/>
  <c r="W52" i="2"/>
  <c r="X52" i="2"/>
  <c r="Y52" i="2"/>
  <c r="Z52" i="2"/>
  <c r="S53" i="2"/>
  <c r="T53" i="2"/>
  <c r="U53" i="2"/>
  <c r="V53" i="2"/>
  <c r="W53" i="2"/>
  <c r="X53" i="2"/>
  <c r="Y53" i="2"/>
  <c r="Z53" i="2"/>
  <c r="S54" i="2"/>
  <c r="T54" i="2"/>
  <c r="U54" i="2"/>
  <c r="V54" i="2"/>
  <c r="W54" i="2"/>
  <c r="X54" i="2"/>
  <c r="Y54" i="2"/>
  <c r="Z54" i="2"/>
  <c r="S55" i="2"/>
  <c r="T55" i="2"/>
  <c r="U55" i="2"/>
  <c r="V55" i="2"/>
  <c r="W55" i="2"/>
  <c r="X55" i="2"/>
  <c r="Y55" i="2"/>
  <c r="Z55" i="2"/>
  <c r="S56" i="2"/>
  <c r="T56" i="2"/>
  <c r="U56" i="2"/>
  <c r="V56" i="2"/>
  <c r="W56" i="2"/>
  <c r="X56" i="2"/>
  <c r="Y56" i="2"/>
  <c r="Z56" i="2"/>
  <c r="S57" i="2"/>
  <c r="T57" i="2"/>
  <c r="U57" i="2"/>
  <c r="V57" i="2"/>
  <c r="W57" i="2"/>
  <c r="X57" i="2"/>
  <c r="Y57" i="2"/>
  <c r="Z57" i="2"/>
  <c r="S58" i="2"/>
  <c r="T58" i="2"/>
  <c r="U58" i="2"/>
  <c r="V58" i="2"/>
  <c r="W58" i="2"/>
  <c r="X58" i="2"/>
  <c r="Y58" i="2"/>
  <c r="Z58" i="2"/>
  <c r="S59" i="2"/>
  <c r="T59" i="2"/>
  <c r="U59" i="2"/>
  <c r="V59" i="2"/>
  <c r="W59" i="2"/>
  <c r="X59" i="2"/>
  <c r="Y59" i="2"/>
  <c r="Z59" i="2"/>
  <c r="S60" i="2"/>
  <c r="T60" i="2"/>
  <c r="U60" i="2"/>
  <c r="V60" i="2"/>
  <c r="W60" i="2"/>
  <c r="X60" i="2"/>
  <c r="Y60" i="2"/>
  <c r="Z60" i="2"/>
  <c r="S61" i="2"/>
  <c r="T61" i="2"/>
  <c r="U61" i="2"/>
  <c r="V61" i="2"/>
  <c r="W61" i="2"/>
  <c r="X61" i="2"/>
  <c r="Y61" i="2"/>
  <c r="Z61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D2" i="2"/>
  <c r="E2" i="2"/>
  <c r="E66" i="2" s="1"/>
  <c r="K2" i="2"/>
  <c r="M2" i="2"/>
  <c r="N2" i="2"/>
  <c r="O2" i="2"/>
  <c r="O66" i="2" s="1"/>
  <c r="P2" i="2"/>
  <c r="D3" i="2"/>
  <c r="E3" i="2"/>
  <c r="K3" i="2"/>
  <c r="M3" i="2"/>
  <c r="N3" i="2"/>
  <c r="O3" i="2"/>
  <c r="P3" i="2"/>
  <c r="D4" i="2"/>
  <c r="E4" i="2"/>
  <c r="K4" i="2"/>
  <c r="M4" i="2"/>
  <c r="N4" i="2"/>
  <c r="O4" i="2"/>
  <c r="P4" i="2"/>
  <c r="D5" i="2"/>
  <c r="E5" i="2"/>
  <c r="K5" i="2"/>
  <c r="M5" i="2"/>
  <c r="N5" i="2"/>
  <c r="O5" i="2"/>
  <c r="P5" i="2"/>
  <c r="D6" i="2"/>
  <c r="E6" i="2"/>
  <c r="K6" i="2"/>
  <c r="M6" i="2"/>
  <c r="N6" i="2"/>
  <c r="O6" i="2"/>
  <c r="P6" i="2"/>
  <c r="D7" i="2"/>
  <c r="E7" i="2"/>
  <c r="J7" i="2"/>
  <c r="K7" i="2"/>
  <c r="M7" i="2"/>
  <c r="N7" i="2"/>
  <c r="O7" i="2"/>
  <c r="P7" i="2"/>
  <c r="D8" i="2"/>
  <c r="E8" i="2"/>
  <c r="I8" i="2"/>
  <c r="J8" i="2"/>
  <c r="K8" i="2"/>
  <c r="L8" i="2"/>
  <c r="M8" i="2"/>
  <c r="N8" i="2"/>
  <c r="O8" i="2"/>
  <c r="P8" i="2"/>
  <c r="D9" i="2"/>
  <c r="E9" i="2"/>
  <c r="F9" i="2"/>
  <c r="K9" i="2"/>
  <c r="M9" i="2"/>
  <c r="N9" i="2"/>
  <c r="O9" i="2"/>
  <c r="P9" i="2"/>
  <c r="D10" i="2"/>
  <c r="E10" i="2"/>
  <c r="F10" i="2"/>
  <c r="G10" i="2"/>
  <c r="K10" i="2"/>
  <c r="M10" i="2"/>
  <c r="N10" i="2"/>
  <c r="O10" i="2"/>
  <c r="P10" i="2"/>
  <c r="D11" i="2"/>
  <c r="E11" i="2"/>
  <c r="I11" i="2"/>
  <c r="J11" i="2"/>
  <c r="K11" i="2"/>
  <c r="L11" i="2"/>
  <c r="M11" i="2"/>
  <c r="N11" i="2"/>
  <c r="O11" i="2"/>
  <c r="P11" i="2"/>
  <c r="D12" i="2"/>
  <c r="E12" i="2"/>
  <c r="F12" i="2"/>
  <c r="G12" i="2"/>
  <c r="K12" i="2"/>
  <c r="M12" i="2"/>
  <c r="N12" i="2"/>
  <c r="O12" i="2"/>
  <c r="P12" i="2"/>
  <c r="D13" i="2"/>
  <c r="E13" i="2"/>
  <c r="K13" i="2"/>
  <c r="M13" i="2"/>
  <c r="N13" i="2"/>
  <c r="O13" i="2"/>
  <c r="P13" i="2"/>
  <c r="D14" i="2"/>
  <c r="E14" i="2"/>
  <c r="K14" i="2"/>
  <c r="M14" i="2"/>
  <c r="N14" i="2"/>
  <c r="O14" i="2"/>
  <c r="P14" i="2"/>
  <c r="D15" i="2"/>
  <c r="E15" i="2"/>
  <c r="F15" i="2"/>
  <c r="G15" i="2"/>
  <c r="H15" i="2"/>
  <c r="K15" i="2"/>
  <c r="M15" i="2"/>
  <c r="N15" i="2"/>
  <c r="O15" i="2"/>
  <c r="P15" i="2"/>
  <c r="D16" i="2"/>
  <c r="E16" i="2"/>
  <c r="F16" i="2"/>
  <c r="H16" i="2"/>
  <c r="K16" i="2"/>
  <c r="M16" i="2"/>
  <c r="N16" i="2"/>
  <c r="O16" i="2"/>
  <c r="P16" i="2"/>
  <c r="D17" i="2"/>
  <c r="E17" i="2"/>
  <c r="I17" i="2"/>
  <c r="K17" i="2"/>
  <c r="L17" i="2"/>
  <c r="M17" i="2"/>
  <c r="N17" i="2"/>
  <c r="O17" i="2"/>
  <c r="P17" i="2"/>
  <c r="D18" i="2"/>
  <c r="E18" i="2"/>
  <c r="K18" i="2"/>
  <c r="M18" i="2"/>
  <c r="N18" i="2"/>
  <c r="O18" i="2"/>
  <c r="P18" i="2"/>
  <c r="D19" i="2"/>
  <c r="E19" i="2"/>
  <c r="K19" i="2"/>
  <c r="M19" i="2"/>
  <c r="N19" i="2"/>
  <c r="O19" i="2"/>
  <c r="P19" i="2"/>
  <c r="D20" i="2"/>
  <c r="E20" i="2"/>
  <c r="K20" i="2"/>
  <c r="M20" i="2"/>
  <c r="N20" i="2"/>
  <c r="O20" i="2"/>
  <c r="P20" i="2"/>
  <c r="D21" i="2"/>
  <c r="E21" i="2"/>
  <c r="K21" i="2"/>
  <c r="M21" i="2"/>
  <c r="N21" i="2"/>
  <c r="O21" i="2"/>
  <c r="P21" i="2"/>
  <c r="D22" i="2"/>
  <c r="E22" i="2"/>
  <c r="K22" i="2"/>
  <c r="M22" i="2"/>
  <c r="N22" i="2"/>
  <c r="O22" i="2"/>
  <c r="P22" i="2"/>
  <c r="D23" i="2"/>
  <c r="E23" i="2"/>
  <c r="J23" i="2"/>
  <c r="K23" i="2"/>
  <c r="M23" i="2"/>
  <c r="N23" i="2"/>
  <c r="O23" i="2"/>
  <c r="P23" i="2"/>
  <c r="D24" i="2"/>
  <c r="E24" i="2"/>
  <c r="I24" i="2"/>
  <c r="K24" i="2"/>
  <c r="L24" i="2"/>
  <c r="M24" i="2"/>
  <c r="N24" i="2"/>
  <c r="O24" i="2"/>
  <c r="P24" i="2"/>
  <c r="D25" i="2"/>
  <c r="E25" i="2"/>
  <c r="K25" i="2"/>
  <c r="M25" i="2"/>
  <c r="N25" i="2"/>
  <c r="O25" i="2"/>
  <c r="P25" i="2"/>
  <c r="D26" i="2"/>
  <c r="E26" i="2"/>
  <c r="I26" i="2"/>
  <c r="K26" i="2"/>
  <c r="M26" i="2"/>
  <c r="N26" i="2"/>
  <c r="O26" i="2"/>
  <c r="P26" i="2"/>
  <c r="D27" i="2"/>
  <c r="E27" i="2"/>
  <c r="F27" i="2"/>
  <c r="G27" i="2"/>
  <c r="H27" i="2"/>
  <c r="I27" i="2"/>
  <c r="K27" i="2"/>
  <c r="M27" i="2"/>
  <c r="N27" i="2"/>
  <c r="O27" i="2"/>
  <c r="P27" i="2"/>
  <c r="D28" i="2"/>
  <c r="E28" i="2"/>
  <c r="J28" i="2"/>
  <c r="K28" i="2"/>
  <c r="L28" i="2"/>
  <c r="M28" i="2"/>
  <c r="N28" i="2"/>
  <c r="O28" i="2"/>
  <c r="P28" i="2"/>
  <c r="D29" i="2"/>
  <c r="E29" i="2"/>
  <c r="J29" i="2"/>
  <c r="K29" i="2"/>
  <c r="M29" i="2"/>
  <c r="N29" i="2"/>
  <c r="O29" i="2"/>
  <c r="P29" i="2"/>
  <c r="D30" i="2"/>
  <c r="E30" i="2"/>
  <c r="K30" i="2"/>
  <c r="M30" i="2"/>
  <c r="N30" i="2"/>
  <c r="O30" i="2"/>
  <c r="P30" i="2"/>
  <c r="D31" i="2"/>
  <c r="E31" i="2"/>
  <c r="F31" i="2"/>
  <c r="H31" i="2"/>
  <c r="K31" i="2"/>
  <c r="M31" i="2"/>
  <c r="N31" i="2"/>
  <c r="O31" i="2"/>
  <c r="P31" i="2"/>
  <c r="D32" i="2"/>
  <c r="E32" i="2"/>
  <c r="I32" i="2"/>
  <c r="J32" i="2"/>
  <c r="K32" i="2"/>
  <c r="M32" i="2"/>
  <c r="N32" i="2"/>
  <c r="O32" i="2"/>
  <c r="P32" i="2"/>
  <c r="D33" i="2"/>
  <c r="E33" i="2"/>
  <c r="I33" i="2"/>
  <c r="K33" i="2"/>
  <c r="L33" i="2"/>
  <c r="M33" i="2"/>
  <c r="N33" i="2"/>
  <c r="O33" i="2"/>
  <c r="P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C18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L3" i="1"/>
  <c r="L3" i="2" s="1"/>
  <c r="L4" i="1"/>
  <c r="L4" i="2" s="1"/>
  <c r="L5" i="1"/>
  <c r="L5" i="2" s="1"/>
  <c r="L6" i="1"/>
  <c r="L6" i="2" s="1"/>
  <c r="L7" i="1"/>
  <c r="L7" i="2" s="1"/>
  <c r="L8" i="1"/>
  <c r="L9" i="1"/>
  <c r="L9" i="2" s="1"/>
  <c r="L10" i="1"/>
  <c r="L10" i="2" s="1"/>
  <c r="L11" i="1"/>
  <c r="L12" i="1"/>
  <c r="L12" i="2" s="1"/>
  <c r="L13" i="1"/>
  <c r="L13" i="2" s="1"/>
  <c r="L14" i="1"/>
  <c r="L14" i="2" s="1"/>
  <c r="L15" i="1"/>
  <c r="L15" i="2" s="1"/>
  <c r="L16" i="1"/>
  <c r="L16" i="2" s="1"/>
  <c r="L17" i="1"/>
  <c r="L18" i="1"/>
  <c r="L18" i="2" s="1"/>
  <c r="L19" i="1"/>
  <c r="L19" i="2" s="1"/>
  <c r="L20" i="1"/>
  <c r="L20" i="2" s="1"/>
  <c r="L21" i="1"/>
  <c r="L21" i="2" s="1"/>
  <c r="L22" i="1"/>
  <c r="L22" i="2" s="1"/>
  <c r="L23" i="1"/>
  <c r="L23" i="2" s="1"/>
  <c r="L24" i="1"/>
  <c r="L25" i="1"/>
  <c r="L25" i="2" s="1"/>
  <c r="L26" i="1"/>
  <c r="L26" i="2" s="1"/>
  <c r="L27" i="1"/>
  <c r="L27" i="2" s="1"/>
  <c r="L28" i="1"/>
  <c r="L29" i="1"/>
  <c r="L29" i="2" s="1"/>
  <c r="L30" i="1"/>
  <c r="L30" i="2" s="1"/>
  <c r="L31" i="1"/>
  <c r="L31" i="2" s="1"/>
  <c r="L32" i="1"/>
  <c r="L32" i="2" s="1"/>
  <c r="L33" i="1"/>
  <c r="L2" i="1"/>
  <c r="L2" i="2" s="1"/>
  <c r="J3" i="1"/>
  <c r="J3" i="2" s="1"/>
  <c r="J4" i="1"/>
  <c r="J4" i="2" s="1"/>
  <c r="J5" i="1"/>
  <c r="J5" i="2" s="1"/>
  <c r="J6" i="1"/>
  <c r="J6" i="2" s="1"/>
  <c r="J7" i="1"/>
  <c r="J8" i="1"/>
  <c r="J9" i="1"/>
  <c r="J9" i="2" s="1"/>
  <c r="J10" i="1"/>
  <c r="J10" i="2" s="1"/>
  <c r="J11" i="1"/>
  <c r="J12" i="1"/>
  <c r="J12" i="2" s="1"/>
  <c r="J13" i="1"/>
  <c r="J13" i="2" s="1"/>
  <c r="J14" i="1"/>
  <c r="J14" i="2" s="1"/>
  <c r="J15" i="1"/>
  <c r="J15" i="2" s="1"/>
  <c r="J16" i="1"/>
  <c r="J16" i="2" s="1"/>
  <c r="J17" i="1"/>
  <c r="J17" i="2" s="1"/>
  <c r="J18" i="1"/>
  <c r="J18" i="2" s="1"/>
  <c r="J19" i="1"/>
  <c r="J19" i="2" s="1"/>
  <c r="J20" i="1"/>
  <c r="J20" i="2" s="1"/>
  <c r="J21" i="1"/>
  <c r="J21" i="2" s="1"/>
  <c r="J22" i="1"/>
  <c r="J22" i="2" s="1"/>
  <c r="J23" i="1"/>
  <c r="J24" i="1"/>
  <c r="J24" i="2" s="1"/>
  <c r="J25" i="1"/>
  <c r="J25" i="2" s="1"/>
  <c r="J26" i="1"/>
  <c r="J26" i="2" s="1"/>
  <c r="J27" i="1"/>
  <c r="J27" i="2" s="1"/>
  <c r="J28" i="1"/>
  <c r="J29" i="1"/>
  <c r="J30" i="1"/>
  <c r="J30" i="2" s="1"/>
  <c r="J31" i="1"/>
  <c r="J31" i="2" s="1"/>
  <c r="J32" i="1"/>
  <c r="J33" i="1"/>
  <c r="J33" i="2" s="1"/>
  <c r="J2" i="1"/>
  <c r="J2" i="2" s="1"/>
  <c r="I3" i="1"/>
  <c r="I3" i="2" s="1"/>
  <c r="I4" i="1"/>
  <c r="I4" i="2" s="1"/>
  <c r="I5" i="1"/>
  <c r="I5" i="2" s="1"/>
  <c r="I6" i="1"/>
  <c r="I6" i="2" s="1"/>
  <c r="I7" i="1"/>
  <c r="I7" i="2" s="1"/>
  <c r="I8" i="1"/>
  <c r="I9" i="1"/>
  <c r="I9" i="2" s="1"/>
  <c r="I10" i="1"/>
  <c r="I10" i="2" s="1"/>
  <c r="I11" i="1"/>
  <c r="I12" i="1"/>
  <c r="I12" i="2" s="1"/>
  <c r="I13" i="1"/>
  <c r="I13" i="2" s="1"/>
  <c r="I14" i="1"/>
  <c r="I14" i="2" s="1"/>
  <c r="I15" i="1"/>
  <c r="I15" i="2" s="1"/>
  <c r="I16" i="1"/>
  <c r="I16" i="2" s="1"/>
  <c r="I17" i="1"/>
  <c r="I18" i="1"/>
  <c r="I18" i="2" s="1"/>
  <c r="I19" i="1"/>
  <c r="I19" i="2" s="1"/>
  <c r="I20" i="1"/>
  <c r="I20" i="2" s="1"/>
  <c r="I21" i="1"/>
  <c r="I21" i="2" s="1"/>
  <c r="I22" i="1"/>
  <c r="I22" i="2" s="1"/>
  <c r="I23" i="1"/>
  <c r="I23" i="2" s="1"/>
  <c r="I24" i="1"/>
  <c r="I25" i="1"/>
  <c r="I25" i="2" s="1"/>
  <c r="I26" i="1"/>
  <c r="I27" i="1"/>
  <c r="I28" i="1"/>
  <c r="I28" i="2" s="1"/>
  <c r="I29" i="1"/>
  <c r="I29" i="2" s="1"/>
  <c r="I30" i="1"/>
  <c r="I30" i="2" s="1"/>
  <c r="I31" i="1"/>
  <c r="I31" i="2" s="1"/>
  <c r="I32" i="1"/>
  <c r="I33" i="1"/>
  <c r="I2" i="1"/>
  <c r="I2" i="2" s="1"/>
  <c r="H3" i="1"/>
  <c r="H3" i="2" s="1"/>
  <c r="H4" i="1"/>
  <c r="H4" i="2" s="1"/>
  <c r="H5" i="1"/>
  <c r="H5" i="2" s="1"/>
  <c r="H6" i="1"/>
  <c r="H6" i="2" s="1"/>
  <c r="H7" i="1"/>
  <c r="H7" i="2" s="1"/>
  <c r="H8" i="1"/>
  <c r="H8" i="2" s="1"/>
  <c r="H9" i="1"/>
  <c r="H9" i="2" s="1"/>
  <c r="H10" i="1"/>
  <c r="H10" i="2" s="1"/>
  <c r="H11" i="1"/>
  <c r="H11" i="2" s="1"/>
  <c r="H12" i="1"/>
  <c r="H12" i="2" s="1"/>
  <c r="H13" i="1"/>
  <c r="H13" i="2" s="1"/>
  <c r="H14" i="1"/>
  <c r="H14" i="2" s="1"/>
  <c r="H15" i="1"/>
  <c r="H16" i="1"/>
  <c r="H17" i="1"/>
  <c r="H17" i="2" s="1"/>
  <c r="H18" i="1"/>
  <c r="H18" i="2" s="1"/>
  <c r="H19" i="1"/>
  <c r="H19" i="2" s="1"/>
  <c r="H20" i="1"/>
  <c r="H20" i="2" s="1"/>
  <c r="H21" i="1"/>
  <c r="H21" i="2" s="1"/>
  <c r="H22" i="1"/>
  <c r="H22" i="2" s="1"/>
  <c r="H23" i="1"/>
  <c r="H23" i="2" s="1"/>
  <c r="H24" i="1"/>
  <c r="H24" i="2" s="1"/>
  <c r="H25" i="1"/>
  <c r="H25" i="2" s="1"/>
  <c r="H26" i="1"/>
  <c r="H26" i="2" s="1"/>
  <c r="H27" i="1"/>
  <c r="H28" i="1"/>
  <c r="H28" i="2" s="1"/>
  <c r="H29" i="1"/>
  <c r="H29" i="2" s="1"/>
  <c r="H30" i="1"/>
  <c r="H30" i="2" s="1"/>
  <c r="H31" i="1"/>
  <c r="H32" i="1"/>
  <c r="H32" i="2" s="1"/>
  <c r="H33" i="1"/>
  <c r="H33" i="2" s="1"/>
  <c r="H2" i="1"/>
  <c r="H2" i="2" s="1"/>
  <c r="G3" i="1"/>
  <c r="G3" i="2" s="1"/>
  <c r="G4" i="1"/>
  <c r="G4" i="2" s="1"/>
  <c r="G5" i="1"/>
  <c r="G5" i="2" s="1"/>
  <c r="G6" i="1"/>
  <c r="G6" i="2" s="1"/>
  <c r="G7" i="1"/>
  <c r="G7" i="2" s="1"/>
  <c r="G8" i="1"/>
  <c r="G8" i="2" s="1"/>
  <c r="G9" i="1"/>
  <c r="G9" i="2" s="1"/>
  <c r="G10" i="1"/>
  <c r="G11" i="1"/>
  <c r="G11" i="2" s="1"/>
  <c r="G12" i="1"/>
  <c r="G13" i="1"/>
  <c r="G13" i="2" s="1"/>
  <c r="G14" i="1"/>
  <c r="G14" i="2" s="1"/>
  <c r="G15" i="1"/>
  <c r="G16" i="1"/>
  <c r="G16" i="2" s="1"/>
  <c r="G17" i="1"/>
  <c r="G17" i="2" s="1"/>
  <c r="G18" i="1"/>
  <c r="G18" i="2" s="1"/>
  <c r="G19" i="1"/>
  <c r="G19" i="2" s="1"/>
  <c r="G20" i="1"/>
  <c r="G20" i="2" s="1"/>
  <c r="G21" i="1"/>
  <c r="G21" i="2" s="1"/>
  <c r="G22" i="1"/>
  <c r="G22" i="2" s="1"/>
  <c r="G23" i="1"/>
  <c r="G23" i="2" s="1"/>
  <c r="G24" i="1"/>
  <c r="G24" i="2" s="1"/>
  <c r="G25" i="1"/>
  <c r="G25" i="2" s="1"/>
  <c r="G26" i="1"/>
  <c r="G26" i="2" s="1"/>
  <c r="G27" i="1"/>
  <c r="G28" i="1"/>
  <c r="G28" i="2" s="1"/>
  <c r="G29" i="1"/>
  <c r="G29" i="2" s="1"/>
  <c r="G30" i="1"/>
  <c r="G30" i="2" s="1"/>
  <c r="G31" i="1"/>
  <c r="G31" i="2" s="1"/>
  <c r="G32" i="1"/>
  <c r="G32" i="2" s="1"/>
  <c r="G33" i="1"/>
  <c r="G33" i="2" s="1"/>
  <c r="G2" i="1"/>
  <c r="G2" i="2" s="1"/>
  <c r="F3" i="1"/>
  <c r="F3" i="2" s="1"/>
  <c r="F4" i="1"/>
  <c r="F4" i="2" s="1"/>
  <c r="F5" i="1"/>
  <c r="F5" i="2" s="1"/>
  <c r="F6" i="1"/>
  <c r="F6" i="2" s="1"/>
  <c r="F7" i="1"/>
  <c r="F7" i="2" s="1"/>
  <c r="F8" i="1"/>
  <c r="F8" i="2" s="1"/>
  <c r="F9" i="1"/>
  <c r="F10" i="1"/>
  <c r="F11" i="1"/>
  <c r="F11" i="2" s="1"/>
  <c r="F12" i="1"/>
  <c r="F13" i="1"/>
  <c r="F13" i="2" s="1"/>
  <c r="F14" i="1"/>
  <c r="F14" i="2" s="1"/>
  <c r="F15" i="1"/>
  <c r="F16" i="1"/>
  <c r="F17" i="1"/>
  <c r="F17" i="2" s="1"/>
  <c r="F18" i="1"/>
  <c r="F18" i="2" s="1"/>
  <c r="F19" i="1"/>
  <c r="F19" i="2" s="1"/>
  <c r="F20" i="1"/>
  <c r="F20" i="2" s="1"/>
  <c r="F21" i="1"/>
  <c r="F21" i="2" s="1"/>
  <c r="F22" i="1"/>
  <c r="F22" i="2" s="1"/>
  <c r="F23" i="1"/>
  <c r="F23" i="2" s="1"/>
  <c r="F24" i="1"/>
  <c r="F24" i="2" s="1"/>
  <c r="F25" i="1"/>
  <c r="F25" i="2" s="1"/>
  <c r="F26" i="1"/>
  <c r="F26" i="2" s="1"/>
  <c r="F27" i="1"/>
  <c r="F28" i="1"/>
  <c r="F28" i="2" s="1"/>
  <c r="F29" i="1"/>
  <c r="F29" i="2" s="1"/>
  <c r="F30" i="1"/>
  <c r="F30" i="2" s="1"/>
  <c r="F31" i="1"/>
  <c r="F32" i="1"/>
  <c r="F32" i="2" s="1"/>
  <c r="F33" i="1"/>
  <c r="F33" i="2" s="1"/>
  <c r="F2" i="1"/>
  <c r="F2" i="2" s="1"/>
  <c r="C3" i="1"/>
  <c r="C3" i="2" s="1"/>
  <c r="C4" i="1"/>
  <c r="C4" i="2" s="1"/>
  <c r="C5" i="1"/>
  <c r="C5" i="2" s="1"/>
  <c r="C6" i="1"/>
  <c r="C6" i="2" s="1"/>
  <c r="C7" i="1"/>
  <c r="C7" i="2" s="1"/>
  <c r="C8" i="1"/>
  <c r="C8" i="2" s="1"/>
  <c r="C9" i="1"/>
  <c r="C9" i="2" s="1"/>
  <c r="C10" i="1"/>
  <c r="C10" i="2" s="1"/>
  <c r="C11" i="1"/>
  <c r="C11" i="2" s="1"/>
  <c r="C12" i="1"/>
  <c r="C12" i="2" s="1"/>
  <c r="C13" i="1"/>
  <c r="C13" i="2" s="1"/>
  <c r="C14" i="1"/>
  <c r="C14" i="2" s="1"/>
  <c r="C15" i="1"/>
  <c r="C15" i="2" s="1"/>
  <c r="C16" i="1"/>
  <c r="C16" i="2" s="1"/>
  <c r="C17" i="1"/>
  <c r="C17" i="2" s="1"/>
  <c r="C18" i="1"/>
  <c r="C19" i="1"/>
  <c r="C19" i="2" s="1"/>
  <c r="C20" i="1"/>
  <c r="C20" i="2" s="1"/>
  <c r="C21" i="1"/>
  <c r="C21" i="2" s="1"/>
  <c r="C22" i="1"/>
  <c r="C22" i="2" s="1"/>
  <c r="C23" i="1"/>
  <c r="C23" i="2" s="1"/>
  <c r="C24" i="1"/>
  <c r="C24" i="2" s="1"/>
  <c r="C25" i="1"/>
  <c r="C25" i="2" s="1"/>
  <c r="C26" i="1"/>
  <c r="C26" i="2" s="1"/>
  <c r="C27" i="1"/>
  <c r="C27" i="2" s="1"/>
  <c r="C28" i="1"/>
  <c r="C28" i="2" s="1"/>
  <c r="C29" i="1"/>
  <c r="C29" i="2" s="1"/>
  <c r="C30" i="1"/>
  <c r="C30" i="2" s="1"/>
  <c r="C31" i="1"/>
  <c r="C31" i="2" s="1"/>
  <c r="C32" i="1"/>
  <c r="C32" i="2" s="1"/>
  <c r="C33" i="1"/>
  <c r="C33" i="2" s="1"/>
  <c r="C2" i="1"/>
  <c r="C2" i="2" s="1"/>
  <c r="X66" i="2" l="1"/>
  <c r="D66" i="2"/>
  <c r="R66" i="2"/>
  <c r="N66" i="2"/>
  <c r="K66" i="2"/>
  <c r="X65" i="2"/>
  <c r="W66" i="2"/>
  <c r="W65" i="2"/>
  <c r="V65" i="2"/>
  <c r="P66" i="2"/>
  <c r="U65" i="2"/>
  <c r="T65" i="2"/>
  <c r="S65" i="2"/>
  <c r="M66" i="2"/>
  <c r="Y66" i="2"/>
  <c r="Z66" i="2"/>
  <c r="V66" i="2"/>
  <c r="U66" i="2"/>
  <c r="T66" i="2"/>
  <c r="E65" i="2"/>
  <c r="M65" i="2"/>
  <c r="D65" i="2"/>
  <c r="O65" i="2"/>
  <c r="N65" i="2"/>
  <c r="R65" i="2"/>
  <c r="S66" i="2"/>
  <c r="Y65" i="2"/>
  <c r="P65" i="2"/>
  <c r="K65" i="2"/>
</calcChain>
</file>

<file path=xl/sharedStrings.xml><?xml version="1.0" encoding="utf-8"?>
<sst xmlns="http://schemas.openxmlformats.org/spreadsheetml/2006/main" count="52" uniqueCount="28">
  <si>
    <t>.</t>
  </si>
  <si>
    <t>LBVAR</t>
  </si>
  <si>
    <t>OptimARIMA</t>
  </si>
  <si>
    <t>LQR</t>
  </si>
  <si>
    <t>S-XGB</t>
  </si>
  <si>
    <t>RF-DVS</t>
  </si>
  <si>
    <t>CRNN</t>
  </si>
  <si>
    <t>SVR-KNN</t>
  </si>
  <si>
    <t>VAR</t>
  </si>
  <si>
    <t>T-M</t>
  </si>
  <si>
    <t>TFM</t>
  </si>
  <si>
    <t>BEM3</t>
  </si>
  <si>
    <t>BEM2</t>
  </si>
  <si>
    <t>BEM1</t>
  </si>
  <si>
    <t>DFM</t>
  </si>
  <si>
    <t>GDP(SA) True</t>
  </si>
  <si>
    <t>Avg</t>
  </si>
  <si>
    <t>Med</t>
  </si>
  <si>
    <t>AdaMSM</t>
  </si>
  <si>
    <t>DQS</t>
  </si>
  <si>
    <t>BMA</t>
  </si>
  <si>
    <t>DMA</t>
  </si>
  <si>
    <t>LOP</t>
  </si>
  <si>
    <t>AFTER</t>
  </si>
  <si>
    <t>DQS_Mk2</t>
  </si>
  <si>
    <t>MAE</t>
    <phoneticPr fontId="1" type="noConversion"/>
  </si>
  <si>
    <t>전기간(08~22)</t>
    <phoneticPr fontId="1" type="noConversion"/>
  </si>
  <si>
    <t>GFC(08~09)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</si>
</sst>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2" fillId="3" borderId="0" xfId="0" applyFont="1" applyFill="1" applyAlignment="1"/>
    <xf numFmtId="0" fontId="2" fillId="2" borderId="0" xfId="0" applyFont="1" applyFill="1"/>
    <xf numFmtId="14" fontId="2" fillId="2" borderId="0" xfId="0" applyNumberFormat="1" applyFont="1" applyFill="1" applyAlignment="1"/>
    <xf numFmtId="14" fontId="2" fillId="2" borderId="0" xfId="0" applyNumberFormat="1" applyFont="1" applyFill="1"/>
    <xf numFmtId="0" fontId="0" fillId="0" borderId="0" xfId="0" applyAlignment="1">
      <alignment vertical="center"/>
    </xf>
    <xf numFmtId="0" fontId="0" fillId="4" borderId="0" xfId="0" applyFill="1"/>
    <xf numFmtId="0" fontId="0" fillId="5" borderId="0" xfId="0" applyFill="1"/>
  </cellXfs>
  <cellStyles count="2">
    <cellStyle name="표준" xfId="0" builtinId="0"/>
    <cellStyle name="표준 2" xfId="1" xr:uid="{593E9B96-C9D0-46EA-92CC-95E516B6D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Z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ColWidth="12.5546875" defaultRowHeight="15.75" customHeight="1" x14ac:dyDescent="0.35"/>
  <cols>
    <col min="1" max="16384" width="12.5546875" style="1"/>
  </cols>
  <sheetData>
    <row r="1" spans="1:26" ht="15.6" x14ac:dyDescent="0.35">
      <c r="A1" s="5"/>
      <c r="B1" s="4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</v>
      </c>
      <c r="H1" s="2" t="s">
        <v>10</v>
      </c>
      <c r="I1" s="2" t="s">
        <v>9</v>
      </c>
      <c r="J1" s="2" t="s">
        <v>8</v>
      </c>
      <c r="K1" s="2" t="s">
        <v>7</v>
      </c>
      <c r="L1" s="2" t="s">
        <v>6</v>
      </c>
      <c r="M1" s="2" t="s">
        <v>5</v>
      </c>
      <c r="N1" s="2" t="s">
        <v>4</v>
      </c>
      <c r="O1" s="2" t="s">
        <v>3</v>
      </c>
      <c r="P1" s="2" t="s">
        <v>2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</row>
    <row r="2" spans="1:26" ht="15.6" x14ac:dyDescent="0.35">
      <c r="A2" s="7">
        <v>39508</v>
      </c>
      <c r="B2" s="4">
        <v>0.8</v>
      </c>
      <c r="C2" s="2" t="e">
        <f>NA()</f>
        <v>#N/A</v>
      </c>
      <c r="D2" s="2">
        <v>1.194740196770816</v>
      </c>
      <c r="E2" s="2">
        <v>1.2456575908123211</v>
      </c>
      <c r="F2" s="2" t="e">
        <f>NA()</f>
        <v>#N/A</v>
      </c>
      <c r="G2" s="2" t="e">
        <f>NA()</f>
        <v>#N/A</v>
      </c>
      <c r="H2" s="2" t="e">
        <f>NA()</f>
        <v>#N/A</v>
      </c>
      <c r="I2" s="2" t="e">
        <f>NA()</f>
        <v>#N/A</v>
      </c>
      <c r="J2" s="2" t="e">
        <f>NA()</f>
        <v>#N/A</v>
      </c>
      <c r="K2" s="2">
        <v>1.0457768273095449</v>
      </c>
      <c r="L2" s="2" t="e">
        <f>NA()</f>
        <v>#N/A</v>
      </c>
      <c r="M2" s="2">
        <v>1.556403007906715</v>
      </c>
      <c r="N2" s="2">
        <v>1.444493889808655</v>
      </c>
      <c r="O2" s="2">
        <v>1.1961049122394689</v>
      </c>
      <c r="P2" s="2">
        <v>1.06118232929756</v>
      </c>
      <c r="R2" s="8">
        <v>1.2491941077350099</v>
      </c>
      <c r="S2" s="8">
        <v>1.19610491223946</v>
      </c>
      <c r="T2" s="8">
        <v>1.2491941077350099</v>
      </c>
      <c r="U2" s="8">
        <v>1.19610491223946</v>
      </c>
      <c r="V2" s="8">
        <v>1.2491941077350099</v>
      </c>
      <c r="W2" s="8">
        <v>1.2491941077350099</v>
      </c>
      <c r="X2" s="8">
        <v>1.2491941077350099</v>
      </c>
      <c r="Y2" s="8">
        <v>1.2491941077350099</v>
      </c>
      <c r="Z2" s="8">
        <v>1.2491941077350099</v>
      </c>
    </row>
    <row r="3" spans="1:26" ht="15.6" x14ac:dyDescent="0.35">
      <c r="A3" s="7">
        <v>39600</v>
      </c>
      <c r="B3" s="4">
        <v>0.4</v>
      </c>
      <c r="C3" s="2" t="e">
        <f>NA()</f>
        <v>#N/A</v>
      </c>
      <c r="D3" s="2">
        <v>0.64868950959713345</v>
      </c>
      <c r="E3" s="2">
        <v>0.69556961792773819</v>
      </c>
      <c r="F3" s="2" t="e">
        <f>NA()</f>
        <v>#N/A</v>
      </c>
      <c r="G3" s="2" t="e">
        <f>NA()</f>
        <v>#N/A</v>
      </c>
      <c r="H3" s="2" t="e">
        <f>NA()</f>
        <v>#N/A</v>
      </c>
      <c r="I3" s="2" t="e">
        <f>NA()</f>
        <v>#N/A</v>
      </c>
      <c r="J3" s="2" t="e">
        <f>NA()</f>
        <v>#N/A</v>
      </c>
      <c r="K3" s="2">
        <v>1.3910400792707629</v>
      </c>
      <c r="L3" s="2" t="e">
        <f>NA()</f>
        <v>#N/A</v>
      </c>
      <c r="M3" s="2">
        <v>0.82049323663713269</v>
      </c>
      <c r="N3" s="2">
        <v>1.367214679718018</v>
      </c>
      <c r="O3" s="2">
        <v>1.411326984450711</v>
      </c>
      <c r="P3" s="2">
        <v>2.4287457337572218</v>
      </c>
      <c r="R3" s="8">
        <v>1.2518685487655301</v>
      </c>
      <c r="S3" s="8">
        <v>1.36721467971801</v>
      </c>
      <c r="T3" s="8">
        <v>1.2518685487655301</v>
      </c>
      <c r="U3" s="8">
        <v>1.4109397832775199</v>
      </c>
      <c r="V3" s="8">
        <v>1.2518685487655301</v>
      </c>
      <c r="W3" s="8">
        <v>1.2518685487655301</v>
      </c>
      <c r="X3" s="8">
        <v>1.2518685487655301</v>
      </c>
      <c r="Y3" s="8">
        <v>1.2518685487655301</v>
      </c>
      <c r="Z3" s="8">
        <v>2.42874573375722</v>
      </c>
    </row>
    <row r="4" spans="1:26" ht="15.6" x14ac:dyDescent="0.35">
      <c r="A4" s="7">
        <v>39692</v>
      </c>
      <c r="B4" s="4">
        <v>0.7</v>
      </c>
      <c r="C4" s="2" t="e">
        <f>NA()</f>
        <v>#N/A</v>
      </c>
      <c r="D4" s="2">
        <v>1.1391835693801871</v>
      </c>
      <c r="E4" s="2">
        <v>0.93274087488595114</v>
      </c>
      <c r="F4" s="2" t="e">
        <f>NA()</f>
        <v>#N/A</v>
      </c>
      <c r="G4" s="2" t="e">
        <f>NA()</f>
        <v>#N/A</v>
      </c>
      <c r="H4" s="2" t="e">
        <f>NA()</f>
        <v>#N/A</v>
      </c>
      <c r="I4" s="2" t="e">
        <f>NA()</f>
        <v>#N/A</v>
      </c>
      <c r="J4" s="2" t="e">
        <f>NA()</f>
        <v>#N/A</v>
      </c>
      <c r="K4" s="2">
        <v>1.027311861272725</v>
      </c>
      <c r="L4" s="2" t="e">
        <f>NA()</f>
        <v>#N/A</v>
      </c>
      <c r="M4" s="2">
        <v>1.0254845842996021</v>
      </c>
      <c r="N4" s="2">
        <v>1.3194888830184941</v>
      </c>
      <c r="O4" s="2">
        <v>0.20428168429905261</v>
      </c>
      <c r="P4" s="2">
        <v>2.1428596788744918</v>
      </c>
      <c r="R4" s="8">
        <v>1.1130501622900699</v>
      </c>
      <c r="S4" s="8">
        <v>1.0273118612727199</v>
      </c>
      <c r="T4" s="8">
        <v>1.1130501622900699</v>
      </c>
      <c r="U4" s="8">
        <v>1.0273118612727199</v>
      </c>
      <c r="V4" s="8">
        <v>1.1130501622900699</v>
      </c>
      <c r="W4" s="8">
        <v>1.1130501622900699</v>
      </c>
      <c r="X4" s="8">
        <v>1.1130501622900699</v>
      </c>
      <c r="Y4" s="8">
        <v>1.1130501622900699</v>
      </c>
      <c r="Z4" s="8">
        <v>1.1130501622900699</v>
      </c>
    </row>
    <row r="5" spans="1:26" ht="15.6" x14ac:dyDescent="0.35">
      <c r="A5" s="7">
        <v>39783</v>
      </c>
      <c r="B5" s="4">
        <v>-3.4</v>
      </c>
      <c r="C5" s="2" t="e">
        <f>NA()</f>
        <v>#N/A</v>
      </c>
      <c r="D5" s="2">
        <v>1.0015323860599781</v>
      </c>
      <c r="E5" s="2">
        <v>1.40106161205491</v>
      </c>
      <c r="F5" s="2" t="e">
        <f>NA()</f>
        <v>#N/A</v>
      </c>
      <c r="G5" s="2" t="e">
        <f>NA()</f>
        <v>#N/A</v>
      </c>
      <c r="H5" s="2" t="e">
        <f>NA()</f>
        <v>#N/A</v>
      </c>
      <c r="I5" s="2" t="e">
        <f>NA()</f>
        <v>#N/A</v>
      </c>
      <c r="J5" s="2" t="e">
        <f>NA()</f>
        <v>#N/A</v>
      </c>
      <c r="K5" s="2">
        <v>0.38668634855916562</v>
      </c>
      <c r="L5" s="2" t="e">
        <f>NA()</f>
        <v>#N/A</v>
      </c>
      <c r="M5" s="2">
        <v>0.70541630860779603</v>
      </c>
      <c r="N5" s="2">
        <v>1.2847210168838501</v>
      </c>
      <c r="O5" s="2">
        <v>-4.5791404990967406</v>
      </c>
      <c r="P5" s="2">
        <v>-1.881478401213853</v>
      </c>
      <c r="R5" s="8">
        <v>-0.24017160402069901</v>
      </c>
      <c r="S5" s="8">
        <v>0.70541630860779603</v>
      </c>
      <c r="T5" s="8">
        <v>-0.24017160402069901</v>
      </c>
      <c r="U5" s="8">
        <v>-4.5791404990967397</v>
      </c>
      <c r="V5" s="8">
        <v>-0.24017160402069901</v>
      </c>
      <c r="W5" s="8">
        <v>-0.24017160402069901</v>
      </c>
      <c r="X5" s="8">
        <v>-0.24017160402069901</v>
      </c>
      <c r="Y5" s="8">
        <v>-0.24017160402069901</v>
      </c>
      <c r="Z5" s="8">
        <v>-4.5791404990967397</v>
      </c>
    </row>
    <row r="6" spans="1:26" ht="15.6" x14ac:dyDescent="0.35">
      <c r="A6" s="7">
        <v>39873</v>
      </c>
      <c r="B6" s="4">
        <v>0.3</v>
      </c>
      <c r="C6" s="2" t="e">
        <f>NA()</f>
        <v>#N/A</v>
      </c>
      <c r="D6" s="2">
        <v>0.81367566878487452</v>
      </c>
      <c r="E6" s="2">
        <v>3.5150608504238789</v>
      </c>
      <c r="F6" s="2" t="e">
        <f>NA()</f>
        <v>#N/A</v>
      </c>
      <c r="G6" s="2" t="e">
        <f>NA()</f>
        <v>#N/A</v>
      </c>
      <c r="H6" s="2" t="e">
        <f>NA()</f>
        <v>#N/A</v>
      </c>
      <c r="I6" s="2" t="e">
        <f>NA()</f>
        <v>#N/A</v>
      </c>
      <c r="J6" s="2" t="e">
        <f>NA()</f>
        <v>#N/A</v>
      </c>
      <c r="K6" s="2">
        <v>0.13446243755566559</v>
      </c>
      <c r="L6" s="2" t="e">
        <f>NA()</f>
        <v>#N/A</v>
      </c>
      <c r="M6" s="2">
        <v>0.364238146962025</v>
      </c>
      <c r="N6" s="2">
        <v>0.15965162217617029</v>
      </c>
      <c r="O6" s="2">
        <v>-0.35120519708786668</v>
      </c>
      <c r="P6" s="2">
        <v>0.46065137204098422</v>
      </c>
      <c r="R6" s="8">
        <v>0.728076414407961</v>
      </c>
      <c r="S6" s="8">
        <v>0.364238146962025</v>
      </c>
      <c r="T6" s="8">
        <v>0.134462437555665</v>
      </c>
      <c r="U6" s="8">
        <v>0.364238146962025</v>
      </c>
      <c r="V6" s="8">
        <v>0.56894140286644201</v>
      </c>
      <c r="W6" s="8">
        <v>0.57711645894998098</v>
      </c>
      <c r="X6" s="8">
        <v>0.21474349169208301</v>
      </c>
      <c r="Y6" s="8">
        <v>-0.146285397542398</v>
      </c>
      <c r="Z6" s="8">
        <v>0.364238146962025</v>
      </c>
    </row>
    <row r="7" spans="1:26" ht="15.6" x14ac:dyDescent="0.35">
      <c r="A7" s="7">
        <v>39965</v>
      </c>
      <c r="B7" s="4">
        <v>1.4</v>
      </c>
      <c r="C7" s="2" t="e">
        <f>NA()</f>
        <v>#N/A</v>
      </c>
      <c r="D7" s="2">
        <v>3.7425846832068288</v>
      </c>
      <c r="E7" s="2">
        <v>1.890627848784554</v>
      </c>
      <c r="F7" s="2" t="e">
        <f>NA()</f>
        <v>#N/A</v>
      </c>
      <c r="G7" s="2" t="e">
        <f>NA()</f>
        <v>#N/A</v>
      </c>
      <c r="H7" s="2" t="e">
        <f>NA()</f>
        <v>#N/A</v>
      </c>
      <c r="I7" s="2" t="e">
        <f>NA()</f>
        <v>#N/A</v>
      </c>
      <c r="J7" s="2" t="e">
        <f>NA()</f>
        <v>#N/A</v>
      </c>
      <c r="K7" s="2">
        <v>2.4907174871256039</v>
      </c>
      <c r="L7" s="2" t="e">
        <f>NA()</f>
        <v>#N/A</v>
      </c>
      <c r="M7" s="2">
        <v>1.452238486971605</v>
      </c>
      <c r="N7" s="2">
        <v>1.2717133760452271</v>
      </c>
      <c r="O7" s="2">
        <v>2.3790555661345851</v>
      </c>
      <c r="P7" s="2">
        <v>3.0218193611764259</v>
      </c>
      <c r="R7" s="8">
        <v>2.3212509727778299</v>
      </c>
      <c r="S7" s="8">
        <v>2.3790555661345798</v>
      </c>
      <c r="T7" s="8">
        <v>2.3790555661345798</v>
      </c>
      <c r="U7" s="8">
        <v>2.3790555661345798</v>
      </c>
      <c r="V7" s="8">
        <v>2.3674380656959801</v>
      </c>
      <c r="W7" s="8">
        <v>2.3652370124401401</v>
      </c>
      <c r="X7" s="8">
        <v>2.4298610095823601</v>
      </c>
      <c r="Y7" s="8">
        <v>2.4937861626408702</v>
      </c>
      <c r="Z7" s="8">
        <v>2.3790555661345798</v>
      </c>
    </row>
    <row r="8" spans="1:26" ht="15.6" x14ac:dyDescent="0.35">
      <c r="A8" s="7">
        <v>40057</v>
      </c>
      <c r="B8" s="4">
        <v>3.1</v>
      </c>
      <c r="C8" s="2" t="e">
        <f>NA()</f>
        <v>#N/A</v>
      </c>
      <c r="D8" s="2">
        <v>3.4755381107334671</v>
      </c>
      <c r="E8" s="2">
        <v>1.9014273111515929</v>
      </c>
      <c r="F8" s="2" t="e">
        <f>NA()</f>
        <v>#N/A</v>
      </c>
      <c r="G8" s="2" t="e">
        <f>NA()</f>
        <v>#N/A</v>
      </c>
      <c r="H8" s="2" t="e">
        <f>NA()</f>
        <v>#N/A</v>
      </c>
      <c r="I8" s="2" t="e">
        <f>NA()</f>
        <v>#N/A</v>
      </c>
      <c r="J8" s="2" t="e">
        <f>NA()</f>
        <v>#N/A</v>
      </c>
      <c r="K8" s="2">
        <v>1.7312035897128659</v>
      </c>
      <c r="L8" s="2" t="e">
        <f>NA()</f>
        <v>#N/A</v>
      </c>
      <c r="M8" s="2">
        <v>1.3394018610306579</v>
      </c>
      <c r="N8" s="2">
        <v>1.2703278064727781</v>
      </c>
      <c r="O8" s="2">
        <v>1.199616361712049</v>
      </c>
      <c r="P8" s="2">
        <v>1.7568838945890131</v>
      </c>
      <c r="R8" s="8">
        <v>1.8106284193432001</v>
      </c>
      <c r="S8" s="8">
        <v>1.7312035897128599</v>
      </c>
      <c r="T8" s="8">
        <v>1.33940186103065</v>
      </c>
      <c r="U8" s="8">
        <v>1.7312035897128599</v>
      </c>
      <c r="V8" s="8">
        <v>1.7548263231474801</v>
      </c>
      <c r="W8" s="8">
        <v>1.7576416490161499</v>
      </c>
      <c r="X8" s="8">
        <v>1.5309012244409299</v>
      </c>
      <c r="Y8" s="8">
        <v>1.3650825074889801</v>
      </c>
      <c r="Z8" s="8">
        <v>1.35382554148671</v>
      </c>
    </row>
    <row r="9" spans="1:26" ht="15.6" x14ac:dyDescent="0.35">
      <c r="A9" s="7">
        <v>40148</v>
      </c>
      <c r="B9" s="4">
        <v>0.7</v>
      </c>
      <c r="C9" s="2" t="e">
        <f>NA()</f>
        <v>#N/A</v>
      </c>
      <c r="D9" s="2">
        <v>3.1672885573845728</v>
      </c>
      <c r="E9" s="2">
        <v>3.2175471089665559</v>
      </c>
      <c r="F9" s="2" t="e">
        <f>NA()</f>
        <v>#N/A</v>
      </c>
      <c r="G9" s="2" t="e">
        <f>NA()</f>
        <v>#N/A</v>
      </c>
      <c r="H9" s="2" t="e">
        <f>NA()</f>
        <v>#N/A</v>
      </c>
      <c r="I9" s="2" t="e">
        <f>NA()</f>
        <v>#N/A</v>
      </c>
      <c r="J9" s="2" t="e">
        <f>NA()</f>
        <v>#N/A</v>
      </c>
      <c r="K9" s="2">
        <v>1.993597273790954</v>
      </c>
      <c r="L9" s="2" t="e">
        <f>NA()</f>
        <v>#N/A</v>
      </c>
      <c r="M9" s="2">
        <v>1.842064466523136</v>
      </c>
      <c r="N9" s="2">
        <v>1.3675603866577151</v>
      </c>
      <c r="O9" s="2">
        <v>0.72123798808750084</v>
      </c>
      <c r="P9" s="2">
        <v>1.4138470521027811</v>
      </c>
      <c r="R9" s="8">
        <v>1.9604489762161701</v>
      </c>
      <c r="S9" s="8">
        <v>1.8420644665231301</v>
      </c>
      <c r="T9" s="8">
        <v>1.4138470521027799</v>
      </c>
      <c r="U9" s="8">
        <v>2.6829217649955499</v>
      </c>
      <c r="V9" s="8">
        <v>1.8396348287958399</v>
      </c>
      <c r="W9" s="8">
        <v>1.84565503097691</v>
      </c>
      <c r="X9" s="8">
        <v>1.53944084743147</v>
      </c>
      <c r="Y9" s="8">
        <v>1.1051009537444201</v>
      </c>
      <c r="Z9" s="8">
        <v>1.8440181496172701</v>
      </c>
    </row>
    <row r="10" spans="1:26" ht="15.6" x14ac:dyDescent="0.35">
      <c r="A10" s="7">
        <v>40238</v>
      </c>
      <c r="B10" s="4">
        <v>2.2999999999999998</v>
      </c>
      <c r="C10" s="2" t="e">
        <f>NA()</f>
        <v>#N/A</v>
      </c>
      <c r="D10" s="2">
        <v>2.3588161281606901</v>
      </c>
      <c r="E10" s="2">
        <v>1.4992842491732721</v>
      </c>
      <c r="F10" s="2" t="e">
        <f>NA()</f>
        <v>#N/A</v>
      </c>
      <c r="G10" s="2" t="e">
        <f>NA()</f>
        <v>#N/A</v>
      </c>
      <c r="H10" s="2" t="e">
        <f>NA()</f>
        <v>#N/A</v>
      </c>
      <c r="I10" s="2" t="e">
        <f>NA()</f>
        <v>#N/A</v>
      </c>
      <c r="J10" s="2" t="e">
        <f>NA()</f>
        <v>#N/A</v>
      </c>
      <c r="K10" s="2">
        <v>1.7365140591093431</v>
      </c>
      <c r="L10" s="2" t="e">
        <f>NA()</f>
        <v>#N/A</v>
      </c>
      <c r="M10" s="2">
        <v>1.23007823643363</v>
      </c>
      <c r="N10" s="2">
        <v>1.349266052246094</v>
      </c>
      <c r="O10" s="2">
        <v>0.54546543492800459</v>
      </c>
      <c r="P10" s="2">
        <v>2.0529230646932319</v>
      </c>
      <c r="R10" s="8">
        <v>1.5389067463920301</v>
      </c>
      <c r="S10" s="8">
        <v>1.4992842491732701</v>
      </c>
      <c r="T10" s="8">
        <v>1.23007823643363</v>
      </c>
      <c r="U10" s="8">
        <v>1.4992842491732701</v>
      </c>
      <c r="V10" s="8">
        <v>1.48965789414011</v>
      </c>
      <c r="W10" s="8">
        <v>1.4919092490749899</v>
      </c>
      <c r="X10" s="8">
        <v>1.45221380232103</v>
      </c>
      <c r="Y10" s="8">
        <v>1.41129353263532</v>
      </c>
      <c r="Z10" s="8">
        <v>1.4919092490749899</v>
      </c>
    </row>
    <row r="11" spans="1:26" ht="15.6" x14ac:dyDescent="0.35">
      <c r="A11" s="7">
        <v>40330</v>
      </c>
      <c r="B11" s="4">
        <v>1.6</v>
      </c>
      <c r="C11" s="2" t="e">
        <f>NA()</f>
        <v>#N/A</v>
      </c>
      <c r="D11" s="2">
        <v>2.1329528801302899</v>
      </c>
      <c r="E11" s="2">
        <v>1.7069007626318471</v>
      </c>
      <c r="F11" s="2" t="e">
        <f>NA()</f>
        <v>#N/A</v>
      </c>
      <c r="G11" s="2" t="e">
        <f>NA()</f>
        <v>#N/A</v>
      </c>
      <c r="H11" s="2" t="e">
        <f>NA()</f>
        <v>#N/A</v>
      </c>
      <c r="I11" s="2" t="e">
        <f>NA()</f>
        <v>#N/A</v>
      </c>
      <c r="J11" s="2" t="e">
        <f>NA()</f>
        <v>#N/A</v>
      </c>
      <c r="K11" s="2">
        <v>1.5411940519812819</v>
      </c>
      <c r="L11" s="2" t="e">
        <f>NA()</f>
        <v>#N/A</v>
      </c>
      <c r="M11" s="2">
        <v>1.3947075582541291</v>
      </c>
      <c r="N11" s="2">
        <v>0.94549232721328735</v>
      </c>
      <c r="O11" s="2">
        <v>2.1155103644315378</v>
      </c>
      <c r="P11" s="2">
        <v>2.1722120927338642</v>
      </c>
      <c r="R11" s="8">
        <v>1.7155671481965999</v>
      </c>
      <c r="S11" s="8">
        <v>1.70690076263184</v>
      </c>
      <c r="T11" s="8">
        <v>1.39470755825412</v>
      </c>
      <c r="U11" s="8">
        <v>1.70690076263184</v>
      </c>
      <c r="V11" s="8">
        <v>1.5939329253852099</v>
      </c>
      <c r="W11" s="8">
        <v>1.59828201218618</v>
      </c>
      <c r="X11" s="8">
        <v>1.6464408155571499</v>
      </c>
      <c r="Y11" s="8">
        <v>1.60786997692059</v>
      </c>
      <c r="Z11" s="8">
        <v>1.6464408155571499</v>
      </c>
    </row>
    <row r="12" spans="1:26" ht="15.6" x14ac:dyDescent="0.35">
      <c r="A12" s="7">
        <v>40422</v>
      </c>
      <c r="B12" s="4">
        <v>1</v>
      </c>
      <c r="C12" s="2" t="e">
        <f>NA()</f>
        <v>#N/A</v>
      </c>
      <c r="D12" s="2">
        <v>1.320427661583601</v>
      </c>
      <c r="E12" s="2">
        <v>1.3183401784486291</v>
      </c>
      <c r="F12" s="2" t="e">
        <f>NA()</f>
        <v>#N/A</v>
      </c>
      <c r="G12" s="2" t="e">
        <f>NA()</f>
        <v>#N/A</v>
      </c>
      <c r="H12" s="2" t="e">
        <f>NA()</f>
        <v>#N/A</v>
      </c>
      <c r="I12" s="2" t="e">
        <f>NA()</f>
        <v>#N/A</v>
      </c>
      <c r="J12" s="2" t="e">
        <f>NA()</f>
        <v>#N/A</v>
      </c>
      <c r="K12" s="2">
        <v>1.6035282096314949</v>
      </c>
      <c r="L12" s="2" t="e">
        <f>NA()</f>
        <v>#N/A</v>
      </c>
      <c r="M12" s="2">
        <v>1.483321866907922</v>
      </c>
      <c r="N12" s="2">
        <v>1.5210446119308469</v>
      </c>
      <c r="O12" s="2">
        <v>0.32820360341676019</v>
      </c>
      <c r="P12" s="2">
        <v>0.49221941634093708</v>
      </c>
      <c r="R12" s="8">
        <v>1.15244079260859</v>
      </c>
      <c r="S12" s="8">
        <v>1.3204276615835999</v>
      </c>
      <c r="T12" s="8">
        <v>1.3204276615835999</v>
      </c>
      <c r="U12" s="8">
        <v>1.3200241137272299</v>
      </c>
      <c r="V12" s="8">
        <v>1.01987959867137</v>
      </c>
      <c r="W12" s="8">
        <v>1.03049906796209</v>
      </c>
      <c r="X12" s="8">
        <v>1.1033372777791099</v>
      </c>
      <c r="Y12" s="8">
        <v>1.1146718642245701</v>
      </c>
      <c r="Z12" s="8">
        <v>1.2960291011170399</v>
      </c>
    </row>
    <row r="13" spans="1:26" ht="15.6" x14ac:dyDescent="0.35">
      <c r="A13" s="7">
        <v>40513</v>
      </c>
      <c r="B13" s="4">
        <v>1.4</v>
      </c>
      <c r="C13" s="2" t="e">
        <f>NA()</f>
        <v>#N/A</v>
      </c>
      <c r="D13" s="2">
        <v>1.2544787334489269</v>
      </c>
      <c r="E13" s="2">
        <v>1.330695181778196</v>
      </c>
      <c r="F13" s="2" t="e">
        <f>NA()</f>
        <v>#N/A</v>
      </c>
      <c r="G13" s="2" t="e">
        <f>NA()</f>
        <v>#N/A</v>
      </c>
      <c r="H13" s="2" t="e">
        <f>NA()</f>
        <v>#N/A</v>
      </c>
      <c r="I13" s="2" t="e">
        <f>NA()</f>
        <v>#N/A</v>
      </c>
      <c r="J13" s="2" t="e">
        <f>NA()</f>
        <v>#N/A</v>
      </c>
      <c r="K13" s="2">
        <v>1.4745873161833529</v>
      </c>
      <c r="L13" s="2" t="e">
        <f>NA()</f>
        <v>#N/A</v>
      </c>
      <c r="M13" s="2">
        <v>1.3243121576672461</v>
      </c>
      <c r="N13" s="2">
        <v>1.2558135986328121</v>
      </c>
      <c r="O13" s="2">
        <v>1.51048755730707</v>
      </c>
      <c r="P13" s="2">
        <v>1.184429652727006</v>
      </c>
      <c r="R13" s="8">
        <v>1.3335434568206499</v>
      </c>
      <c r="S13" s="8">
        <v>1.3243121576672401</v>
      </c>
      <c r="T13" s="8">
        <v>1.2558135986328101</v>
      </c>
      <c r="U13" s="8">
        <v>1.3243121576672401</v>
      </c>
      <c r="V13" s="8">
        <v>1.31429302798258</v>
      </c>
      <c r="W13" s="8">
        <v>1.31566777577716</v>
      </c>
      <c r="X13" s="8">
        <v>1.30523567303284</v>
      </c>
      <c r="Y13" s="8">
        <v>1.3233161161634801</v>
      </c>
      <c r="Z13" s="8">
        <v>1.3233161161634801</v>
      </c>
    </row>
    <row r="14" spans="1:26" ht="15.6" x14ac:dyDescent="0.35">
      <c r="A14" s="7">
        <v>40603</v>
      </c>
      <c r="B14" s="4">
        <v>1</v>
      </c>
      <c r="C14" s="2" t="e">
        <f>NA()</f>
        <v>#N/A</v>
      </c>
      <c r="D14" s="2">
        <v>1.5218487392653299</v>
      </c>
      <c r="E14" s="2">
        <v>1.1108804593577659</v>
      </c>
      <c r="F14" s="2" t="e">
        <f>NA()</f>
        <v>#N/A</v>
      </c>
      <c r="G14" s="2" t="e">
        <f>NA()</f>
        <v>#N/A</v>
      </c>
      <c r="H14" s="2" t="e">
        <f>NA()</f>
        <v>#N/A</v>
      </c>
      <c r="I14" s="2" t="e">
        <f>NA()</f>
        <v>#N/A</v>
      </c>
      <c r="J14" s="2" t="e">
        <f>NA()</f>
        <v>#N/A</v>
      </c>
      <c r="K14" s="2">
        <v>1.2773260300591041</v>
      </c>
      <c r="L14" s="2" t="e">
        <f>NA()</f>
        <v>#N/A</v>
      </c>
      <c r="M14" s="2">
        <v>1.7906549672819141</v>
      </c>
      <c r="N14" s="2">
        <v>0.97791898250579834</v>
      </c>
      <c r="O14" s="2">
        <v>1.3532069625864409</v>
      </c>
      <c r="P14" s="2">
        <v>2.828523711478101</v>
      </c>
      <c r="R14" s="8">
        <v>1.5514799789334901</v>
      </c>
      <c r="S14" s="8">
        <v>1.35320696258644</v>
      </c>
      <c r="T14" s="8">
        <v>1.2773260300591001</v>
      </c>
      <c r="U14" s="8">
        <v>2.14446577577761</v>
      </c>
      <c r="V14" s="8">
        <v>1.64890502879115</v>
      </c>
      <c r="W14" s="8">
        <v>1.6471711256205901</v>
      </c>
      <c r="X14" s="8">
        <v>1.61915987263428</v>
      </c>
      <c r="Y14" s="8">
        <v>1.5826311568523399</v>
      </c>
      <c r="Z14" s="8">
        <v>1.58147869327171</v>
      </c>
    </row>
    <row r="15" spans="1:26" ht="15.6" x14ac:dyDescent="0.35">
      <c r="A15" s="7">
        <v>40695</v>
      </c>
      <c r="B15" s="4">
        <v>0.4</v>
      </c>
      <c r="C15" s="2" t="e">
        <f>NA()</f>
        <v>#N/A</v>
      </c>
      <c r="D15" s="2">
        <v>1.1107604898205281</v>
      </c>
      <c r="E15" s="2">
        <v>0.84021940586538335</v>
      </c>
      <c r="F15" s="2" t="e">
        <f>NA()</f>
        <v>#N/A</v>
      </c>
      <c r="G15" s="2" t="e">
        <f>NA()</f>
        <v>#N/A</v>
      </c>
      <c r="H15" s="2" t="e">
        <f>NA()</f>
        <v>#N/A</v>
      </c>
      <c r="I15" s="2" t="e">
        <f>NA()</f>
        <v>#N/A</v>
      </c>
      <c r="J15" s="2" t="e">
        <f>NA()</f>
        <v>#N/A</v>
      </c>
      <c r="K15" s="2">
        <v>1.215957183666948</v>
      </c>
      <c r="L15" s="2" t="e">
        <f>NA()</f>
        <v>#N/A</v>
      </c>
      <c r="M15" s="2">
        <v>1.0911236152629411</v>
      </c>
      <c r="N15" s="2">
        <v>0.96934199333190918</v>
      </c>
      <c r="O15" s="2">
        <v>0.22600506046583471</v>
      </c>
      <c r="P15" s="2">
        <v>1.9137055430078611</v>
      </c>
      <c r="R15" s="8">
        <v>1.05244475591734</v>
      </c>
      <c r="S15" s="8">
        <v>1.09112361526294</v>
      </c>
      <c r="T15" s="8">
        <v>0.96934199333190896</v>
      </c>
      <c r="U15" s="8">
        <v>1.09112361526294</v>
      </c>
      <c r="V15" s="8">
        <v>0.92874957794409096</v>
      </c>
      <c r="W15" s="8">
        <v>0.92882147242328095</v>
      </c>
      <c r="X15" s="8">
        <v>0.92118031334610495</v>
      </c>
      <c r="Y15" s="8">
        <v>0.98038304438445301</v>
      </c>
      <c r="Z15" s="8">
        <v>0.98038304438445301</v>
      </c>
    </row>
    <row r="16" spans="1:26" ht="15.6" x14ac:dyDescent="0.35">
      <c r="A16" s="7">
        <v>40787</v>
      </c>
      <c r="B16" s="4">
        <v>0.5</v>
      </c>
      <c r="C16" s="2" t="e">
        <f>NA()</f>
        <v>#N/A</v>
      </c>
      <c r="D16" s="2">
        <v>1.147560330181463</v>
      </c>
      <c r="E16" s="2">
        <v>1.0849061704755409</v>
      </c>
      <c r="F16" s="2" t="e">
        <f>NA()</f>
        <v>#N/A</v>
      </c>
      <c r="G16" s="2" t="e">
        <f>NA()</f>
        <v>#N/A</v>
      </c>
      <c r="H16" s="2" t="e">
        <f>NA()</f>
        <v>#N/A</v>
      </c>
      <c r="I16" s="2" t="e">
        <f>NA()</f>
        <v>#N/A</v>
      </c>
      <c r="J16" s="2" t="e">
        <f>NA()</f>
        <v>#N/A</v>
      </c>
      <c r="K16" s="2">
        <v>1.402359448400222</v>
      </c>
      <c r="L16" s="2" t="e">
        <f>NA()</f>
        <v>#N/A</v>
      </c>
      <c r="M16" s="2">
        <v>0.90094936071611753</v>
      </c>
      <c r="N16" s="2">
        <v>0.86733627319335938</v>
      </c>
      <c r="O16" s="2">
        <v>0.39102209948123529</v>
      </c>
      <c r="P16" s="2">
        <v>1.1442332745003021</v>
      </c>
      <c r="R16" s="8">
        <v>0.99119527956403397</v>
      </c>
      <c r="S16" s="8">
        <v>1.0849061704755401</v>
      </c>
      <c r="T16" s="8">
        <v>0.86733627319335904</v>
      </c>
      <c r="U16" s="8">
        <v>1.0849061704755401</v>
      </c>
      <c r="V16" s="8">
        <v>0.95287741189831099</v>
      </c>
      <c r="W16" s="8">
        <v>0.95388791428682695</v>
      </c>
      <c r="X16" s="8">
        <v>0.95174451392382098</v>
      </c>
      <c r="Y16" s="8">
        <v>0.96639504224842299</v>
      </c>
      <c r="Z16" s="8">
        <v>0.96622422446554201</v>
      </c>
    </row>
    <row r="17" spans="1:26" ht="15.6" x14ac:dyDescent="0.35">
      <c r="A17" s="7">
        <v>40878</v>
      </c>
      <c r="B17" s="4">
        <v>0.7</v>
      </c>
      <c r="C17" s="2" t="e">
        <f>NA()</f>
        <v>#N/A</v>
      </c>
      <c r="D17" s="2">
        <v>1.054719693937578</v>
      </c>
      <c r="E17" s="2">
        <v>1.019071310000363</v>
      </c>
      <c r="F17" s="2" t="e">
        <f>NA()</f>
        <v>#N/A</v>
      </c>
      <c r="G17" s="2" t="e">
        <f>NA()</f>
        <v>#N/A</v>
      </c>
      <c r="H17" s="2" t="e">
        <f>NA()</f>
        <v>#N/A</v>
      </c>
      <c r="I17" s="2" t="e">
        <f>NA()</f>
        <v>#N/A</v>
      </c>
      <c r="J17" s="2" t="e">
        <f>NA()</f>
        <v>#N/A</v>
      </c>
      <c r="K17" s="2">
        <v>0.29970111837392821</v>
      </c>
      <c r="L17" s="2" t="e">
        <f>NA()</f>
        <v>#N/A</v>
      </c>
      <c r="M17" s="2">
        <v>0.99284893332142932</v>
      </c>
      <c r="N17" s="2">
        <v>0.97809618711471558</v>
      </c>
      <c r="O17" s="2">
        <v>-3.21882990547879E-2</v>
      </c>
      <c r="P17" s="2">
        <v>4.5077596947184113E-2</v>
      </c>
      <c r="R17" s="8">
        <v>0.62247522009148704</v>
      </c>
      <c r="S17" s="8">
        <v>0.97809618711471502</v>
      </c>
      <c r="T17" s="8">
        <v>0.97809618711471502</v>
      </c>
      <c r="U17" s="8">
        <v>0.62425310336658402</v>
      </c>
      <c r="V17" s="8">
        <v>0.68197929340457397</v>
      </c>
      <c r="W17" s="8">
        <v>0.68258432551405201</v>
      </c>
      <c r="X17" s="8">
        <v>0.46664823955795098</v>
      </c>
      <c r="Y17" s="8">
        <v>0.67747076546714802</v>
      </c>
      <c r="Z17" s="8">
        <v>0.64986616648346995</v>
      </c>
    </row>
    <row r="18" spans="1:26" ht="15.6" x14ac:dyDescent="0.35">
      <c r="A18" s="7">
        <v>40969</v>
      </c>
      <c r="B18" s="4">
        <v>1</v>
      </c>
      <c r="C18" s="2" t="e">
        <f>NA()</f>
        <v>#N/A</v>
      </c>
      <c r="D18" s="2">
        <v>1.391900897071352</v>
      </c>
      <c r="E18" s="2">
        <v>1.298805577303064</v>
      </c>
      <c r="F18" s="2" t="e">
        <f>NA()</f>
        <v>#N/A</v>
      </c>
      <c r="G18" s="2" t="e">
        <f>NA()</f>
        <v>#N/A</v>
      </c>
      <c r="H18" s="2" t="e">
        <f>NA()</f>
        <v>#N/A</v>
      </c>
      <c r="I18" s="2" t="e">
        <f>NA()</f>
        <v>#N/A</v>
      </c>
      <c r="J18" s="2" t="e">
        <f>NA()</f>
        <v>#N/A</v>
      </c>
      <c r="K18" s="2">
        <v>1.7971592086649371</v>
      </c>
      <c r="L18" s="2" t="e">
        <f>NA()</f>
        <v>#N/A</v>
      </c>
      <c r="M18" s="2">
        <v>0.68172786435725807</v>
      </c>
      <c r="N18" s="2">
        <v>0.62495523691177368</v>
      </c>
      <c r="O18" s="2">
        <v>0.50450795142550353</v>
      </c>
      <c r="P18" s="2">
        <v>0.9004434113587948</v>
      </c>
      <c r="R18" s="8">
        <v>1.02850002101324</v>
      </c>
      <c r="S18" s="8">
        <v>0.90044341135879402</v>
      </c>
      <c r="T18" s="8">
        <v>0.62495523691177302</v>
      </c>
      <c r="U18" s="8">
        <v>0.90044341135879402</v>
      </c>
      <c r="V18" s="8">
        <v>0.99256702562396504</v>
      </c>
      <c r="W18" s="8">
        <v>0.99497308012131402</v>
      </c>
      <c r="X18" s="8">
        <v>0.93845029346596698</v>
      </c>
      <c r="Y18" s="8">
        <v>1.01322245605254</v>
      </c>
      <c r="Z18" s="8">
        <v>0.93845029346596698</v>
      </c>
    </row>
    <row r="19" spans="1:26" ht="15.6" x14ac:dyDescent="0.35">
      <c r="A19" s="7">
        <v>41061</v>
      </c>
      <c r="B19" s="4">
        <v>0.4</v>
      </c>
      <c r="C19" s="2" t="e">
        <f>NA()</f>
        <v>#N/A</v>
      </c>
      <c r="D19" s="2">
        <v>1.3215173275618499</v>
      </c>
      <c r="E19" s="2">
        <v>1.176439095363335</v>
      </c>
      <c r="F19" s="2" t="e">
        <f>NA()</f>
        <v>#N/A</v>
      </c>
      <c r="G19" s="2" t="e">
        <f>NA()</f>
        <v>#N/A</v>
      </c>
      <c r="H19" s="2" t="e">
        <f>NA()</f>
        <v>#N/A</v>
      </c>
      <c r="I19" s="2" t="e">
        <f>NA()</f>
        <v>#N/A</v>
      </c>
      <c r="J19" s="2" t="e">
        <f>NA()</f>
        <v>#N/A</v>
      </c>
      <c r="K19" s="2">
        <v>0.75956041822898968</v>
      </c>
      <c r="L19" s="2" t="e">
        <f>NA()</f>
        <v>#N/A</v>
      </c>
      <c r="M19" s="2">
        <v>0.50955803612103634</v>
      </c>
      <c r="N19" s="2">
        <v>0.64289474487304688</v>
      </c>
      <c r="O19" s="2">
        <v>3.0033694588323341E-2</v>
      </c>
      <c r="P19" s="2">
        <v>-2.9039888514606371E-2</v>
      </c>
      <c r="R19" s="8">
        <v>0.63013763260313904</v>
      </c>
      <c r="S19" s="8">
        <v>0.64289474487304599</v>
      </c>
      <c r="T19" s="8">
        <v>0.64289474487304599</v>
      </c>
      <c r="U19" s="8">
        <v>0.62624460858337805</v>
      </c>
      <c r="V19" s="8">
        <v>0.68407474983473804</v>
      </c>
      <c r="W19" s="8">
        <v>0.68513877091002295</v>
      </c>
      <c r="X19" s="8">
        <v>0.67634931517492203</v>
      </c>
      <c r="Y19" s="8">
        <v>0.66259148237063403</v>
      </c>
      <c r="Z19" s="8">
        <v>0.64289474487304599</v>
      </c>
    </row>
    <row r="20" spans="1:26" ht="15.6" x14ac:dyDescent="0.35">
      <c r="A20" s="7">
        <v>41153</v>
      </c>
      <c r="B20" s="4">
        <v>0.4</v>
      </c>
      <c r="C20" s="2" t="e">
        <f>NA()</f>
        <v>#N/A</v>
      </c>
      <c r="D20" s="2">
        <v>1.0029829101766199</v>
      </c>
      <c r="E20" s="2">
        <v>1.158504512359571</v>
      </c>
      <c r="F20" s="2" t="e">
        <f>NA()</f>
        <v>#N/A</v>
      </c>
      <c r="G20" s="2" t="e">
        <f>NA()</f>
        <v>#N/A</v>
      </c>
      <c r="H20" s="2" t="e">
        <f>NA()</f>
        <v>#N/A</v>
      </c>
      <c r="I20" s="2" t="e">
        <f>NA()</f>
        <v>#N/A</v>
      </c>
      <c r="J20" s="2" t="e">
        <f>NA()</f>
        <v>#N/A</v>
      </c>
      <c r="K20" s="2">
        <v>0.54120035041768233</v>
      </c>
      <c r="L20" s="2" t="e">
        <f>NA()</f>
        <v>#N/A</v>
      </c>
      <c r="M20" s="2">
        <v>0.671068512780846</v>
      </c>
      <c r="N20" s="2">
        <v>0.63619804382324219</v>
      </c>
      <c r="O20" s="2">
        <v>-0.1385024334148813</v>
      </c>
      <c r="P20" s="2">
        <v>0.31980698869129343</v>
      </c>
      <c r="R20" s="8">
        <v>0.59875126926205302</v>
      </c>
      <c r="S20" s="8">
        <v>0.63619804382324197</v>
      </c>
      <c r="T20" s="8">
        <v>0.63619804382324197</v>
      </c>
      <c r="U20" s="8">
        <v>0.63619804382324197</v>
      </c>
      <c r="V20" s="8">
        <v>0.64973672763960499</v>
      </c>
      <c r="W20" s="8">
        <v>0.64795952293578796</v>
      </c>
      <c r="X20" s="8">
        <v>0.59355868560655101</v>
      </c>
      <c r="Y20" s="8">
        <v>0.59124908460586101</v>
      </c>
      <c r="Z20" s="8">
        <v>0.63619804382324197</v>
      </c>
    </row>
    <row r="21" spans="1:26" ht="15.6" x14ac:dyDescent="0.35">
      <c r="A21" s="7">
        <v>41244</v>
      </c>
      <c r="B21" s="4">
        <v>0.7</v>
      </c>
      <c r="C21" s="2" t="e">
        <f>NA()</f>
        <v>#N/A</v>
      </c>
      <c r="D21" s="2">
        <v>1.572180545400315</v>
      </c>
      <c r="E21" s="2">
        <v>1.4749883870857521</v>
      </c>
      <c r="F21" s="2" t="e">
        <f>NA()</f>
        <v>#N/A</v>
      </c>
      <c r="G21" s="2" t="e">
        <f>NA()</f>
        <v>#N/A</v>
      </c>
      <c r="H21" s="2" t="e">
        <f>NA()</f>
        <v>#N/A</v>
      </c>
      <c r="I21" s="2" t="e">
        <f>NA()</f>
        <v>#N/A</v>
      </c>
      <c r="J21" s="2" t="e">
        <f>NA()</f>
        <v>#N/A</v>
      </c>
      <c r="K21" s="2">
        <v>0.82322217791644192</v>
      </c>
      <c r="L21" s="2" t="e">
        <f>NA()</f>
        <v>#N/A</v>
      </c>
      <c r="M21" s="2">
        <v>0.5626141169192852</v>
      </c>
      <c r="N21" s="2">
        <v>0.64412915706634521</v>
      </c>
      <c r="O21" s="2">
        <v>0.40341543933123791</v>
      </c>
      <c r="P21" s="2">
        <v>0.79320747541659054</v>
      </c>
      <c r="R21" s="8">
        <v>0.89625104273370904</v>
      </c>
      <c r="S21" s="8">
        <v>0.79320747541658998</v>
      </c>
      <c r="T21" s="8">
        <v>0.64412915706634499</v>
      </c>
      <c r="U21" s="8">
        <v>0.79484167525423599</v>
      </c>
      <c r="V21" s="8">
        <v>0.60037657909785702</v>
      </c>
      <c r="W21" s="8">
        <v>0.60215908622441805</v>
      </c>
      <c r="X21" s="8">
        <v>0.74429495016554803</v>
      </c>
      <c r="Y21" s="8">
        <v>0.86480294526377199</v>
      </c>
      <c r="Z21" s="8">
        <v>0.79320747541658998</v>
      </c>
    </row>
    <row r="22" spans="1:26" ht="15.6" x14ac:dyDescent="0.35">
      <c r="A22" s="7">
        <v>41334</v>
      </c>
      <c r="B22" s="4">
        <v>0.8</v>
      </c>
      <c r="C22" s="2" t="e">
        <f>NA()</f>
        <v>#N/A</v>
      </c>
      <c r="D22" s="2">
        <v>1.715531616278376</v>
      </c>
      <c r="E22" s="2">
        <v>1.157655331479823</v>
      </c>
      <c r="F22" s="2" t="e">
        <f>NA()</f>
        <v>#N/A</v>
      </c>
      <c r="G22" s="2" t="e">
        <f>NA()</f>
        <v>#N/A</v>
      </c>
      <c r="H22" s="2" t="e">
        <f>NA()</f>
        <v>#N/A</v>
      </c>
      <c r="I22" s="2" t="e">
        <f>NA()</f>
        <v>#N/A</v>
      </c>
      <c r="J22" s="2" t="e">
        <f>NA()</f>
        <v>#N/A</v>
      </c>
      <c r="K22" s="2">
        <v>0.89041797094394326</v>
      </c>
      <c r="L22" s="2" t="e">
        <f>NA()</f>
        <v>#N/A</v>
      </c>
      <c r="M22" s="2">
        <v>1.379406301561644</v>
      </c>
      <c r="N22" s="2">
        <v>1.2255744934082029</v>
      </c>
      <c r="O22" s="2">
        <v>0.53404855099379778</v>
      </c>
      <c r="P22" s="2">
        <v>0.97084740265198621</v>
      </c>
      <c r="R22" s="8">
        <v>1.12478309533111</v>
      </c>
      <c r="S22" s="8">
        <v>1.1576553314798199</v>
      </c>
      <c r="T22" s="8">
        <v>1.2255744934082</v>
      </c>
      <c r="U22" s="8">
        <v>1.1576553314798199</v>
      </c>
      <c r="V22" s="8">
        <v>1.13997587941759</v>
      </c>
      <c r="W22" s="8">
        <v>1.1361069591331701</v>
      </c>
      <c r="X22" s="8">
        <v>1.13164037708152</v>
      </c>
      <c r="Y22" s="8">
        <v>1.10329588290325</v>
      </c>
      <c r="Z22" s="8">
        <v>1.13997587941759</v>
      </c>
    </row>
    <row r="23" spans="1:26" ht="15.6" x14ac:dyDescent="0.35">
      <c r="A23" s="7">
        <v>41426</v>
      </c>
      <c r="B23" s="4">
        <v>1.1000000000000001</v>
      </c>
      <c r="C23" s="2" t="e">
        <f>NA()</f>
        <v>#N/A</v>
      </c>
      <c r="D23" s="2">
        <v>1.2120206035010741</v>
      </c>
      <c r="E23" s="2">
        <v>1.2825566373619419</v>
      </c>
      <c r="F23" s="2" t="e">
        <f>NA()</f>
        <v>#N/A</v>
      </c>
      <c r="G23" s="2" t="e">
        <f>NA()</f>
        <v>#N/A</v>
      </c>
      <c r="H23" s="2" t="e">
        <f>NA()</f>
        <v>#N/A</v>
      </c>
      <c r="I23" s="2" t="e">
        <f>NA()</f>
        <v>#N/A</v>
      </c>
      <c r="J23" s="2" t="e">
        <f>NA()</f>
        <v>#N/A</v>
      </c>
      <c r="K23" s="2">
        <v>0.70997990639619957</v>
      </c>
      <c r="L23" s="2" t="e">
        <f>NA()</f>
        <v>#N/A</v>
      </c>
      <c r="M23" s="2">
        <v>0.75155327522184057</v>
      </c>
      <c r="N23" s="2">
        <v>1.4307423830032351</v>
      </c>
      <c r="O23" s="2">
        <v>0.17427729767481551</v>
      </c>
      <c r="P23" s="2">
        <v>0.49825798112218972</v>
      </c>
      <c r="R23" s="8">
        <v>0.86562686918304199</v>
      </c>
      <c r="S23" s="8">
        <v>0.75155327522184001</v>
      </c>
      <c r="T23" s="8">
        <v>0.70997990639619901</v>
      </c>
      <c r="U23" s="8">
        <v>0.74295112239597305</v>
      </c>
      <c r="V23" s="8">
        <v>0.75791464024955202</v>
      </c>
      <c r="W23" s="8">
        <v>0.75760043239891495</v>
      </c>
      <c r="X23" s="8">
        <v>0.77211010474243003</v>
      </c>
      <c r="Y23" s="8">
        <v>0.82344615880915095</v>
      </c>
      <c r="Z23" s="8">
        <v>0.75738316988436605</v>
      </c>
    </row>
    <row r="24" spans="1:26" ht="15.6" x14ac:dyDescent="0.35">
      <c r="A24" s="7">
        <v>41518</v>
      </c>
      <c r="B24" s="4">
        <v>1</v>
      </c>
      <c r="C24" s="2" t="e">
        <f>NA()</f>
        <v>#N/A</v>
      </c>
      <c r="D24" s="2">
        <v>1.3471961004755779</v>
      </c>
      <c r="E24" s="2">
        <v>1.519992970039574</v>
      </c>
      <c r="F24" s="2" t="e">
        <f>NA()</f>
        <v>#N/A</v>
      </c>
      <c r="G24" s="2" t="e">
        <f>NA()</f>
        <v>#N/A</v>
      </c>
      <c r="H24" s="2" t="e">
        <f>NA()</f>
        <v>#N/A</v>
      </c>
      <c r="I24" s="2" t="e">
        <f>NA()</f>
        <v>#N/A</v>
      </c>
      <c r="J24" s="2" t="e">
        <f>NA()</f>
        <v>#N/A</v>
      </c>
      <c r="K24" s="2">
        <v>0.75191402574828103</v>
      </c>
      <c r="L24" s="2" t="e">
        <f>NA()</f>
        <v>#N/A</v>
      </c>
      <c r="M24" s="2">
        <v>0.87172896831464408</v>
      </c>
      <c r="N24" s="2">
        <v>1.198779821395874</v>
      </c>
      <c r="O24" s="2">
        <v>-0.18381569564357739</v>
      </c>
      <c r="P24" s="2">
        <v>0.38095592485303892</v>
      </c>
      <c r="R24" s="8">
        <v>0.84096458788334405</v>
      </c>
      <c r="S24" s="8">
        <v>0.87172896831464397</v>
      </c>
      <c r="T24" s="8">
        <v>0.75191402574828103</v>
      </c>
      <c r="U24" s="8">
        <v>0.80327545070319994</v>
      </c>
      <c r="V24" s="8">
        <v>0.80071500000752305</v>
      </c>
      <c r="W24" s="8">
        <v>0.80060808156617302</v>
      </c>
      <c r="X24" s="8">
        <v>0.80396489197847698</v>
      </c>
      <c r="Y24" s="8">
        <v>0.82514853899328799</v>
      </c>
      <c r="Z24" s="8">
        <v>0.80396489197847698</v>
      </c>
    </row>
    <row r="25" spans="1:26" ht="15.6" x14ac:dyDescent="0.35">
      <c r="A25" s="7">
        <v>41609</v>
      </c>
      <c r="B25" s="4">
        <v>0.9</v>
      </c>
      <c r="C25" s="2" t="e">
        <f>NA()</f>
        <v>#N/A</v>
      </c>
      <c r="D25" s="2">
        <v>1.514707126023751</v>
      </c>
      <c r="E25" s="2">
        <v>1.2635798499683659</v>
      </c>
      <c r="F25" s="2" t="e">
        <f>NA()</f>
        <v>#N/A</v>
      </c>
      <c r="G25" s="2" t="e">
        <f>NA()</f>
        <v>#N/A</v>
      </c>
      <c r="H25" s="2" t="e">
        <f>NA()</f>
        <v>#N/A</v>
      </c>
      <c r="I25" s="2" t="e">
        <f>NA()</f>
        <v>#N/A</v>
      </c>
      <c r="J25" s="2" t="e">
        <f>NA()</f>
        <v>#N/A</v>
      </c>
      <c r="K25" s="2">
        <v>1.234036193419161</v>
      </c>
      <c r="L25" s="2" t="e">
        <f>NA()</f>
        <v>#N/A</v>
      </c>
      <c r="M25" s="2">
        <v>1.519587055476616</v>
      </c>
      <c r="N25" s="2">
        <v>1.189908981323242</v>
      </c>
      <c r="O25" s="2">
        <v>0.43830557014426552</v>
      </c>
      <c r="P25" s="2">
        <v>0.96811719617519776</v>
      </c>
      <c r="R25" s="8">
        <v>1.16117742464722</v>
      </c>
      <c r="S25" s="8">
        <v>1.2340361934191599</v>
      </c>
      <c r="T25" s="8">
        <v>1.2340361934191599</v>
      </c>
      <c r="U25" s="8">
        <v>1.2340361934191599</v>
      </c>
      <c r="V25" s="8">
        <v>1.2550431480387301</v>
      </c>
      <c r="W25" s="8">
        <v>1.2549522537139699</v>
      </c>
      <c r="X25" s="8">
        <v>1.2315792328009201</v>
      </c>
      <c r="Y25" s="8">
        <v>1.1912743311105201</v>
      </c>
      <c r="Z25" s="8">
        <v>1.2340361934191599</v>
      </c>
    </row>
    <row r="26" spans="1:26" ht="15.6" x14ac:dyDescent="0.35">
      <c r="A26" s="7">
        <v>41699</v>
      </c>
      <c r="B26" s="4">
        <v>0.8</v>
      </c>
      <c r="C26" s="2" t="e">
        <f>NA()</f>
        <v>#N/A</v>
      </c>
      <c r="D26" s="2">
        <v>1.501049816843647</v>
      </c>
      <c r="E26" s="2">
        <v>1.1920110511608679</v>
      </c>
      <c r="F26" s="2" t="e">
        <f>NA()</f>
        <v>#N/A</v>
      </c>
      <c r="G26" s="2" t="e">
        <f>NA()</f>
        <v>#N/A</v>
      </c>
      <c r="H26" s="2" t="e">
        <f>NA()</f>
        <v>#N/A</v>
      </c>
      <c r="I26" s="2" t="e">
        <f>NA()</f>
        <v>#N/A</v>
      </c>
      <c r="J26" s="2" t="e">
        <f>NA()</f>
        <v>#N/A</v>
      </c>
      <c r="K26" s="2">
        <v>0.83898047083083682</v>
      </c>
      <c r="L26" s="2" t="e">
        <f>NA()</f>
        <v>#N/A</v>
      </c>
      <c r="M26" s="2">
        <v>0.73155938644031493</v>
      </c>
      <c r="N26" s="2">
        <v>0.91557914018630981</v>
      </c>
      <c r="O26" s="2">
        <v>0.43657235601975802</v>
      </c>
      <c r="P26" s="2">
        <v>0.68461441606526419</v>
      </c>
      <c r="R26" s="8">
        <v>0.900052376792428</v>
      </c>
      <c r="S26" s="8">
        <v>0.83898047083083604</v>
      </c>
      <c r="T26" s="8">
        <v>0.91557914018630904</v>
      </c>
      <c r="U26" s="8">
        <v>0.83898047083083604</v>
      </c>
      <c r="V26" s="8">
        <v>0.91041147209584095</v>
      </c>
      <c r="W26" s="8">
        <v>0.91110800718232499</v>
      </c>
      <c r="X26" s="8">
        <v>0.91511793528810503</v>
      </c>
      <c r="Y26" s="8">
        <v>0.91471081685154598</v>
      </c>
      <c r="Z26" s="8">
        <v>0.91037461559495003</v>
      </c>
    </row>
    <row r="27" spans="1:26" ht="15.6" x14ac:dyDescent="0.35">
      <c r="A27" s="7">
        <v>41791</v>
      </c>
      <c r="B27" s="4">
        <v>0.9</v>
      </c>
      <c r="C27" s="2" t="e">
        <f>NA()</f>
        <v>#N/A</v>
      </c>
      <c r="D27" s="2">
        <v>1.270396573344712</v>
      </c>
      <c r="E27" s="2">
        <v>1.1513710817006031</v>
      </c>
      <c r="F27" s="2" t="e">
        <f>NA()</f>
        <v>#N/A</v>
      </c>
      <c r="G27" s="2" t="e">
        <f>NA()</f>
        <v>#N/A</v>
      </c>
      <c r="H27" s="2" t="e">
        <f>NA()</f>
        <v>#N/A</v>
      </c>
      <c r="I27" s="2" t="e">
        <f>NA()</f>
        <v>#N/A</v>
      </c>
      <c r="J27" s="2" t="e">
        <f>NA()</f>
        <v>#N/A</v>
      </c>
      <c r="K27" s="2">
        <v>0.7414852739665605</v>
      </c>
      <c r="L27" s="2" t="e">
        <f>NA()</f>
        <v>#N/A</v>
      </c>
      <c r="M27" s="2">
        <v>0.90781490893346928</v>
      </c>
      <c r="N27" s="2">
        <v>0.91955405473709106</v>
      </c>
      <c r="O27" s="2">
        <v>-0.52200707232954457</v>
      </c>
      <c r="P27" s="2">
        <v>0.2091141087947079</v>
      </c>
      <c r="R27" s="8">
        <v>0.66824698987822795</v>
      </c>
      <c r="S27" s="8">
        <v>0.90781490893346894</v>
      </c>
      <c r="T27" s="8">
        <v>0.90781490893346894</v>
      </c>
      <c r="U27" s="8">
        <v>0.58703940301247504</v>
      </c>
      <c r="V27" s="8">
        <v>0.85821687075751896</v>
      </c>
      <c r="W27" s="8">
        <v>0.85780658745733596</v>
      </c>
      <c r="X27" s="8">
        <v>0.82195851263886999</v>
      </c>
      <c r="Y27" s="8">
        <v>0.73794760188630903</v>
      </c>
      <c r="Z27" s="8">
        <v>0.83634762112435301</v>
      </c>
    </row>
    <row r="28" spans="1:26" ht="15.6" x14ac:dyDescent="0.35">
      <c r="A28" s="7">
        <v>41883</v>
      </c>
      <c r="B28" s="4">
        <v>0.3</v>
      </c>
      <c r="C28" s="2" t="e">
        <f>NA()</f>
        <v>#N/A</v>
      </c>
      <c r="D28" s="2">
        <v>1.2952675408596901</v>
      </c>
      <c r="E28" s="2">
        <v>1.2110620078271239</v>
      </c>
      <c r="F28" s="2" t="e">
        <f>NA()</f>
        <v>#N/A</v>
      </c>
      <c r="G28" s="2" t="e">
        <f>NA()</f>
        <v>#N/A</v>
      </c>
      <c r="H28" s="2" t="e">
        <f>NA()</f>
        <v>#N/A</v>
      </c>
      <c r="I28" s="2" t="e">
        <f>NA()</f>
        <v>#N/A</v>
      </c>
      <c r="J28" s="2" t="e">
        <f>NA()</f>
        <v>#N/A</v>
      </c>
      <c r="K28" s="2">
        <v>0.92736810752152721</v>
      </c>
      <c r="L28" s="2" t="e">
        <f>NA()</f>
        <v>#N/A</v>
      </c>
      <c r="M28" s="2">
        <v>0.70368702354134716</v>
      </c>
      <c r="N28" s="2">
        <v>0.91791230440139771</v>
      </c>
      <c r="O28" s="2">
        <v>0.62944496716585485</v>
      </c>
      <c r="P28" s="2">
        <v>0.75041264368978244</v>
      </c>
      <c r="R28" s="8">
        <v>0.91930779928667405</v>
      </c>
      <c r="S28" s="8">
        <v>0.91791230440139704</v>
      </c>
      <c r="T28" s="8">
        <v>0.91791230440139704</v>
      </c>
      <c r="U28" s="8">
        <v>0.91791230440139704</v>
      </c>
      <c r="V28" s="8">
        <v>0.93228175039147998</v>
      </c>
      <c r="W28" s="8">
        <v>0.93338683791050603</v>
      </c>
      <c r="X28" s="8">
        <v>0.92109203709959897</v>
      </c>
      <c r="Y28" s="8">
        <v>0.93645183507663399</v>
      </c>
      <c r="Z28" s="8">
        <v>0.91930779928667405</v>
      </c>
    </row>
    <row r="29" spans="1:26" ht="15.6" x14ac:dyDescent="0.35">
      <c r="A29" s="7">
        <v>41974</v>
      </c>
      <c r="B29" s="4">
        <v>0.5</v>
      </c>
      <c r="C29" s="2" t="e">
        <f>NA()</f>
        <v>#N/A</v>
      </c>
      <c r="D29" s="2">
        <v>0.97703291489068533</v>
      </c>
      <c r="E29" s="2">
        <v>0.98513387787608764</v>
      </c>
      <c r="F29" s="2" t="e">
        <f>NA()</f>
        <v>#N/A</v>
      </c>
      <c r="G29" s="2" t="e">
        <f>NA()</f>
        <v>#N/A</v>
      </c>
      <c r="H29" s="2" t="e">
        <f>NA()</f>
        <v>#N/A</v>
      </c>
      <c r="I29" s="2" t="e">
        <f>NA()</f>
        <v>#N/A</v>
      </c>
      <c r="J29" s="2" t="e">
        <f>NA()</f>
        <v>#N/A</v>
      </c>
      <c r="K29" s="2">
        <v>1.2321064109939679</v>
      </c>
      <c r="L29" s="2" t="e">
        <f>NA()</f>
        <v>#N/A</v>
      </c>
      <c r="M29" s="2">
        <v>0.71640719202011272</v>
      </c>
      <c r="N29" s="2">
        <v>0.87230551242828369</v>
      </c>
      <c r="O29" s="2">
        <v>2.9198120517497932E-3</v>
      </c>
      <c r="P29" s="2">
        <v>0.67590210642328408</v>
      </c>
      <c r="R29" s="8">
        <v>0.78025826095488104</v>
      </c>
      <c r="S29" s="8">
        <v>0.87230551242828303</v>
      </c>
      <c r="T29" s="8">
        <v>0.87230551242828303</v>
      </c>
      <c r="U29" s="8">
        <v>0.83346940232007305</v>
      </c>
      <c r="V29" s="8">
        <v>0.90083233486400005</v>
      </c>
      <c r="W29" s="8">
        <v>0.89998888093231699</v>
      </c>
      <c r="X29" s="8">
        <v>0.86221871815315798</v>
      </c>
      <c r="Y29" s="8">
        <v>0.81519390797298097</v>
      </c>
      <c r="Z29" s="8">
        <v>0.871490326914098</v>
      </c>
    </row>
    <row r="30" spans="1:26" ht="15.6" x14ac:dyDescent="0.35">
      <c r="A30" s="7">
        <v>42064</v>
      </c>
      <c r="B30" s="4">
        <v>0.9</v>
      </c>
      <c r="C30" s="2" t="e">
        <f>NA()</f>
        <v>#N/A</v>
      </c>
      <c r="D30" s="2">
        <v>1.3673028820997859</v>
      </c>
      <c r="E30" s="2">
        <v>1.2205046273939151</v>
      </c>
      <c r="F30" s="2" t="e">
        <f>NA()</f>
        <v>#N/A</v>
      </c>
      <c r="G30" s="2" t="e">
        <f>NA()</f>
        <v>#N/A</v>
      </c>
      <c r="H30" s="2" t="e">
        <f>NA()</f>
        <v>#N/A</v>
      </c>
      <c r="I30" s="2" t="e">
        <f>NA()</f>
        <v>#N/A</v>
      </c>
      <c r="J30" s="2" t="e">
        <f>NA()</f>
        <v>#N/A</v>
      </c>
      <c r="K30" s="2">
        <v>0.90742914126045449</v>
      </c>
      <c r="L30" s="2" t="e">
        <f>NA()</f>
        <v>#N/A</v>
      </c>
      <c r="M30" s="2">
        <v>0.61019106263980349</v>
      </c>
      <c r="N30" s="2">
        <v>1.1965746879577639</v>
      </c>
      <c r="O30" s="2">
        <v>0.48180389721071321</v>
      </c>
      <c r="P30" s="2">
        <v>0.83160716505870458</v>
      </c>
      <c r="R30" s="8">
        <v>0.94505906623159097</v>
      </c>
      <c r="S30" s="8">
        <v>0.90742914126045404</v>
      </c>
      <c r="T30" s="8">
        <v>0.83160716505870402</v>
      </c>
      <c r="U30" s="8">
        <v>0.90742914126045404</v>
      </c>
      <c r="V30" s="8">
        <v>0.79441454028704594</v>
      </c>
      <c r="W30" s="8">
        <v>0.80193327454083996</v>
      </c>
      <c r="X30" s="8">
        <v>0.84888186284529499</v>
      </c>
      <c r="Y30" s="8">
        <v>0.94450748554337005</v>
      </c>
      <c r="Z30" s="8">
        <v>0.90742914126045404</v>
      </c>
    </row>
    <row r="31" spans="1:26" ht="15.6" x14ac:dyDescent="0.35">
      <c r="A31" s="7">
        <v>42156</v>
      </c>
      <c r="B31" s="4">
        <v>0.4</v>
      </c>
      <c r="C31" s="2" t="e">
        <f>NA()</f>
        <v>#N/A</v>
      </c>
      <c r="D31" s="2">
        <v>1.062689533512007</v>
      </c>
      <c r="E31" s="2">
        <v>0.95433407917937529</v>
      </c>
      <c r="F31" s="2" t="e">
        <f>NA()</f>
        <v>#N/A</v>
      </c>
      <c r="G31" s="2" t="e">
        <f>NA()</f>
        <v>#N/A</v>
      </c>
      <c r="H31" s="2" t="e">
        <f>NA()</f>
        <v>#N/A</v>
      </c>
      <c r="I31" s="2" t="e">
        <f>NA()</f>
        <v>#N/A</v>
      </c>
      <c r="J31" s="2" t="e">
        <f>NA()</f>
        <v>#N/A</v>
      </c>
      <c r="K31" s="2">
        <v>0.55777259533185841</v>
      </c>
      <c r="L31" s="2" t="e">
        <f>NA()</f>
        <v>#N/A</v>
      </c>
      <c r="M31" s="2">
        <v>0.68349186667892581</v>
      </c>
      <c r="N31" s="2">
        <v>0.68220025300979614</v>
      </c>
      <c r="O31" s="2">
        <v>-0.24610561687756691</v>
      </c>
      <c r="P31" s="2">
        <v>0.36712211337301309</v>
      </c>
      <c r="R31" s="8">
        <v>0.58021497488677198</v>
      </c>
      <c r="S31" s="8">
        <v>0.68220025300979603</v>
      </c>
      <c r="T31" s="8">
        <v>0.68220025300979603</v>
      </c>
      <c r="U31" s="8">
        <v>0.65391213684906002</v>
      </c>
      <c r="V31" s="8">
        <v>0.64212619947102201</v>
      </c>
      <c r="W31" s="8">
        <v>0.64097684611110495</v>
      </c>
      <c r="X31" s="8">
        <v>0.63214770014841404</v>
      </c>
      <c r="Y31" s="8">
        <v>0.60857448344749399</v>
      </c>
      <c r="Z31" s="8">
        <v>0.64212619947102201</v>
      </c>
    </row>
    <row r="32" spans="1:26" ht="15.6" x14ac:dyDescent="0.35">
      <c r="A32" s="7">
        <v>42248</v>
      </c>
      <c r="B32" s="4">
        <v>1.5</v>
      </c>
      <c r="C32" s="2" t="e">
        <f>NA()</f>
        <v>#N/A</v>
      </c>
      <c r="D32" s="2">
        <v>1.1740593386594611</v>
      </c>
      <c r="E32" s="2">
        <v>1.1681343889518909</v>
      </c>
      <c r="F32" s="2" t="e">
        <f>NA()</f>
        <v>#N/A</v>
      </c>
      <c r="G32" s="2" t="e">
        <f>NA()</f>
        <v>#N/A</v>
      </c>
      <c r="H32" s="2" t="e">
        <f>NA()</f>
        <v>#N/A</v>
      </c>
      <c r="I32" s="2" t="e">
        <f>NA()</f>
        <v>#N/A</v>
      </c>
      <c r="J32" s="2" t="e">
        <f>NA()</f>
        <v>#N/A</v>
      </c>
      <c r="K32" s="2">
        <v>0.68882052409161432</v>
      </c>
      <c r="L32" s="2" t="e">
        <f>NA()</f>
        <v>#N/A</v>
      </c>
      <c r="M32" s="2">
        <v>0.92082214074231161</v>
      </c>
      <c r="N32" s="2">
        <v>1.176713347434998</v>
      </c>
      <c r="O32" s="2">
        <v>0.47849556145786348</v>
      </c>
      <c r="P32" s="2">
        <v>0.56675365342453565</v>
      </c>
      <c r="R32" s="8">
        <v>0.88197127925180996</v>
      </c>
      <c r="S32" s="8">
        <v>0.92082214074231095</v>
      </c>
      <c r="T32" s="8">
        <v>0.68882052409161398</v>
      </c>
      <c r="U32" s="8">
        <v>0.92082214074231095</v>
      </c>
      <c r="V32" s="8">
        <v>0.69832056930543596</v>
      </c>
      <c r="W32" s="8">
        <v>0.70357494160532297</v>
      </c>
      <c r="X32" s="8">
        <v>0.79054326188570601</v>
      </c>
      <c r="Y32" s="8">
        <v>0.86350666362959805</v>
      </c>
      <c r="Z32" s="8">
        <v>0.86975989529549502</v>
      </c>
    </row>
    <row r="33" spans="1:26" ht="15.6" x14ac:dyDescent="0.35">
      <c r="A33" s="7">
        <v>42339</v>
      </c>
      <c r="B33" s="4">
        <v>0.8</v>
      </c>
      <c r="C33" s="2" t="e">
        <f>NA()</f>
        <v>#N/A</v>
      </c>
      <c r="D33" s="2">
        <v>1.453779797080301</v>
      </c>
      <c r="E33" s="2">
        <v>1.3268604836776281</v>
      </c>
      <c r="F33" s="2" t="e">
        <f>NA()</f>
        <v>#N/A</v>
      </c>
      <c r="G33" s="2" t="e">
        <f>NA()</f>
        <v>#N/A</v>
      </c>
      <c r="H33" s="2" t="e">
        <f>NA()</f>
        <v>#N/A</v>
      </c>
      <c r="I33" s="2" t="e">
        <f>NA()</f>
        <v>#N/A</v>
      </c>
      <c r="J33" s="2" t="e">
        <f>NA()</f>
        <v>#N/A</v>
      </c>
      <c r="K33" s="2">
        <v>0.80523548143813173</v>
      </c>
      <c r="L33" s="2" t="e">
        <f>NA()</f>
        <v>#N/A</v>
      </c>
      <c r="M33" s="2">
        <v>1.5372204463079899</v>
      </c>
      <c r="N33" s="2">
        <v>0.75382518768310547</v>
      </c>
      <c r="O33" s="2">
        <v>0.55163337645652244</v>
      </c>
      <c r="P33" s="2">
        <v>0.74893733490720249</v>
      </c>
      <c r="R33" s="8">
        <v>1.0253560153644099</v>
      </c>
      <c r="S33" s="8">
        <v>0.80523548143813095</v>
      </c>
      <c r="T33" s="8">
        <v>0.75382518768310502</v>
      </c>
      <c r="U33" s="8">
        <v>0.90106284241600698</v>
      </c>
      <c r="V33" s="8">
        <v>0.96022079162076301</v>
      </c>
      <c r="W33" s="8">
        <v>0.97029683658719701</v>
      </c>
      <c r="X33" s="8">
        <v>1.06622042444499</v>
      </c>
      <c r="Y33" s="8">
        <v>1.0446593065840899</v>
      </c>
      <c r="Z33" s="8">
        <v>0.964402127862105</v>
      </c>
    </row>
    <row r="34" spans="1:26" ht="15.6" x14ac:dyDescent="0.35">
      <c r="A34" s="6">
        <v>42430</v>
      </c>
      <c r="B34" s="4">
        <v>0.3</v>
      </c>
      <c r="C34" s="3">
        <v>9.6765505327907994E-2</v>
      </c>
      <c r="D34" s="3">
        <v>0.19913700000000001</v>
      </c>
      <c r="E34" s="3">
        <v>9.3119999999999994E-2</v>
      </c>
      <c r="F34" s="3">
        <v>0.22593299999999999</v>
      </c>
      <c r="G34" s="3">
        <v>0.74709700000000001</v>
      </c>
      <c r="H34" s="3">
        <v>0.47644454369062</v>
      </c>
      <c r="I34" s="3">
        <v>0.819794793818172</v>
      </c>
      <c r="J34" s="3">
        <v>0.79816399999999998</v>
      </c>
      <c r="K34" s="3">
        <v>0.35011399472852739</v>
      </c>
      <c r="L34" s="3">
        <v>-0.28277945999999998</v>
      </c>
      <c r="M34" s="3">
        <v>0.53618070178995592</v>
      </c>
      <c r="N34" s="3">
        <v>0.57159632444381714</v>
      </c>
      <c r="O34" s="3">
        <v>0.30369299999999999</v>
      </c>
      <c r="P34" s="3">
        <v>4.0466000000000002E-2</v>
      </c>
      <c r="Q34" s="3"/>
      <c r="R34" s="8">
        <v>0.32527918490761498</v>
      </c>
      <c r="S34" s="8">
        <v>0.30369299999999999</v>
      </c>
      <c r="T34" s="8">
        <v>0.32527918490761498</v>
      </c>
      <c r="U34" s="8">
        <v>0.30369299999999999</v>
      </c>
      <c r="V34" s="8">
        <v>0.32527918490761498</v>
      </c>
      <c r="W34" s="8">
        <v>0.32527918490761498</v>
      </c>
      <c r="X34" s="8">
        <v>0.32527918490761498</v>
      </c>
      <c r="Y34" s="8">
        <v>0.32527918490761498</v>
      </c>
      <c r="Z34" s="8">
        <v>0.32527918490761498</v>
      </c>
    </row>
    <row r="35" spans="1:26" ht="15.6" x14ac:dyDescent="0.35">
      <c r="A35" s="6">
        <v>42522</v>
      </c>
      <c r="B35" s="4">
        <v>1.2</v>
      </c>
      <c r="C35" s="3">
        <v>0.90968064813041705</v>
      </c>
      <c r="D35" s="3">
        <v>0.89207899999999996</v>
      </c>
      <c r="E35" s="3">
        <v>0.84811000000000003</v>
      </c>
      <c r="F35" s="3">
        <v>0.89196299999999995</v>
      </c>
      <c r="G35" s="3">
        <v>0.35142899999999999</v>
      </c>
      <c r="H35" s="3">
        <v>1.0633697542364999</v>
      </c>
      <c r="I35" s="3">
        <v>1.0686419834124401</v>
      </c>
      <c r="J35" s="3">
        <v>1.132944</v>
      </c>
      <c r="K35" s="3">
        <v>1.051204520688795</v>
      </c>
      <c r="L35" s="3">
        <v>0.58187279999999997</v>
      </c>
      <c r="M35" s="3">
        <v>0.77269948359848284</v>
      </c>
      <c r="N35" s="3">
        <v>1.754219055175781</v>
      </c>
      <c r="O35" s="3">
        <v>0.563998</v>
      </c>
      <c r="P35" s="3">
        <v>1.2665759999999999</v>
      </c>
      <c r="Q35" s="3"/>
      <c r="R35" s="8">
        <v>0.98441217271095505</v>
      </c>
      <c r="S35" s="8">
        <v>0.90968064813041705</v>
      </c>
      <c r="T35" s="8">
        <v>0.98441217271095505</v>
      </c>
      <c r="U35" s="8">
        <v>0.90968064813041705</v>
      </c>
      <c r="V35" s="8">
        <v>0.98441217271095505</v>
      </c>
      <c r="W35" s="8">
        <v>0.98441217271095505</v>
      </c>
      <c r="X35" s="8">
        <v>0.98441217271095505</v>
      </c>
      <c r="Y35" s="8">
        <v>0.98441217271095505</v>
      </c>
      <c r="Z35" s="8">
        <v>0.98441217271095505</v>
      </c>
    </row>
    <row r="36" spans="1:26" ht="15.6" x14ac:dyDescent="0.35">
      <c r="A36" s="6">
        <v>42614</v>
      </c>
      <c r="B36" s="4">
        <v>0.4</v>
      </c>
      <c r="C36" s="3">
        <v>0.55010574653569599</v>
      </c>
      <c r="D36" s="3">
        <v>0.64195400000000002</v>
      </c>
      <c r="E36" s="3">
        <v>0.56389500000000004</v>
      </c>
      <c r="F36" s="3">
        <v>0.68477399999999999</v>
      </c>
      <c r="G36" s="3">
        <v>0.93662599999999996</v>
      </c>
      <c r="H36" s="3">
        <v>0.95351115778552198</v>
      </c>
      <c r="I36" s="3">
        <v>0.72645207283304303</v>
      </c>
      <c r="J36" s="3">
        <v>0.95010300000000003</v>
      </c>
      <c r="K36" s="3">
        <v>0.45401846422040038</v>
      </c>
      <c r="L36" s="3">
        <v>0.69687809999999994</v>
      </c>
      <c r="M36" s="3">
        <v>0.86391835914606185</v>
      </c>
      <c r="N36" s="3">
        <v>0.92820131778717041</v>
      </c>
      <c r="O36" s="3">
        <v>0.59265199999999996</v>
      </c>
      <c r="P36" s="3">
        <v>0.44287300000000002</v>
      </c>
      <c r="Q36" s="3"/>
      <c r="R36" s="8">
        <v>0.69610278602368403</v>
      </c>
      <c r="S36" s="8">
        <v>0.68477399999999999</v>
      </c>
      <c r="T36" s="8">
        <v>0.69610278602368403</v>
      </c>
      <c r="U36" s="8">
        <v>0.68477399999999999</v>
      </c>
      <c r="V36" s="8">
        <v>0.69610278602368403</v>
      </c>
      <c r="W36" s="8">
        <v>0.69610278602368403</v>
      </c>
      <c r="X36" s="8">
        <v>0.69610278602368403</v>
      </c>
      <c r="Y36" s="8">
        <v>0.69610278602368403</v>
      </c>
      <c r="Z36" s="8">
        <v>0.69610278602368403</v>
      </c>
    </row>
    <row r="37" spans="1:26" ht="15.6" x14ac:dyDescent="0.35">
      <c r="A37" s="6">
        <v>42705</v>
      </c>
      <c r="B37" s="4">
        <v>0.6</v>
      </c>
      <c r="C37" s="3">
        <v>1.13103257066387</v>
      </c>
      <c r="D37" s="3">
        <v>0.69500799999999996</v>
      </c>
      <c r="E37" s="3">
        <v>0.64204499999999998</v>
      </c>
      <c r="F37" s="3">
        <v>0.712063</v>
      </c>
      <c r="G37" s="3">
        <v>0.57575399999999999</v>
      </c>
      <c r="H37" s="3">
        <v>1.0674276446148001</v>
      </c>
      <c r="I37" s="3">
        <v>0.87291484641943995</v>
      </c>
      <c r="J37" s="3">
        <v>1.0456209999999999</v>
      </c>
      <c r="K37" s="3">
        <v>1.2844757026785489</v>
      </c>
      <c r="L37" s="3">
        <v>0.96055126000000002</v>
      </c>
      <c r="M37" s="3">
        <v>0.73464663977169264</v>
      </c>
      <c r="N37" s="3">
        <v>1.099486827850342</v>
      </c>
      <c r="O37" s="3">
        <v>0.76981599999999994</v>
      </c>
      <c r="P37" s="3">
        <v>1.336816</v>
      </c>
      <c r="Q37" s="3"/>
      <c r="R37" s="8">
        <v>0.95014649938451501</v>
      </c>
      <c r="S37" s="8">
        <v>0.96055126000000002</v>
      </c>
      <c r="T37" s="8">
        <v>0.95014649938451501</v>
      </c>
      <c r="U37" s="8">
        <v>0.96611872595902104</v>
      </c>
      <c r="V37" s="8">
        <v>0.95014649938451501</v>
      </c>
      <c r="W37" s="8">
        <v>0.95014649938451501</v>
      </c>
      <c r="X37" s="8">
        <v>0.95014649938451501</v>
      </c>
      <c r="Y37" s="8">
        <v>0.95014649938451501</v>
      </c>
      <c r="Z37" s="8">
        <v>0.95014649938451501</v>
      </c>
    </row>
    <row r="38" spans="1:26" ht="15.6" x14ac:dyDescent="0.35">
      <c r="A38" s="6">
        <v>42795</v>
      </c>
      <c r="B38" s="4">
        <v>1</v>
      </c>
      <c r="C38" s="3">
        <v>1.07711623584131</v>
      </c>
      <c r="D38" s="3">
        <v>1.1199159999999999</v>
      </c>
      <c r="E38" s="3">
        <v>1.0978669999999999</v>
      </c>
      <c r="F38" s="3">
        <v>1.0544439999999999</v>
      </c>
      <c r="G38" s="3">
        <v>0.64759100000000003</v>
      </c>
      <c r="H38" s="3">
        <v>1.0670232493074401</v>
      </c>
      <c r="I38" s="3">
        <v>1.0479093779858599</v>
      </c>
      <c r="J38" s="3">
        <v>1.1133569999999999</v>
      </c>
      <c r="K38" s="3">
        <v>1.1047904706023031</v>
      </c>
      <c r="L38" s="3">
        <v>1.2134948000000001</v>
      </c>
      <c r="M38" s="3">
        <v>0.81843315403258887</v>
      </c>
      <c r="N38" s="3">
        <v>0.89296567440032959</v>
      </c>
      <c r="O38" s="3">
        <v>1.0742160000000001</v>
      </c>
      <c r="P38" s="3">
        <v>1.447208</v>
      </c>
      <c r="Q38" s="3"/>
      <c r="R38" s="8">
        <v>1.08682622785921</v>
      </c>
      <c r="S38" s="8">
        <v>1.07711623584131</v>
      </c>
      <c r="T38" s="8">
        <v>1.0978669999999999</v>
      </c>
      <c r="U38" s="8">
        <v>1.07711623584131</v>
      </c>
      <c r="V38" s="8">
        <v>1.09802667360416</v>
      </c>
      <c r="W38" s="8">
        <v>1.0974688307802301</v>
      </c>
      <c r="X38" s="8">
        <v>1.08453989040259</v>
      </c>
      <c r="Y38" s="8">
        <v>1.08626523795556</v>
      </c>
      <c r="Z38" s="8">
        <v>1.08626523795556</v>
      </c>
    </row>
    <row r="39" spans="1:26" ht="15.6" x14ac:dyDescent="0.35">
      <c r="A39" s="6">
        <v>42887</v>
      </c>
      <c r="B39" s="4">
        <v>0.8</v>
      </c>
      <c r="C39" s="3">
        <v>0.50836077959724701</v>
      </c>
      <c r="D39" s="3">
        <v>1.108525</v>
      </c>
      <c r="E39" s="3">
        <v>1.1260520000000001</v>
      </c>
      <c r="F39" s="3">
        <v>1.015314</v>
      </c>
      <c r="G39" s="3">
        <v>0.68927899999999998</v>
      </c>
      <c r="H39" s="3">
        <v>0.932465718951488</v>
      </c>
      <c r="I39" s="3">
        <v>0.94488391622762902</v>
      </c>
      <c r="J39" s="3">
        <v>0.78698599999999996</v>
      </c>
      <c r="K39" s="3">
        <v>1.0296328384953211</v>
      </c>
      <c r="L39" s="3">
        <v>0.79233724000000005</v>
      </c>
      <c r="M39" s="3">
        <v>0.79498313781009988</v>
      </c>
      <c r="N39" s="3">
        <v>1.191611528396606</v>
      </c>
      <c r="O39" s="3">
        <v>0.945407</v>
      </c>
      <c r="P39" s="3">
        <v>1.284572</v>
      </c>
      <c r="Q39" s="3"/>
      <c r="R39" s="8">
        <v>0.95854855072910705</v>
      </c>
      <c r="S39" s="8">
        <v>0.945407</v>
      </c>
      <c r="T39" s="8">
        <v>1.108525</v>
      </c>
      <c r="U39" s="8">
        <v>0.94537620511960596</v>
      </c>
      <c r="V39" s="8">
        <v>1.08664444691868</v>
      </c>
      <c r="W39" s="8">
        <v>1.0808498883462201</v>
      </c>
      <c r="X39" s="8">
        <v>0.97905430151985995</v>
      </c>
      <c r="Y39" s="8">
        <v>0.95738065772659697</v>
      </c>
      <c r="Z39" s="8">
        <v>0.95818729024374805</v>
      </c>
    </row>
    <row r="40" spans="1:26" ht="15.6" x14ac:dyDescent="0.35">
      <c r="A40" s="6">
        <v>42979</v>
      </c>
      <c r="B40" s="4">
        <v>1.4</v>
      </c>
      <c r="C40" s="3">
        <v>0.73780532018760703</v>
      </c>
      <c r="D40" s="3">
        <v>0.28770099999999998</v>
      </c>
      <c r="E40" s="3">
        <v>0.27575300000000003</v>
      </c>
      <c r="F40" s="3">
        <v>0.39924100000000001</v>
      </c>
      <c r="G40" s="3">
        <v>0.96964099999999998</v>
      </c>
      <c r="H40" s="3">
        <v>0.743458949658657</v>
      </c>
      <c r="I40" s="3">
        <v>0.83473230119603903</v>
      </c>
      <c r="J40" s="3">
        <v>0.96013199999999999</v>
      </c>
      <c r="K40" s="3">
        <v>0.92132988772578273</v>
      </c>
      <c r="L40" s="3">
        <v>0.67590190000000006</v>
      </c>
      <c r="M40" s="3">
        <v>0.80045130359995031</v>
      </c>
      <c r="N40" s="3">
        <v>0.87996208667755127</v>
      </c>
      <c r="O40" s="3">
        <v>0.71237600000000001</v>
      </c>
      <c r="P40" s="3">
        <v>0.97380199999999995</v>
      </c>
      <c r="Q40" s="3"/>
      <c r="R40" s="8">
        <v>0.70789590377273703</v>
      </c>
      <c r="S40" s="8">
        <v>0.743458949658657</v>
      </c>
      <c r="T40" s="8">
        <v>0.39924100000000001</v>
      </c>
      <c r="U40" s="8">
        <v>0.74318133365266603</v>
      </c>
      <c r="V40" s="8">
        <v>0.58720326579457005</v>
      </c>
      <c r="W40" s="8">
        <v>0.58142049340041102</v>
      </c>
      <c r="X40" s="8">
        <v>0.61289060999704204</v>
      </c>
      <c r="Y40" s="8">
        <v>0.69813165977679204</v>
      </c>
      <c r="Z40" s="8">
        <v>0.71152967336136796</v>
      </c>
    </row>
    <row r="41" spans="1:26" ht="15.6" x14ac:dyDescent="0.35">
      <c r="A41" s="6">
        <v>43070</v>
      </c>
      <c r="B41" s="4">
        <v>-0.3</v>
      </c>
      <c r="C41" s="3">
        <v>0.71009688627299905</v>
      </c>
      <c r="D41" s="3">
        <v>0.95237899999999998</v>
      </c>
      <c r="E41" s="3">
        <v>0.67377100000000001</v>
      </c>
      <c r="F41" s="3">
        <v>0.89577799999999996</v>
      </c>
      <c r="G41" s="3">
        <v>1.387553</v>
      </c>
      <c r="H41" s="3">
        <v>0.872119604761599</v>
      </c>
      <c r="I41" s="3">
        <v>0.894160425082557</v>
      </c>
      <c r="J41" s="3">
        <v>0.69409500000000002</v>
      </c>
      <c r="K41" s="3">
        <v>0.51212529273412244</v>
      </c>
      <c r="L41" s="3">
        <v>0.71935225000000003</v>
      </c>
      <c r="M41" s="3">
        <v>0.74325213918026523</v>
      </c>
      <c r="N41" s="3">
        <v>0.79880201816558838</v>
      </c>
      <c r="O41" s="3">
        <v>0.35492800000000002</v>
      </c>
      <c r="P41" s="3">
        <v>0.47841400000000001</v>
      </c>
      <c r="Q41" s="3"/>
      <c r="R41" s="8">
        <v>0.71532873970747102</v>
      </c>
      <c r="S41" s="8">
        <v>0.71935225000000003</v>
      </c>
      <c r="T41" s="8">
        <v>0.743252139180265</v>
      </c>
      <c r="U41" s="8">
        <v>0.71935225000000003</v>
      </c>
      <c r="V41" s="8">
        <v>0.75251333457366398</v>
      </c>
      <c r="W41" s="8">
        <v>0.749379335412938</v>
      </c>
      <c r="X41" s="8">
        <v>0.71325680233100697</v>
      </c>
      <c r="Y41" s="8">
        <v>0.71400401359906795</v>
      </c>
      <c r="Z41" s="8">
        <v>0.71935225000000003</v>
      </c>
    </row>
    <row r="42" spans="1:26" ht="15.6" x14ac:dyDescent="0.35">
      <c r="A42" s="6">
        <v>43160</v>
      </c>
      <c r="B42" s="4">
        <v>1.3</v>
      </c>
      <c r="C42" s="3">
        <v>1.1079978385579801</v>
      </c>
      <c r="D42" s="3">
        <v>0.67872200000000005</v>
      </c>
      <c r="E42" s="3">
        <v>0.80809299999999995</v>
      </c>
      <c r="F42" s="3">
        <v>0.70968699999999996</v>
      </c>
      <c r="G42" s="3">
        <v>0.75348499999999996</v>
      </c>
      <c r="H42" s="3">
        <v>0.97752640103094701</v>
      </c>
      <c r="I42" s="3">
        <v>1.0054379576792001</v>
      </c>
      <c r="J42" s="3">
        <v>0.93706800000000001</v>
      </c>
      <c r="K42" s="3">
        <v>1.214090164516207</v>
      </c>
      <c r="L42" s="3">
        <v>0.80441034</v>
      </c>
      <c r="M42" s="3">
        <v>1.1117772834179549</v>
      </c>
      <c r="N42" s="3">
        <v>0.71219825744628906</v>
      </c>
      <c r="O42" s="3">
        <v>0.74432200000000004</v>
      </c>
      <c r="P42" s="3">
        <v>1.71661</v>
      </c>
      <c r="Q42" s="3"/>
      <c r="R42" s="8">
        <v>0.96368771097296702</v>
      </c>
      <c r="S42" s="8">
        <v>0.93706800000000001</v>
      </c>
      <c r="T42" s="8">
        <v>0.93706800000000001</v>
      </c>
      <c r="U42" s="8">
        <v>0.94560367499386999</v>
      </c>
      <c r="V42" s="8">
        <v>1.0210362530197299</v>
      </c>
      <c r="W42" s="8">
        <v>1.02371812341237</v>
      </c>
      <c r="X42" s="8">
        <v>1.0014471593255001</v>
      </c>
      <c r="Y42" s="8">
        <v>0.98223432828462198</v>
      </c>
      <c r="Z42" s="8">
        <v>0.97200446275490204</v>
      </c>
    </row>
    <row r="43" spans="1:26" ht="15.6" x14ac:dyDescent="0.35">
      <c r="A43" s="6">
        <v>43252</v>
      </c>
      <c r="B43" s="4">
        <v>0.7</v>
      </c>
      <c r="C43" s="3">
        <v>0.959595843543944</v>
      </c>
      <c r="D43" s="3">
        <v>0.71134299999999995</v>
      </c>
      <c r="E43" s="3">
        <v>0.55233600000000005</v>
      </c>
      <c r="F43" s="3">
        <v>0.70128800000000002</v>
      </c>
      <c r="G43" s="3">
        <v>0.31625999999999999</v>
      </c>
      <c r="H43" s="3">
        <v>0.56679146918486401</v>
      </c>
      <c r="I43" s="3">
        <v>0.54893017203459005</v>
      </c>
      <c r="J43" s="3">
        <v>0.83720099999999997</v>
      </c>
      <c r="K43" s="3">
        <v>0.57726226724400931</v>
      </c>
      <c r="L43" s="3">
        <v>0.63374090000000005</v>
      </c>
      <c r="M43" s="3">
        <v>0.49995840027745092</v>
      </c>
      <c r="N43" s="3">
        <v>1.3132168054580691</v>
      </c>
      <c r="O43" s="3">
        <v>0.68789900000000004</v>
      </c>
      <c r="P43" s="3">
        <v>0.596387</v>
      </c>
      <c r="Q43" s="3"/>
      <c r="R43" s="8">
        <v>0.70661152751868594</v>
      </c>
      <c r="S43" s="8">
        <v>0.63374090000000005</v>
      </c>
      <c r="T43" s="8">
        <v>0.57726226724400898</v>
      </c>
      <c r="U43" s="8">
        <v>0.63374090000000005</v>
      </c>
      <c r="V43" s="8">
        <v>0.63579413235905502</v>
      </c>
      <c r="W43" s="8">
        <v>0.63936105452251502</v>
      </c>
      <c r="X43" s="8">
        <v>0.697121959782394</v>
      </c>
      <c r="Y43" s="8">
        <v>0.70426566686119896</v>
      </c>
      <c r="Z43" s="8">
        <v>0.63579413235905502</v>
      </c>
    </row>
    <row r="44" spans="1:26" ht="15.6" x14ac:dyDescent="0.35">
      <c r="A44" s="6">
        <v>43344</v>
      </c>
      <c r="B44" s="4">
        <v>0.6</v>
      </c>
      <c r="C44" s="3">
        <v>0.97109739262780204</v>
      </c>
      <c r="D44" s="3">
        <v>0.52368800000000004</v>
      </c>
      <c r="E44" s="3">
        <v>0.47566599999999998</v>
      </c>
      <c r="F44" s="3">
        <v>0.57142400000000004</v>
      </c>
      <c r="G44" s="3">
        <v>0.36177799999999999</v>
      </c>
      <c r="H44" s="3">
        <v>1.0800162974086001</v>
      </c>
      <c r="I44" s="3">
        <v>1.0457687841899801</v>
      </c>
      <c r="J44" s="3">
        <v>0.701816</v>
      </c>
      <c r="K44" s="3">
        <v>0.60425636097022561</v>
      </c>
      <c r="L44" s="3">
        <v>0.34749292999999998</v>
      </c>
      <c r="M44" s="3">
        <v>0.58075629907049464</v>
      </c>
      <c r="N44" s="3">
        <v>0.68545734882354736</v>
      </c>
      <c r="O44" s="3">
        <v>0.67921299999999996</v>
      </c>
      <c r="P44" s="3">
        <v>0.320519</v>
      </c>
      <c r="Q44" s="3"/>
      <c r="R44" s="8">
        <v>0.66055164716081904</v>
      </c>
      <c r="S44" s="8">
        <v>0.60425636097022495</v>
      </c>
      <c r="T44" s="8">
        <v>0.60425636097022495</v>
      </c>
      <c r="U44" s="8">
        <v>0.60358392237302705</v>
      </c>
      <c r="V44" s="8">
        <v>0.54214351356194901</v>
      </c>
      <c r="W44" s="8">
        <v>0.54701743456918395</v>
      </c>
      <c r="X44" s="8">
        <v>0.64770977045091505</v>
      </c>
      <c r="Y44" s="8">
        <v>0.66038020812192</v>
      </c>
      <c r="Z44" s="8">
        <v>0.60425636097022495</v>
      </c>
    </row>
    <row r="45" spans="1:26" ht="15.6" x14ac:dyDescent="0.35">
      <c r="A45" s="6">
        <v>43435</v>
      </c>
      <c r="B45" s="4">
        <v>0.6</v>
      </c>
      <c r="C45" s="3">
        <v>0.265891526319186</v>
      </c>
      <c r="D45" s="3">
        <v>9.6939999999999998E-2</v>
      </c>
      <c r="E45" s="3">
        <v>-2.1690000000000001E-2</v>
      </c>
      <c r="F45" s="3">
        <v>0.245889</v>
      </c>
      <c r="G45" s="3">
        <v>0.74957399999999996</v>
      </c>
      <c r="H45" s="3">
        <v>0.35103274057990003</v>
      </c>
      <c r="I45" s="3">
        <v>0.66124605449810803</v>
      </c>
      <c r="J45" s="3">
        <v>0.70308300000000001</v>
      </c>
      <c r="K45" s="3">
        <v>0.45311827841385371</v>
      </c>
      <c r="L45" s="3">
        <v>5.6084156000000003E-2</v>
      </c>
      <c r="M45" s="3">
        <v>1.1399712853465509</v>
      </c>
      <c r="N45" s="3">
        <v>0.72548359632492065</v>
      </c>
      <c r="O45" s="3">
        <v>0.11767900000000001</v>
      </c>
      <c r="P45" s="3">
        <v>0.41074699999999997</v>
      </c>
      <c r="Q45" s="3"/>
      <c r="R45" s="8">
        <v>0.40042120288326999</v>
      </c>
      <c r="S45" s="8">
        <v>0.35103274057990003</v>
      </c>
      <c r="T45" s="8">
        <v>0.45311827841385299</v>
      </c>
      <c r="U45" s="8">
        <v>0.33069878251225798</v>
      </c>
      <c r="V45" s="8">
        <v>0.34764698874677102</v>
      </c>
      <c r="W45" s="8">
        <v>0.35280777344562397</v>
      </c>
      <c r="X45" s="8">
        <v>0.39586062280759099</v>
      </c>
      <c r="Y45" s="8">
        <v>0.399995381148332</v>
      </c>
      <c r="Z45" s="8">
        <v>0.35146441465148698</v>
      </c>
    </row>
    <row r="46" spans="1:26" ht="15.6" x14ac:dyDescent="0.35">
      <c r="A46" s="6">
        <v>43525</v>
      </c>
      <c r="B46" s="4">
        <v>-0.1</v>
      </c>
      <c r="C46" s="3">
        <v>0.118252665541146</v>
      </c>
      <c r="D46" s="3">
        <v>-7.2260000000000005E-2</v>
      </c>
      <c r="E46" s="3">
        <v>-0.32045000000000001</v>
      </c>
      <c r="F46" s="3">
        <v>0.15650500000000001</v>
      </c>
      <c r="G46" s="3">
        <v>0.75638000000000005</v>
      </c>
      <c r="H46" s="3">
        <v>0.51255534718245699</v>
      </c>
      <c r="I46" s="3">
        <v>0.60620221756519999</v>
      </c>
      <c r="J46" s="3">
        <v>0.361543</v>
      </c>
      <c r="K46" s="3">
        <v>-8.619005098454835E-2</v>
      </c>
      <c r="L46" s="3">
        <v>0.71092299999999997</v>
      </c>
      <c r="M46" s="3">
        <v>0.61333592145004556</v>
      </c>
      <c r="N46" s="3">
        <v>0.68573641777038574</v>
      </c>
      <c r="O46" s="3">
        <v>-0.56797699999999995</v>
      </c>
      <c r="P46" s="3">
        <v>-0.21914</v>
      </c>
      <c r="Q46" s="3"/>
      <c r="R46" s="8">
        <v>0.19223357834805199</v>
      </c>
      <c r="S46" s="8">
        <v>0.15650500000000001</v>
      </c>
      <c r="T46" s="8">
        <v>0.361543</v>
      </c>
      <c r="U46" s="8">
        <v>0.14145007754300101</v>
      </c>
      <c r="V46" s="8">
        <v>-8.5136286603783903E-2</v>
      </c>
      <c r="W46" s="8">
        <v>-8.4498368495287204E-2</v>
      </c>
      <c r="X46" s="8">
        <v>0.101579721483258</v>
      </c>
      <c r="Y46" s="8">
        <v>0.19175247718307001</v>
      </c>
      <c r="Z46" s="8">
        <v>0.140800702749698</v>
      </c>
    </row>
    <row r="47" spans="1:26" ht="15.6" x14ac:dyDescent="0.35">
      <c r="A47" s="6">
        <v>43617</v>
      </c>
      <c r="B47" s="4">
        <v>1.1000000000000001</v>
      </c>
      <c r="C47" s="3">
        <v>1.11156835276165</v>
      </c>
      <c r="D47" s="3">
        <v>0.85408499999999998</v>
      </c>
      <c r="E47" s="3">
        <v>0.83754200000000001</v>
      </c>
      <c r="F47" s="3">
        <v>0.80323800000000001</v>
      </c>
      <c r="G47" s="3">
        <v>1.2548760000000001</v>
      </c>
      <c r="H47" s="3">
        <v>1.0400166007435601</v>
      </c>
      <c r="I47" s="3">
        <v>0.99618244694705005</v>
      </c>
      <c r="J47" s="3">
        <v>0.88099099999999997</v>
      </c>
      <c r="K47" s="3">
        <v>0.87297945736976246</v>
      </c>
      <c r="L47" s="3">
        <v>0.51288880000000003</v>
      </c>
      <c r="M47" s="3">
        <v>0.86478390848616982</v>
      </c>
      <c r="N47" s="3">
        <v>1.309055089950562</v>
      </c>
      <c r="O47" s="3">
        <v>0.97299000000000002</v>
      </c>
      <c r="P47" s="3">
        <v>1.066703</v>
      </c>
      <c r="Q47" s="3"/>
      <c r="R47" s="8">
        <v>0.93254028125067301</v>
      </c>
      <c r="S47" s="8">
        <v>0.88099099999999997</v>
      </c>
      <c r="T47" s="8">
        <v>0.85408499999999998</v>
      </c>
      <c r="U47" s="8">
        <v>0.88099099999999997</v>
      </c>
      <c r="V47" s="8">
        <v>0.89416491192265402</v>
      </c>
      <c r="W47" s="8">
        <v>0.89556745201679999</v>
      </c>
      <c r="X47" s="8">
        <v>0.91056295075168903</v>
      </c>
      <c r="Y47" s="8">
        <v>0.93221190222746897</v>
      </c>
      <c r="Z47" s="8">
        <v>0.89416491192265402</v>
      </c>
    </row>
    <row r="48" spans="1:26" ht="15.6" x14ac:dyDescent="0.35">
      <c r="A48" s="6">
        <v>43709</v>
      </c>
      <c r="B48" s="4">
        <v>0.4</v>
      </c>
      <c r="C48" s="3">
        <v>0.69987894239150905</v>
      </c>
      <c r="D48" s="3">
        <v>0.44980999999999999</v>
      </c>
      <c r="E48" s="3">
        <v>0.35154299999999999</v>
      </c>
      <c r="F48" s="3">
        <v>0.511463</v>
      </c>
      <c r="G48" s="3">
        <v>1.000116</v>
      </c>
      <c r="H48" s="3">
        <v>0.47887444895335102</v>
      </c>
      <c r="I48" s="3">
        <v>0.66429596497350896</v>
      </c>
      <c r="J48" s="3">
        <v>0.68031200000000003</v>
      </c>
      <c r="K48" s="3">
        <v>0.47015825794380822</v>
      </c>
      <c r="L48" s="3">
        <v>1.1893855</v>
      </c>
      <c r="M48" s="3">
        <v>0.70446534471822131</v>
      </c>
      <c r="N48" s="3">
        <v>1.0148947238922119</v>
      </c>
      <c r="O48" s="3">
        <v>0.80779100000000004</v>
      </c>
      <c r="P48" s="3">
        <v>0.78579399999999999</v>
      </c>
      <c r="Q48" s="3"/>
      <c r="R48" s="8">
        <v>0.67758970637481597</v>
      </c>
      <c r="S48" s="8">
        <v>0.68031200000000003</v>
      </c>
      <c r="T48" s="8">
        <v>0.470158257943808</v>
      </c>
      <c r="U48" s="8">
        <v>0.67927159248540403</v>
      </c>
      <c r="V48" s="8">
        <v>0.56313576192052195</v>
      </c>
      <c r="W48" s="8">
        <v>0.56634621175782496</v>
      </c>
      <c r="X48" s="8">
        <v>0.61178734885489905</v>
      </c>
      <c r="Y48" s="8">
        <v>0.66708364206718695</v>
      </c>
      <c r="Z48" s="8">
        <v>0.66660049130640597</v>
      </c>
    </row>
    <row r="49" spans="1:26" ht="15.6" x14ac:dyDescent="0.35">
      <c r="A49" s="6">
        <v>43800</v>
      </c>
      <c r="B49" s="4">
        <v>1.2</v>
      </c>
      <c r="C49" s="3">
        <v>0.57590452552404003</v>
      </c>
      <c r="D49" s="3">
        <v>0.62098500000000001</v>
      </c>
      <c r="E49" s="3">
        <v>0.55467699999999998</v>
      </c>
      <c r="F49" s="3">
        <v>0.623506</v>
      </c>
      <c r="G49" s="3">
        <v>0.28878900000000002</v>
      </c>
      <c r="H49" s="3">
        <v>0.97552828624894505</v>
      </c>
      <c r="I49" s="3">
        <v>1.12461740811634</v>
      </c>
      <c r="J49" s="3">
        <v>0.85209199999999996</v>
      </c>
      <c r="K49" s="3">
        <v>0.89780159547483862</v>
      </c>
      <c r="L49" s="3">
        <v>0.87367225000000004</v>
      </c>
      <c r="M49" s="3">
        <v>0.70223249829823542</v>
      </c>
      <c r="N49" s="3">
        <v>7.7020831406116486E-2</v>
      </c>
      <c r="O49" s="3">
        <v>0.365954</v>
      </c>
      <c r="P49" s="3">
        <v>0.86751199999999995</v>
      </c>
      <c r="Q49" s="3"/>
      <c r="R49" s="8">
        <v>0.70088487654373099</v>
      </c>
      <c r="S49" s="8">
        <v>0.70223249829823498</v>
      </c>
      <c r="T49" s="8">
        <v>0.86751199999999995</v>
      </c>
      <c r="U49" s="8">
        <v>0.71349646384909005</v>
      </c>
      <c r="V49" s="8">
        <v>0.80950965865901903</v>
      </c>
      <c r="W49" s="8">
        <v>0.80566487533456899</v>
      </c>
      <c r="X49" s="8">
        <v>0.76844341935464899</v>
      </c>
      <c r="Y49" s="8">
        <v>0.70555896607083102</v>
      </c>
      <c r="Z49" s="8">
        <v>0.72781729412566698</v>
      </c>
    </row>
    <row r="50" spans="1:26" ht="15.6" x14ac:dyDescent="0.35">
      <c r="A50" s="6">
        <v>43891</v>
      </c>
      <c r="B50" s="4">
        <v>-1.3</v>
      </c>
      <c r="C50" s="3">
        <v>-3.9388748075635902E-2</v>
      </c>
      <c r="D50" s="3">
        <v>-4.7499999999999999E-3</v>
      </c>
      <c r="E50" s="3">
        <v>-0.14660999999999999</v>
      </c>
      <c r="F50" s="3">
        <v>0.180169</v>
      </c>
      <c r="G50" s="3">
        <v>0.27936699999999998</v>
      </c>
      <c r="H50" s="3">
        <v>-3.6016150026829702E-2</v>
      </c>
      <c r="I50" s="3">
        <v>0.62411612645148296</v>
      </c>
      <c r="J50" s="3">
        <v>0.839619</v>
      </c>
      <c r="K50" s="3">
        <v>0.23187380903572929</v>
      </c>
      <c r="L50" s="3">
        <v>-0.72131866</v>
      </c>
      <c r="M50" s="3">
        <v>5.7405847789575547E-2</v>
      </c>
      <c r="N50" s="3">
        <v>0.300211101770401</v>
      </c>
      <c r="O50" s="3">
        <v>-2.7806999999999998E-2</v>
      </c>
      <c r="P50" s="3">
        <v>3.2603E-2</v>
      </c>
      <c r="Q50" s="3"/>
      <c r="R50" s="8">
        <v>9.9239025149594096E-2</v>
      </c>
      <c r="S50" s="8">
        <v>3.2603E-2</v>
      </c>
      <c r="T50" s="8">
        <v>3.2603E-2</v>
      </c>
      <c r="U50" s="8">
        <v>2.0220148561834701E-2</v>
      </c>
      <c r="V50" s="8">
        <v>0.17088311144270099</v>
      </c>
      <c r="W50" s="8">
        <v>0.17058008365150301</v>
      </c>
      <c r="X50" s="8">
        <v>0.15231056420533201</v>
      </c>
      <c r="Y50" s="8">
        <v>0.112997188865176</v>
      </c>
      <c r="Z50" s="8">
        <v>3.2603E-2</v>
      </c>
    </row>
    <row r="51" spans="1:26" ht="15.6" x14ac:dyDescent="0.35">
      <c r="A51" s="6">
        <v>43983</v>
      </c>
      <c r="B51" s="4">
        <v>-3</v>
      </c>
      <c r="C51" s="3">
        <v>-0.54498243790643397</v>
      </c>
      <c r="D51" s="3">
        <v>-1.25403</v>
      </c>
      <c r="E51" s="3">
        <v>-1.1612100000000001</v>
      </c>
      <c r="F51" s="3">
        <v>-0.49188999999999999</v>
      </c>
      <c r="G51" s="3">
        <v>-7.8241300000000003</v>
      </c>
      <c r="H51" s="3">
        <v>-0.88084843909030297</v>
      </c>
      <c r="I51" s="3">
        <v>0.25335755703685803</v>
      </c>
      <c r="J51" s="3">
        <v>-1.4533</v>
      </c>
      <c r="K51" s="3">
        <v>-0.71690958653408288</v>
      </c>
      <c r="L51" s="3">
        <v>0.39227682000000003</v>
      </c>
      <c r="M51" s="3">
        <v>-0.98489901297097959</v>
      </c>
      <c r="N51" s="3">
        <v>-3.164426326751709</v>
      </c>
      <c r="O51" s="3">
        <v>-2.5985870000000002</v>
      </c>
      <c r="P51" s="3">
        <v>-1.444183</v>
      </c>
      <c r="Q51" s="3"/>
      <c r="R51" s="8">
        <v>-1.0807408789397399</v>
      </c>
      <c r="S51" s="8">
        <v>-0.98489901297097904</v>
      </c>
      <c r="T51" s="8">
        <v>-1.1612100000000001</v>
      </c>
      <c r="U51" s="8">
        <v>-3.1644263267517001</v>
      </c>
      <c r="V51" s="8">
        <v>-0.66940750284999895</v>
      </c>
      <c r="W51" s="8">
        <v>-0.68820437657948197</v>
      </c>
      <c r="X51" s="8">
        <v>-0.95560618219442905</v>
      </c>
      <c r="Y51" s="8">
        <v>-1.0032519264413</v>
      </c>
      <c r="Z51" s="8">
        <v>-3.1644263267517001</v>
      </c>
    </row>
    <row r="52" spans="1:26" ht="15.6" x14ac:dyDescent="0.35">
      <c r="A52" s="6">
        <v>44075</v>
      </c>
      <c r="B52" s="4">
        <v>2.2999999999999998</v>
      </c>
      <c r="C52" s="3">
        <v>1.60246672756077</v>
      </c>
      <c r="D52" s="3">
        <v>1.8537380000000001</v>
      </c>
      <c r="E52" s="3">
        <v>2.3472930000000001</v>
      </c>
      <c r="F52" s="3">
        <v>1.0726469999999999</v>
      </c>
      <c r="G52" s="3">
        <v>4.3465109999999996</v>
      </c>
      <c r="H52" s="3">
        <v>2.42209649954335</v>
      </c>
      <c r="I52" s="3">
        <v>1.65097270109683</v>
      </c>
      <c r="J52" s="3">
        <v>1.2140820000000001</v>
      </c>
      <c r="K52" s="3">
        <v>2.2233262368167459</v>
      </c>
      <c r="L52" s="3">
        <v>1.4095112999999999</v>
      </c>
      <c r="M52" s="3">
        <v>0.9394916306063783</v>
      </c>
      <c r="N52" s="3">
        <v>1.4972490072250371</v>
      </c>
      <c r="O52" s="3">
        <v>0.82290399999999997</v>
      </c>
      <c r="P52" s="3">
        <v>2.8647969999999998</v>
      </c>
      <c r="Q52" s="3"/>
      <c r="R52" s="8">
        <v>1.6861980848345399</v>
      </c>
      <c r="S52" s="8">
        <v>1.60246672756077</v>
      </c>
      <c r="T52" s="8">
        <v>1.49724900722503</v>
      </c>
      <c r="U52" s="8">
        <v>1.60246672756077</v>
      </c>
      <c r="V52" s="8">
        <v>1.70139904294629</v>
      </c>
      <c r="W52" s="8">
        <v>1.7020359077438201</v>
      </c>
      <c r="X52" s="8">
        <v>1.66588978165053</v>
      </c>
      <c r="Y52" s="8">
        <v>1.69206200230569</v>
      </c>
      <c r="Z52" s="8">
        <v>1.65097270109683</v>
      </c>
    </row>
    <row r="53" spans="1:26" ht="15.6" x14ac:dyDescent="0.35">
      <c r="A53" s="6">
        <v>44166</v>
      </c>
      <c r="B53" s="4">
        <v>1.3</v>
      </c>
      <c r="C53" s="3">
        <v>0.837722193812514</v>
      </c>
      <c r="D53" s="3">
        <v>1.517258</v>
      </c>
      <c r="E53" s="3">
        <v>1.5588500000000001</v>
      </c>
      <c r="F53" s="3">
        <v>1.4894259999999999</v>
      </c>
      <c r="G53" s="3">
        <v>3.3954909999999998</v>
      </c>
      <c r="H53" s="3">
        <v>1.86171729420527</v>
      </c>
      <c r="I53" s="3">
        <v>1.27764809867339</v>
      </c>
      <c r="J53" s="3">
        <v>0.65826799999999996</v>
      </c>
      <c r="K53" s="3">
        <v>1.4660299525018381</v>
      </c>
      <c r="L53" s="3">
        <v>0.26395336000000003</v>
      </c>
      <c r="M53" s="3">
        <v>0.90888906682285775</v>
      </c>
      <c r="N53" s="3">
        <v>1.255289673805237</v>
      </c>
      <c r="O53" s="3">
        <v>1.9463729999999999</v>
      </c>
      <c r="P53" s="3">
        <v>1.520173</v>
      </c>
      <c r="Q53" s="3"/>
      <c r="R53" s="8">
        <v>1.2739690492169999</v>
      </c>
      <c r="S53" s="8">
        <v>1.4660299525018301</v>
      </c>
      <c r="T53" s="8">
        <v>1.5588500000000001</v>
      </c>
      <c r="U53" s="8">
        <v>1.4660299525018301</v>
      </c>
      <c r="V53" s="8">
        <v>1.4017601026473301</v>
      </c>
      <c r="W53" s="8">
        <v>1.3965484152235099</v>
      </c>
      <c r="X53" s="8">
        <v>1.37004222248554</v>
      </c>
      <c r="Y53" s="8">
        <v>1.43140803874538</v>
      </c>
      <c r="Z53" s="8">
        <v>1.43140803874538</v>
      </c>
    </row>
    <row r="54" spans="1:26" ht="15.6" x14ac:dyDescent="0.35">
      <c r="A54" s="6">
        <v>44256</v>
      </c>
      <c r="B54" s="4">
        <v>1.8</v>
      </c>
      <c r="C54" s="3">
        <v>0.708796485088936</v>
      </c>
      <c r="D54" s="3">
        <v>1.135054</v>
      </c>
      <c r="E54" s="3">
        <v>1.1258600000000001</v>
      </c>
      <c r="F54" s="3">
        <v>1.0571839999999999</v>
      </c>
      <c r="G54" s="3">
        <v>3.3540770000000002</v>
      </c>
      <c r="H54" s="3">
        <v>1.7043653697562</v>
      </c>
      <c r="I54" s="3">
        <v>0.97637374991209802</v>
      </c>
      <c r="J54" s="3">
        <v>1.226291</v>
      </c>
      <c r="K54" s="3">
        <v>1.8441018892240459</v>
      </c>
      <c r="L54" s="3">
        <v>1.3949053</v>
      </c>
      <c r="M54" s="3">
        <v>0.78378479607371898</v>
      </c>
      <c r="N54" s="3">
        <v>1.410161137580872</v>
      </c>
      <c r="O54" s="3">
        <v>1.8200959999999999</v>
      </c>
      <c r="P54" s="3">
        <v>1.897805</v>
      </c>
      <c r="Q54" s="3"/>
      <c r="R54" s="8">
        <v>1.3142137482796801</v>
      </c>
      <c r="S54" s="8">
        <v>1.226291</v>
      </c>
      <c r="T54" s="8">
        <v>1.41016113758087</v>
      </c>
      <c r="U54" s="8">
        <v>1.226291</v>
      </c>
      <c r="V54" s="8">
        <v>1.3855833862669</v>
      </c>
      <c r="W54" s="8">
        <v>1.38248592771346</v>
      </c>
      <c r="X54" s="8">
        <v>1.37994887359957</v>
      </c>
      <c r="Y54" s="8">
        <v>1.4161524189107999</v>
      </c>
      <c r="Z54" s="8">
        <v>1.37994887359957</v>
      </c>
    </row>
    <row r="55" spans="1:26" ht="15.6" x14ac:dyDescent="0.35">
      <c r="A55" s="6">
        <v>44348</v>
      </c>
      <c r="B55" s="4">
        <v>0.9</v>
      </c>
      <c r="C55" s="3">
        <v>0.79660713618197898</v>
      </c>
      <c r="D55" s="3">
        <v>1.0532140000000001</v>
      </c>
      <c r="E55" s="3">
        <v>0.91615400000000002</v>
      </c>
      <c r="F55" s="3">
        <v>0.93946799999999997</v>
      </c>
      <c r="G55" s="3">
        <v>1.6572530000000001</v>
      </c>
      <c r="H55" s="3">
        <v>1.9715396532201599</v>
      </c>
      <c r="I55" s="3">
        <v>1.1789284373726701</v>
      </c>
      <c r="J55" s="3">
        <v>1.3111060000000001</v>
      </c>
      <c r="K55" s="3">
        <v>1.0689834303457351</v>
      </c>
      <c r="L55" s="3">
        <v>1.5954638999999999</v>
      </c>
      <c r="M55" s="3">
        <v>0.82049007112575056</v>
      </c>
      <c r="N55" s="3">
        <v>1.3107089996337891</v>
      </c>
      <c r="O55" s="3">
        <v>0.772235</v>
      </c>
      <c r="P55" s="3">
        <v>1.253916</v>
      </c>
      <c r="Q55" s="3"/>
      <c r="R55" s="8">
        <v>1.1529857406061601</v>
      </c>
      <c r="S55" s="8">
        <v>1.06898343034573</v>
      </c>
      <c r="T55" s="8">
        <v>1.253916</v>
      </c>
      <c r="U55" s="8">
        <v>1.06898343034573</v>
      </c>
      <c r="V55" s="8">
        <v>1.15042334900696</v>
      </c>
      <c r="W55" s="8">
        <v>1.1500422540825099</v>
      </c>
      <c r="X55" s="8">
        <v>1.1831814029476</v>
      </c>
      <c r="Y55" s="8">
        <v>1.15785234795225</v>
      </c>
      <c r="Z55" s="8">
        <v>1.15042334900696</v>
      </c>
    </row>
    <row r="56" spans="1:26" ht="15.6" x14ac:dyDescent="0.35">
      <c r="A56" s="6">
        <v>44440</v>
      </c>
      <c r="B56" s="4">
        <v>0.1</v>
      </c>
      <c r="C56" s="3">
        <v>1.5832175181652199</v>
      </c>
      <c r="D56" s="3">
        <v>0.57208599999999998</v>
      </c>
      <c r="E56" s="3">
        <v>0.509077</v>
      </c>
      <c r="F56" s="3">
        <v>0.59174499999999997</v>
      </c>
      <c r="G56" s="3">
        <v>-8.5339999999999999E-2</v>
      </c>
      <c r="H56" s="3">
        <v>1.1361075598983501</v>
      </c>
      <c r="I56" s="3">
        <v>0.83216766361269301</v>
      </c>
      <c r="J56" s="3">
        <v>0.94798700000000002</v>
      </c>
      <c r="K56" s="3">
        <v>1.044452737442104</v>
      </c>
      <c r="L56" s="3">
        <v>0.33896959999999998</v>
      </c>
      <c r="M56" s="3">
        <v>0.86006889859060043</v>
      </c>
      <c r="N56" s="3">
        <v>0.90601950883865356</v>
      </c>
      <c r="O56" s="3">
        <v>0.58193799999999996</v>
      </c>
      <c r="P56" s="3">
        <v>1.3136000000000001</v>
      </c>
      <c r="Q56" s="3"/>
      <c r="R56" s="8">
        <v>0.86287972973443205</v>
      </c>
      <c r="S56" s="8">
        <v>0.86006889859059998</v>
      </c>
      <c r="T56" s="8">
        <v>1.0444527374421</v>
      </c>
      <c r="U56" s="8">
        <v>0.85958930763609298</v>
      </c>
      <c r="V56" s="8">
        <v>0.942119132183178</v>
      </c>
      <c r="W56" s="8">
        <v>0.938790518564938</v>
      </c>
      <c r="X56" s="8">
        <v>0.97131381995258703</v>
      </c>
      <c r="Y56" s="8">
        <v>0.87741985975077197</v>
      </c>
      <c r="Z56" s="8">
        <v>0.87732676058151005</v>
      </c>
    </row>
    <row r="57" spans="1:26" ht="15.6" x14ac:dyDescent="0.35">
      <c r="A57" s="6">
        <v>44531</v>
      </c>
      <c r="B57" s="4">
        <v>1.4</v>
      </c>
      <c r="C57" s="3">
        <v>0.67052347367387199</v>
      </c>
      <c r="D57" s="3">
        <v>1.296681</v>
      </c>
      <c r="E57" s="3">
        <v>1.352924</v>
      </c>
      <c r="F57" s="3">
        <v>1.212161</v>
      </c>
      <c r="G57" s="3">
        <v>1.2603390000000001</v>
      </c>
      <c r="H57" s="3">
        <v>0.57351377397625602</v>
      </c>
      <c r="I57" s="3">
        <v>0.72086801551575197</v>
      </c>
      <c r="J57" s="3">
        <v>1.6957310000000001</v>
      </c>
      <c r="K57" s="3">
        <v>1.317399611871757</v>
      </c>
      <c r="L57" s="3">
        <v>0.67769425999999999</v>
      </c>
      <c r="M57" s="3">
        <v>0.74615812276216731</v>
      </c>
      <c r="N57" s="3">
        <v>0.9543006420135498</v>
      </c>
      <c r="O57" s="3">
        <v>1.7357689999999999</v>
      </c>
      <c r="P57" s="3">
        <v>1.7450129999999999</v>
      </c>
      <c r="Q57" s="3"/>
      <c r="R57" s="8">
        <v>1.1306720692164101</v>
      </c>
      <c r="S57" s="8">
        <v>1.212161</v>
      </c>
      <c r="T57" s="8">
        <v>1.352924</v>
      </c>
      <c r="U57" s="8">
        <v>1.24372687960064</v>
      </c>
      <c r="V57" s="8">
        <v>1.33771127366422</v>
      </c>
      <c r="W57" s="8">
        <v>1.33278574591256</v>
      </c>
      <c r="X57" s="8">
        <v>1.2318431366690601</v>
      </c>
      <c r="Y57" s="8">
        <v>1.1720284632162199</v>
      </c>
      <c r="Z57" s="8">
        <v>1.2333864636176599</v>
      </c>
    </row>
    <row r="58" spans="1:26" ht="15.6" x14ac:dyDescent="0.35">
      <c r="A58" s="6">
        <v>44621</v>
      </c>
      <c r="B58" s="4">
        <v>0.7</v>
      </c>
      <c r="C58" s="3">
        <v>1.23484862610723</v>
      </c>
      <c r="D58" s="3">
        <v>0.84420700000000004</v>
      </c>
      <c r="E58" s="3">
        <v>0.83652899999999997</v>
      </c>
      <c r="F58" s="3">
        <v>0.87666999999999995</v>
      </c>
      <c r="G58" s="3">
        <v>0.97516000000000003</v>
      </c>
      <c r="H58" s="3">
        <v>0.86985559481695496</v>
      </c>
      <c r="I58" s="3">
        <v>0.86538675668013598</v>
      </c>
      <c r="J58" s="3">
        <v>1.517371</v>
      </c>
      <c r="K58" s="3">
        <v>0.70775848202720226</v>
      </c>
      <c r="L58" s="3">
        <v>0.31368905000000002</v>
      </c>
      <c r="M58" s="3">
        <v>0.71986165738117502</v>
      </c>
      <c r="N58" s="3">
        <v>0.92264759540557861</v>
      </c>
      <c r="O58" s="3">
        <v>0.89302099999999995</v>
      </c>
      <c r="P58" s="3">
        <v>0.95853299999999997</v>
      </c>
      <c r="Q58" s="3"/>
      <c r="R58" s="8">
        <v>0.88925990480140504</v>
      </c>
      <c r="S58" s="8">
        <v>0.86985559481695496</v>
      </c>
      <c r="T58" s="8">
        <v>0.83652899999999997</v>
      </c>
      <c r="U58" s="8">
        <v>0.86985559481695496</v>
      </c>
      <c r="V58" s="8">
        <v>0.85608605348737699</v>
      </c>
      <c r="W58" s="8">
        <v>0.85604069575337105</v>
      </c>
      <c r="X58" s="8">
        <v>0.86703338507571204</v>
      </c>
      <c r="Y58" s="8">
        <v>0.87496437572591901</v>
      </c>
      <c r="Z58" s="8">
        <v>0.86985559481695496</v>
      </c>
    </row>
    <row r="59" spans="1:26" ht="15.6" x14ac:dyDescent="0.35">
      <c r="A59" s="6">
        <v>44713</v>
      </c>
      <c r="B59" s="4">
        <v>0.8</v>
      </c>
      <c r="C59" s="3">
        <v>0.38313601279117498</v>
      </c>
      <c r="D59" s="3">
        <v>0.37376300000000001</v>
      </c>
      <c r="E59" s="3">
        <v>0.39195000000000002</v>
      </c>
      <c r="F59" s="3">
        <v>0.449743</v>
      </c>
      <c r="G59" s="3">
        <v>1.116168</v>
      </c>
      <c r="H59" s="3">
        <v>0.75994199042972299</v>
      </c>
      <c r="I59" s="3">
        <v>0.88283035926354703</v>
      </c>
      <c r="J59" s="3">
        <v>1.2723690000000001</v>
      </c>
      <c r="K59" s="3">
        <v>0.48348105970583788</v>
      </c>
      <c r="L59" s="3">
        <v>0.71954452999999996</v>
      </c>
      <c r="M59" s="3">
        <v>0.1856769105464946</v>
      </c>
      <c r="N59" s="3">
        <v>0.6347840428352356</v>
      </c>
      <c r="O59" s="3">
        <v>0.26861099999999999</v>
      </c>
      <c r="P59" s="3">
        <v>0.56914100000000001</v>
      </c>
      <c r="Q59" s="3"/>
      <c r="R59" s="8">
        <v>0.56730553119784699</v>
      </c>
      <c r="S59" s="8">
        <v>0.48348105970583699</v>
      </c>
      <c r="T59" s="8">
        <v>0.39195000000000002</v>
      </c>
      <c r="U59" s="8">
        <v>0.482465877206113</v>
      </c>
      <c r="V59" s="8">
        <v>0.41614092353735499</v>
      </c>
      <c r="W59" s="8">
        <v>0.41980014951394701</v>
      </c>
      <c r="X59" s="8">
        <v>0.458273100464198</v>
      </c>
      <c r="Y59" s="8">
        <v>0.54574653303689002</v>
      </c>
      <c r="Z59" s="8">
        <v>0.48213108817698902</v>
      </c>
    </row>
    <row r="60" spans="1:26" ht="15.6" x14ac:dyDescent="0.35">
      <c r="A60" s="6">
        <v>44805</v>
      </c>
      <c r="B60" s="4">
        <v>0.2</v>
      </c>
      <c r="C60" s="3">
        <v>-3.5182086148525499E-2</v>
      </c>
      <c r="D60" s="3">
        <v>0.19992799999999999</v>
      </c>
      <c r="E60" s="3">
        <v>9.5254000000000005E-2</v>
      </c>
      <c r="F60" s="3">
        <v>0.34061900000000001</v>
      </c>
      <c r="G60" s="3">
        <v>1.0411699999999999</v>
      </c>
      <c r="H60" s="3">
        <v>0.28993776927535703</v>
      </c>
      <c r="I60" s="3">
        <v>0.422397806308413</v>
      </c>
      <c r="J60" s="3">
        <v>0.873112</v>
      </c>
      <c r="K60" s="3">
        <v>0.62004694232161484</v>
      </c>
      <c r="L60" s="3">
        <v>0.68461346999999995</v>
      </c>
      <c r="M60" s="3">
        <v>0.10286103469973799</v>
      </c>
      <c r="N60" s="3">
        <v>0.64097625017166138</v>
      </c>
      <c r="O60" s="3">
        <v>0.58890699999999996</v>
      </c>
      <c r="P60" s="3">
        <v>0.59603799999999996</v>
      </c>
      <c r="Q60" s="3"/>
      <c r="R60" s="8">
        <v>0.41688532204832701</v>
      </c>
      <c r="S60" s="8">
        <v>0.422397806308413</v>
      </c>
      <c r="T60" s="8">
        <v>0.19992799999999999</v>
      </c>
      <c r="U60" s="8">
        <v>0.422397806308413</v>
      </c>
      <c r="V60" s="8">
        <v>0.32125888690646098</v>
      </c>
      <c r="W60" s="8">
        <v>0.32711207081573201</v>
      </c>
      <c r="X60" s="8">
        <v>0.38130983600934698</v>
      </c>
      <c r="Y60" s="8">
        <v>0.42295401962149198</v>
      </c>
      <c r="Z60" s="8">
        <v>0.41688532204832701</v>
      </c>
    </row>
    <row r="61" spans="1:26" ht="15.6" x14ac:dyDescent="0.35">
      <c r="A61" s="6">
        <v>44896</v>
      </c>
      <c r="B61" s="4">
        <v>-0.3</v>
      </c>
      <c r="C61" s="3">
        <v>-0.80932658317772899</v>
      </c>
      <c r="D61" s="3">
        <v>-0.78486</v>
      </c>
      <c r="E61" s="3">
        <v>-0.93252999999999997</v>
      </c>
      <c r="F61" s="3">
        <v>-0.55035999999999996</v>
      </c>
      <c r="G61" s="3">
        <v>-3.764E-2</v>
      </c>
      <c r="H61" s="3">
        <v>4.3073870182066499E-3</v>
      </c>
      <c r="I61" s="3">
        <v>0.45885565076943302</v>
      </c>
      <c r="J61" s="3">
        <v>-0.43845000000000001</v>
      </c>
      <c r="K61" s="3">
        <v>4.5649433528708983E-2</v>
      </c>
      <c r="L61" s="3">
        <v>-0.58131604999999997</v>
      </c>
      <c r="M61" s="3">
        <v>0.15493006030823611</v>
      </c>
      <c r="N61" s="3">
        <v>0.28175333142280579</v>
      </c>
      <c r="O61" s="3">
        <v>-0.714974</v>
      </c>
      <c r="P61" s="3">
        <v>-0.43512099999999998</v>
      </c>
      <c r="Q61" s="3"/>
      <c r="R61" s="8">
        <v>-0.33088013616387202</v>
      </c>
      <c r="S61" s="8">
        <v>-0.43845000000000001</v>
      </c>
      <c r="T61" s="8">
        <v>-0.78486</v>
      </c>
      <c r="U61" s="8">
        <v>-0.54609930192896805</v>
      </c>
      <c r="V61" s="8">
        <v>-0.66991820538431801</v>
      </c>
      <c r="W61" s="8">
        <v>-0.66253580945547697</v>
      </c>
      <c r="X61" s="8">
        <v>-0.41945348324031201</v>
      </c>
      <c r="Y61" s="8">
        <v>-0.332630483258749</v>
      </c>
      <c r="Z61" s="8">
        <v>-0.51199163554740101</v>
      </c>
    </row>
    <row r="62" spans="1:26" ht="15.6" x14ac:dyDescent="0.35">
      <c r="C62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BCFF-D303-496B-9611-77DD8AAF0054}">
  <dimension ref="A1:Z66"/>
  <sheetViews>
    <sheetView tabSelected="1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U66" sqref="U66"/>
    </sheetView>
  </sheetViews>
  <sheetFormatPr defaultRowHeight="15.6" x14ac:dyDescent="0.35"/>
  <cols>
    <col min="1" max="1" width="14" bestFit="1" customWidth="1"/>
  </cols>
  <sheetData>
    <row r="1" spans="1:26" x14ac:dyDescent="0.35">
      <c r="A1" s="5"/>
      <c r="B1" s="4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</v>
      </c>
      <c r="H1" s="2" t="s">
        <v>10</v>
      </c>
      <c r="I1" s="2" t="s">
        <v>9</v>
      </c>
      <c r="J1" s="2" t="s">
        <v>8</v>
      </c>
      <c r="K1" s="2" t="s">
        <v>7</v>
      </c>
      <c r="L1" s="2" t="s">
        <v>6</v>
      </c>
      <c r="M1" s="2" t="s">
        <v>5</v>
      </c>
      <c r="N1" s="2" t="s">
        <v>4</v>
      </c>
      <c r="O1" s="2" t="s">
        <v>3</v>
      </c>
      <c r="P1" s="2" t="s">
        <v>2</v>
      </c>
      <c r="Q1" s="1"/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</row>
    <row r="2" spans="1:26" x14ac:dyDescent="0.35">
      <c r="A2" s="7">
        <v>39508</v>
      </c>
      <c r="B2" s="4">
        <v>0.8</v>
      </c>
      <c r="C2" t="e">
        <f>ABS(pred_GDP_now!C2-pred_GDP_now!$B2)</f>
        <v>#N/A</v>
      </c>
      <c r="D2">
        <f>ABS(pred_GDP_now!D2-pred_GDP_now!$B2)</f>
        <v>0.39474019677081595</v>
      </c>
      <c r="E2">
        <f>ABS(pred_GDP_now!E2-pred_GDP_now!$B2)</f>
        <v>0.44565759081232104</v>
      </c>
      <c r="F2" t="e">
        <f>ABS(pred_GDP_now!F2-pred_GDP_now!$B2)</f>
        <v>#N/A</v>
      </c>
      <c r="G2" t="e">
        <f>ABS(pred_GDP_now!G2-pred_GDP_now!$B2)</f>
        <v>#N/A</v>
      </c>
      <c r="H2" t="e">
        <f>ABS(pred_GDP_now!H2-pred_GDP_now!$B2)</f>
        <v>#N/A</v>
      </c>
      <c r="I2" t="e">
        <f>ABS(pred_GDP_now!I2-pred_GDP_now!$B2)</f>
        <v>#N/A</v>
      </c>
      <c r="J2" t="e">
        <f>ABS(pred_GDP_now!J2-pred_GDP_now!$B2)</f>
        <v>#N/A</v>
      </c>
      <c r="K2">
        <f>ABS(pred_GDP_now!K2-pred_GDP_now!$B2)</f>
        <v>0.24577682730954487</v>
      </c>
      <c r="L2" t="e">
        <f>ABS(pred_GDP_now!L2-pred_GDP_now!$B2)</f>
        <v>#N/A</v>
      </c>
      <c r="M2">
        <f>ABS(pred_GDP_now!M2-pred_GDP_now!$B2)</f>
        <v>0.756403007906715</v>
      </c>
      <c r="N2">
        <f>ABS(pred_GDP_now!N2-pred_GDP_now!$B2)</f>
        <v>0.64449388980865496</v>
      </c>
      <c r="O2">
        <f>ABS(pred_GDP_now!O2-pred_GDP_now!$B2)</f>
        <v>0.39610491223946886</v>
      </c>
      <c r="P2">
        <f>ABS(pred_GDP_now!P2-pred_GDP_now!$B2)</f>
        <v>0.26118232929755991</v>
      </c>
      <c r="R2">
        <f>ABS(pred_GDP_now!R2-pred_GDP_now!$B2)</f>
        <v>0.4491941077350099</v>
      </c>
      <c r="S2">
        <f>ABS(pred_GDP_now!S2-pred_GDP_now!$B2)</f>
        <v>0.39610491223945998</v>
      </c>
      <c r="T2">
        <f>ABS(pred_GDP_now!T2-pred_GDP_now!$B2)</f>
        <v>0.4491941077350099</v>
      </c>
      <c r="U2">
        <f>ABS(pred_GDP_now!U2-pred_GDP_now!$B2)</f>
        <v>0.39610491223945998</v>
      </c>
      <c r="V2">
        <f>ABS(pred_GDP_now!V2-pred_GDP_now!$B2)</f>
        <v>0.4491941077350099</v>
      </c>
      <c r="W2">
        <f>ABS(pred_GDP_now!W2-pred_GDP_now!$B2)</f>
        <v>0.4491941077350099</v>
      </c>
      <c r="X2">
        <f>ABS(pred_GDP_now!X2-pred_GDP_now!$B2)</f>
        <v>0.4491941077350099</v>
      </c>
      <c r="Y2">
        <f>ABS(pred_GDP_now!Y2-pred_GDP_now!$B2)</f>
        <v>0.4491941077350099</v>
      </c>
      <c r="Z2">
        <f>ABS(pred_GDP_now!Z2-pred_GDP_now!$B2)</f>
        <v>0.4491941077350099</v>
      </c>
    </row>
    <row r="3" spans="1:26" x14ac:dyDescent="0.35">
      <c r="A3" s="7">
        <v>39600</v>
      </c>
      <c r="B3" s="4">
        <v>0.4</v>
      </c>
      <c r="C3" t="e">
        <f>ABS(pred_GDP_now!C3-pred_GDP_now!$B3)</f>
        <v>#N/A</v>
      </c>
      <c r="D3">
        <f>ABS(pred_GDP_now!D3-pred_GDP_now!$B3)</f>
        <v>0.24868950959713343</v>
      </c>
      <c r="E3">
        <f>ABS(pred_GDP_now!E3-pred_GDP_now!$B3)</f>
        <v>0.29556961792773817</v>
      </c>
      <c r="F3" t="e">
        <f>ABS(pred_GDP_now!F3-pred_GDP_now!$B3)</f>
        <v>#N/A</v>
      </c>
      <c r="G3" t="e">
        <f>ABS(pred_GDP_now!G3-pred_GDP_now!$B3)</f>
        <v>#N/A</v>
      </c>
      <c r="H3" t="e">
        <f>ABS(pred_GDP_now!H3-pred_GDP_now!$B3)</f>
        <v>#N/A</v>
      </c>
      <c r="I3" t="e">
        <f>ABS(pred_GDP_now!I3-pred_GDP_now!$B3)</f>
        <v>#N/A</v>
      </c>
      <c r="J3" t="e">
        <f>ABS(pred_GDP_now!J3-pred_GDP_now!$B3)</f>
        <v>#N/A</v>
      </c>
      <c r="K3">
        <f>ABS(pred_GDP_now!K3-pred_GDP_now!$B3)</f>
        <v>0.99104007927076287</v>
      </c>
      <c r="L3" t="e">
        <f>ABS(pred_GDP_now!L3-pred_GDP_now!$B3)</f>
        <v>#N/A</v>
      </c>
      <c r="M3">
        <f>ABS(pred_GDP_now!M3-pred_GDP_now!$B3)</f>
        <v>0.42049323663713267</v>
      </c>
      <c r="N3">
        <f>ABS(pred_GDP_now!N3-pred_GDP_now!$B3)</f>
        <v>0.967214679718018</v>
      </c>
      <c r="O3">
        <f>ABS(pred_GDP_now!O3-pred_GDP_now!$B3)</f>
        <v>1.0113269844507111</v>
      </c>
      <c r="P3">
        <f>ABS(pred_GDP_now!P3-pred_GDP_now!$B3)</f>
        <v>2.0287457337572219</v>
      </c>
      <c r="R3">
        <f>ABS(pred_GDP_now!R3-pred_GDP_now!$B3)</f>
        <v>0.85186854876553009</v>
      </c>
      <c r="S3">
        <f>ABS(pred_GDP_now!S3-pred_GDP_now!$B3)</f>
        <v>0.96721467971801001</v>
      </c>
      <c r="T3">
        <f>ABS(pred_GDP_now!T3-pred_GDP_now!$B3)</f>
        <v>0.85186854876553009</v>
      </c>
      <c r="U3">
        <f>ABS(pred_GDP_now!U3-pred_GDP_now!$B3)</f>
        <v>1.0109397832775198</v>
      </c>
      <c r="V3">
        <f>ABS(pred_GDP_now!V3-pred_GDP_now!$B3)</f>
        <v>0.85186854876553009</v>
      </c>
      <c r="W3">
        <f>ABS(pred_GDP_now!W3-pred_GDP_now!$B3)</f>
        <v>0.85186854876553009</v>
      </c>
      <c r="X3">
        <f>ABS(pred_GDP_now!X3-pred_GDP_now!$B3)</f>
        <v>0.85186854876553009</v>
      </c>
      <c r="Y3">
        <f>ABS(pred_GDP_now!Y3-pred_GDP_now!$B3)</f>
        <v>0.85186854876553009</v>
      </c>
      <c r="Z3">
        <f>ABS(pred_GDP_now!Z3-pred_GDP_now!$B3)</f>
        <v>2.0287457337572201</v>
      </c>
    </row>
    <row r="4" spans="1:26" x14ac:dyDescent="0.35">
      <c r="A4" s="7">
        <v>39692</v>
      </c>
      <c r="B4" s="4">
        <v>0.7</v>
      </c>
      <c r="C4" t="e">
        <f>ABS(pred_GDP_now!C4-pred_GDP_now!$B4)</f>
        <v>#N/A</v>
      </c>
      <c r="D4">
        <f>ABS(pred_GDP_now!D4-pred_GDP_now!$B4)</f>
        <v>0.4391835693801871</v>
      </c>
      <c r="E4">
        <f>ABS(pred_GDP_now!E4-pred_GDP_now!$B4)</f>
        <v>0.23274087488595119</v>
      </c>
      <c r="F4" t="e">
        <f>ABS(pred_GDP_now!F4-pred_GDP_now!$B4)</f>
        <v>#N/A</v>
      </c>
      <c r="G4" t="e">
        <f>ABS(pred_GDP_now!G4-pred_GDP_now!$B4)</f>
        <v>#N/A</v>
      </c>
      <c r="H4" t="e">
        <f>ABS(pred_GDP_now!H4-pred_GDP_now!$B4)</f>
        <v>#N/A</v>
      </c>
      <c r="I4" t="e">
        <f>ABS(pred_GDP_now!I4-pred_GDP_now!$B4)</f>
        <v>#N/A</v>
      </c>
      <c r="J4" t="e">
        <f>ABS(pred_GDP_now!J4-pred_GDP_now!$B4)</f>
        <v>#N/A</v>
      </c>
      <c r="K4">
        <f>ABS(pred_GDP_now!K4-pred_GDP_now!$B4)</f>
        <v>0.32731186127272505</v>
      </c>
      <c r="L4" t="e">
        <f>ABS(pred_GDP_now!L4-pred_GDP_now!$B4)</f>
        <v>#N/A</v>
      </c>
      <c r="M4">
        <f>ABS(pred_GDP_now!M4-pred_GDP_now!$B4)</f>
        <v>0.32548458429960214</v>
      </c>
      <c r="N4">
        <f>ABS(pred_GDP_now!N4-pred_GDP_now!$B4)</f>
        <v>0.61948888301849414</v>
      </c>
      <c r="O4">
        <f>ABS(pred_GDP_now!O4-pred_GDP_now!$B4)</f>
        <v>0.49571831570094738</v>
      </c>
      <c r="P4">
        <f>ABS(pred_GDP_now!P4-pred_GDP_now!$B4)</f>
        <v>1.4428596788744918</v>
      </c>
      <c r="R4">
        <f>ABS(pred_GDP_now!R4-pred_GDP_now!$B4)</f>
        <v>0.41305016229006997</v>
      </c>
      <c r="S4">
        <f>ABS(pred_GDP_now!S4-pred_GDP_now!$B4)</f>
        <v>0.32731186127271994</v>
      </c>
      <c r="T4">
        <f>ABS(pred_GDP_now!T4-pred_GDP_now!$B4)</f>
        <v>0.41305016229006997</v>
      </c>
      <c r="U4">
        <f>ABS(pred_GDP_now!U4-pred_GDP_now!$B4)</f>
        <v>0.32731186127271994</v>
      </c>
      <c r="V4">
        <f>ABS(pred_GDP_now!V4-pred_GDP_now!$B4)</f>
        <v>0.41305016229006997</v>
      </c>
      <c r="W4">
        <f>ABS(pred_GDP_now!W4-pred_GDP_now!$B4)</f>
        <v>0.41305016229006997</v>
      </c>
      <c r="X4">
        <f>ABS(pred_GDP_now!X4-pred_GDP_now!$B4)</f>
        <v>0.41305016229006997</v>
      </c>
      <c r="Y4">
        <f>ABS(pred_GDP_now!Y4-pred_GDP_now!$B4)</f>
        <v>0.41305016229006997</v>
      </c>
      <c r="Z4">
        <f>ABS(pred_GDP_now!Z4-pred_GDP_now!$B4)</f>
        <v>0.41305016229006997</v>
      </c>
    </row>
    <row r="5" spans="1:26" x14ac:dyDescent="0.35">
      <c r="A5" s="7">
        <v>39783</v>
      </c>
      <c r="B5" s="4">
        <v>-3.4</v>
      </c>
      <c r="C5" t="e">
        <f>ABS(pred_GDP_now!C5-pred_GDP_now!$B5)</f>
        <v>#N/A</v>
      </c>
      <c r="D5">
        <f>ABS(pred_GDP_now!D5-pred_GDP_now!$B5)</f>
        <v>4.4015323860599782</v>
      </c>
      <c r="E5">
        <f>ABS(pred_GDP_now!E5-pred_GDP_now!$B5)</f>
        <v>4.8010616120549097</v>
      </c>
      <c r="F5" t="e">
        <f>ABS(pred_GDP_now!F5-pred_GDP_now!$B5)</f>
        <v>#N/A</v>
      </c>
      <c r="G5" t="e">
        <f>ABS(pred_GDP_now!G5-pred_GDP_now!$B5)</f>
        <v>#N/A</v>
      </c>
      <c r="H5" t="e">
        <f>ABS(pred_GDP_now!H5-pred_GDP_now!$B5)</f>
        <v>#N/A</v>
      </c>
      <c r="I5" t="e">
        <f>ABS(pred_GDP_now!I5-pred_GDP_now!$B5)</f>
        <v>#N/A</v>
      </c>
      <c r="J5" t="e">
        <f>ABS(pred_GDP_now!J5-pred_GDP_now!$B5)</f>
        <v>#N/A</v>
      </c>
      <c r="K5">
        <f>ABS(pred_GDP_now!K5-pred_GDP_now!$B5)</f>
        <v>3.7866863485591655</v>
      </c>
      <c r="L5" t="e">
        <f>ABS(pred_GDP_now!L5-pred_GDP_now!$B5)</f>
        <v>#N/A</v>
      </c>
      <c r="M5">
        <f>ABS(pred_GDP_now!M5-pred_GDP_now!$B5)</f>
        <v>4.1054163086077962</v>
      </c>
      <c r="N5">
        <f>ABS(pred_GDP_now!N5-pred_GDP_now!$B5)</f>
        <v>4.6847210168838505</v>
      </c>
      <c r="O5">
        <f>ABS(pred_GDP_now!O5-pred_GDP_now!$B5)</f>
        <v>1.1791404990967407</v>
      </c>
      <c r="P5">
        <f>ABS(pred_GDP_now!P5-pred_GDP_now!$B5)</f>
        <v>1.5185215987861469</v>
      </c>
      <c r="R5">
        <f>ABS(pred_GDP_now!R5-pred_GDP_now!$B5)</f>
        <v>3.159828395979301</v>
      </c>
      <c r="S5">
        <f>ABS(pred_GDP_now!S5-pred_GDP_now!$B5)</f>
        <v>4.1054163086077962</v>
      </c>
      <c r="T5">
        <f>ABS(pred_GDP_now!T5-pred_GDP_now!$B5)</f>
        <v>3.159828395979301</v>
      </c>
      <c r="U5">
        <f>ABS(pred_GDP_now!U5-pred_GDP_now!$B5)</f>
        <v>1.1791404990967398</v>
      </c>
      <c r="V5">
        <f>ABS(pred_GDP_now!V5-pred_GDP_now!$B5)</f>
        <v>3.159828395979301</v>
      </c>
      <c r="W5">
        <f>ABS(pred_GDP_now!W5-pred_GDP_now!$B5)</f>
        <v>3.159828395979301</v>
      </c>
      <c r="X5">
        <f>ABS(pred_GDP_now!X5-pred_GDP_now!$B5)</f>
        <v>3.159828395979301</v>
      </c>
      <c r="Y5">
        <f>ABS(pred_GDP_now!Y5-pred_GDP_now!$B5)</f>
        <v>3.159828395979301</v>
      </c>
      <c r="Z5">
        <f>ABS(pred_GDP_now!Z5-pred_GDP_now!$B5)</f>
        <v>1.1791404990967398</v>
      </c>
    </row>
    <row r="6" spans="1:26" x14ac:dyDescent="0.35">
      <c r="A6" s="7">
        <v>39873</v>
      </c>
      <c r="B6" s="4">
        <v>0.3</v>
      </c>
      <c r="C6" t="e">
        <f>ABS(pred_GDP_now!C6-pred_GDP_now!$B6)</f>
        <v>#N/A</v>
      </c>
      <c r="D6">
        <f>ABS(pred_GDP_now!D6-pred_GDP_now!$B6)</f>
        <v>0.51367566878487447</v>
      </c>
      <c r="E6">
        <f>ABS(pred_GDP_now!E6-pred_GDP_now!$B6)</f>
        <v>3.2150608504238791</v>
      </c>
      <c r="F6" t="e">
        <f>ABS(pred_GDP_now!F6-pred_GDP_now!$B6)</f>
        <v>#N/A</v>
      </c>
      <c r="G6" t="e">
        <f>ABS(pred_GDP_now!G6-pred_GDP_now!$B6)</f>
        <v>#N/A</v>
      </c>
      <c r="H6" t="e">
        <f>ABS(pred_GDP_now!H6-pred_GDP_now!$B6)</f>
        <v>#N/A</v>
      </c>
      <c r="I6" t="e">
        <f>ABS(pred_GDP_now!I6-pred_GDP_now!$B6)</f>
        <v>#N/A</v>
      </c>
      <c r="J6" t="e">
        <f>ABS(pred_GDP_now!J6-pred_GDP_now!$B6)</f>
        <v>#N/A</v>
      </c>
      <c r="K6">
        <f>ABS(pred_GDP_now!K6-pred_GDP_now!$B6)</f>
        <v>0.1655375624443344</v>
      </c>
      <c r="L6" t="e">
        <f>ABS(pred_GDP_now!L6-pred_GDP_now!$B6)</f>
        <v>#N/A</v>
      </c>
      <c r="M6">
        <f>ABS(pred_GDP_now!M6-pred_GDP_now!$B6)</f>
        <v>6.4238146962025011E-2</v>
      </c>
      <c r="N6">
        <f>ABS(pred_GDP_now!N6-pred_GDP_now!$B6)</f>
        <v>0.1403483778238297</v>
      </c>
      <c r="O6">
        <f>ABS(pred_GDP_now!O6-pred_GDP_now!$B6)</f>
        <v>0.65120519708786673</v>
      </c>
      <c r="P6">
        <f>ABS(pred_GDP_now!P6-pred_GDP_now!$B6)</f>
        <v>0.16065137204098423</v>
      </c>
      <c r="R6">
        <f>ABS(pred_GDP_now!R6-pred_GDP_now!$B6)</f>
        <v>0.42807641440796101</v>
      </c>
      <c r="S6">
        <f>ABS(pred_GDP_now!S6-pred_GDP_now!$B6)</f>
        <v>6.4238146962025011E-2</v>
      </c>
      <c r="T6">
        <f>ABS(pred_GDP_now!T6-pred_GDP_now!$B6)</f>
        <v>0.16553756244433498</v>
      </c>
      <c r="U6">
        <f>ABS(pred_GDP_now!U6-pred_GDP_now!$B6)</f>
        <v>6.4238146962025011E-2</v>
      </c>
      <c r="V6">
        <f>ABS(pred_GDP_now!V6-pred_GDP_now!$B6)</f>
        <v>0.26894140286644203</v>
      </c>
      <c r="W6">
        <f>ABS(pred_GDP_now!W6-pred_GDP_now!$B6)</f>
        <v>0.27711645894998099</v>
      </c>
      <c r="X6">
        <f>ABS(pred_GDP_now!X6-pred_GDP_now!$B6)</f>
        <v>8.5256508307916978E-2</v>
      </c>
      <c r="Y6">
        <f>ABS(pred_GDP_now!Y6-pred_GDP_now!$B6)</f>
        <v>0.44628539754239799</v>
      </c>
      <c r="Z6">
        <f>ABS(pred_GDP_now!Z6-pred_GDP_now!$B6)</f>
        <v>6.4238146962025011E-2</v>
      </c>
    </row>
    <row r="7" spans="1:26" x14ac:dyDescent="0.35">
      <c r="A7" s="7">
        <v>39965</v>
      </c>
      <c r="B7" s="4">
        <v>1.4</v>
      </c>
      <c r="C7" t="e">
        <f>ABS(pred_GDP_now!C7-pred_GDP_now!$B7)</f>
        <v>#N/A</v>
      </c>
      <c r="D7">
        <f>ABS(pred_GDP_now!D7-pred_GDP_now!$B7)</f>
        <v>2.3425846832068289</v>
      </c>
      <c r="E7">
        <f>ABS(pred_GDP_now!E7-pred_GDP_now!$B7)</f>
        <v>0.49062784878455412</v>
      </c>
      <c r="F7" t="e">
        <f>ABS(pred_GDP_now!F7-pred_GDP_now!$B7)</f>
        <v>#N/A</v>
      </c>
      <c r="G7" t="e">
        <f>ABS(pred_GDP_now!G7-pred_GDP_now!$B7)</f>
        <v>#N/A</v>
      </c>
      <c r="H7" t="e">
        <f>ABS(pred_GDP_now!H7-pred_GDP_now!$B7)</f>
        <v>#N/A</v>
      </c>
      <c r="I7" t="e">
        <f>ABS(pred_GDP_now!I7-pred_GDP_now!$B7)</f>
        <v>#N/A</v>
      </c>
      <c r="J7" t="e">
        <f>ABS(pred_GDP_now!J7-pred_GDP_now!$B7)</f>
        <v>#N/A</v>
      </c>
      <c r="K7">
        <f>ABS(pred_GDP_now!K7-pred_GDP_now!$B7)</f>
        <v>1.090717487125604</v>
      </c>
      <c r="L7" t="e">
        <f>ABS(pred_GDP_now!L7-pred_GDP_now!$B7)</f>
        <v>#N/A</v>
      </c>
      <c r="M7">
        <f>ABS(pred_GDP_now!M7-pred_GDP_now!$B7)</f>
        <v>5.2238486971605047E-2</v>
      </c>
      <c r="N7">
        <f>ABS(pred_GDP_now!N7-pred_GDP_now!$B7)</f>
        <v>0.12828662395477286</v>
      </c>
      <c r="O7">
        <f>ABS(pred_GDP_now!O7-pred_GDP_now!$B7)</f>
        <v>0.97905556613458522</v>
      </c>
      <c r="P7">
        <f>ABS(pred_GDP_now!P7-pred_GDP_now!$B7)</f>
        <v>1.621819361176426</v>
      </c>
      <c r="R7">
        <f>ABS(pred_GDP_now!R7-pred_GDP_now!$B7)</f>
        <v>0.92125097277782997</v>
      </c>
      <c r="S7">
        <f>ABS(pred_GDP_now!S7-pred_GDP_now!$B7)</f>
        <v>0.97905556613457989</v>
      </c>
      <c r="T7">
        <f>ABS(pred_GDP_now!T7-pred_GDP_now!$B7)</f>
        <v>0.97905556613457989</v>
      </c>
      <c r="U7">
        <f>ABS(pred_GDP_now!U7-pred_GDP_now!$B7)</f>
        <v>0.97905556613457989</v>
      </c>
      <c r="V7">
        <f>ABS(pred_GDP_now!V7-pred_GDP_now!$B7)</f>
        <v>0.96743806569598023</v>
      </c>
      <c r="W7">
        <f>ABS(pred_GDP_now!W7-pred_GDP_now!$B7)</f>
        <v>0.96523701244014015</v>
      </c>
      <c r="X7">
        <f>ABS(pred_GDP_now!X7-pred_GDP_now!$B7)</f>
        <v>1.0298610095823602</v>
      </c>
      <c r="Y7">
        <f>ABS(pred_GDP_now!Y7-pred_GDP_now!$B7)</f>
        <v>1.0937861626408703</v>
      </c>
      <c r="Z7">
        <f>ABS(pred_GDP_now!Z7-pred_GDP_now!$B7)</f>
        <v>0.97905556613457989</v>
      </c>
    </row>
    <row r="8" spans="1:26" x14ac:dyDescent="0.35">
      <c r="A8" s="7">
        <v>40057</v>
      </c>
      <c r="B8" s="4">
        <v>3.1</v>
      </c>
      <c r="C8" t="e">
        <f>ABS(pred_GDP_now!C8-pred_GDP_now!$B8)</f>
        <v>#N/A</v>
      </c>
      <c r="D8">
        <f>ABS(pred_GDP_now!D8-pred_GDP_now!$B8)</f>
        <v>0.37553811073346699</v>
      </c>
      <c r="E8">
        <f>ABS(pred_GDP_now!E8-pred_GDP_now!$B8)</f>
        <v>1.1985726888484072</v>
      </c>
      <c r="F8" t="e">
        <f>ABS(pred_GDP_now!F8-pred_GDP_now!$B8)</f>
        <v>#N/A</v>
      </c>
      <c r="G8" t="e">
        <f>ABS(pred_GDP_now!G8-pred_GDP_now!$B8)</f>
        <v>#N/A</v>
      </c>
      <c r="H8" t="e">
        <f>ABS(pred_GDP_now!H8-pred_GDP_now!$B8)</f>
        <v>#N/A</v>
      </c>
      <c r="I8" t="e">
        <f>ABS(pred_GDP_now!I8-pred_GDP_now!$B8)</f>
        <v>#N/A</v>
      </c>
      <c r="J8" t="e">
        <f>ABS(pred_GDP_now!J8-pred_GDP_now!$B8)</f>
        <v>#N/A</v>
      </c>
      <c r="K8">
        <f>ABS(pred_GDP_now!K8-pred_GDP_now!$B8)</f>
        <v>1.3687964102871342</v>
      </c>
      <c r="L8" t="e">
        <f>ABS(pred_GDP_now!L8-pred_GDP_now!$B8)</f>
        <v>#N/A</v>
      </c>
      <c r="M8">
        <f>ABS(pred_GDP_now!M8-pred_GDP_now!$B8)</f>
        <v>1.7605981389693421</v>
      </c>
      <c r="N8">
        <f>ABS(pred_GDP_now!N8-pred_GDP_now!$B8)</f>
        <v>1.829672193527222</v>
      </c>
      <c r="O8">
        <f>ABS(pred_GDP_now!O8-pred_GDP_now!$B8)</f>
        <v>1.9003836382879511</v>
      </c>
      <c r="P8">
        <f>ABS(pred_GDP_now!P8-pred_GDP_now!$B8)</f>
        <v>1.343116105410987</v>
      </c>
      <c r="R8">
        <f>ABS(pred_GDP_now!R8-pred_GDP_now!$B8)</f>
        <v>1.2893715806568</v>
      </c>
      <c r="S8">
        <f>ABS(pred_GDP_now!S8-pred_GDP_now!$B8)</f>
        <v>1.3687964102871402</v>
      </c>
      <c r="T8">
        <f>ABS(pred_GDP_now!T8-pred_GDP_now!$B8)</f>
        <v>1.7605981389693501</v>
      </c>
      <c r="U8">
        <f>ABS(pred_GDP_now!U8-pred_GDP_now!$B8)</f>
        <v>1.3687964102871402</v>
      </c>
      <c r="V8">
        <f>ABS(pred_GDP_now!V8-pred_GDP_now!$B8)</f>
        <v>1.34517367685252</v>
      </c>
      <c r="W8">
        <f>ABS(pred_GDP_now!W8-pred_GDP_now!$B8)</f>
        <v>1.3423583509838501</v>
      </c>
      <c r="X8">
        <f>ABS(pred_GDP_now!X8-pred_GDP_now!$B8)</f>
        <v>1.5690987755590702</v>
      </c>
      <c r="Y8">
        <f>ABS(pred_GDP_now!Y8-pred_GDP_now!$B8)</f>
        <v>1.73491749251102</v>
      </c>
      <c r="Z8">
        <f>ABS(pred_GDP_now!Z8-pred_GDP_now!$B8)</f>
        <v>1.7461744585132901</v>
      </c>
    </row>
    <row r="9" spans="1:26" x14ac:dyDescent="0.35">
      <c r="A9" s="7">
        <v>40148</v>
      </c>
      <c r="B9" s="4">
        <v>0.7</v>
      </c>
      <c r="C9" t="e">
        <f>ABS(pred_GDP_now!C9-pred_GDP_now!$B9)</f>
        <v>#N/A</v>
      </c>
      <c r="D9">
        <f>ABS(pred_GDP_now!D9-pred_GDP_now!$B9)</f>
        <v>2.4672885573845731</v>
      </c>
      <c r="E9">
        <f>ABS(pred_GDP_now!E9-pred_GDP_now!$B9)</f>
        <v>2.5175471089665562</v>
      </c>
      <c r="F9" t="e">
        <f>ABS(pred_GDP_now!F9-pred_GDP_now!$B9)</f>
        <v>#N/A</v>
      </c>
      <c r="G9" t="e">
        <f>ABS(pred_GDP_now!G9-pred_GDP_now!$B9)</f>
        <v>#N/A</v>
      </c>
      <c r="H9" t="e">
        <f>ABS(pred_GDP_now!H9-pred_GDP_now!$B9)</f>
        <v>#N/A</v>
      </c>
      <c r="I9" t="e">
        <f>ABS(pred_GDP_now!I9-pred_GDP_now!$B9)</f>
        <v>#N/A</v>
      </c>
      <c r="J9" t="e">
        <f>ABS(pred_GDP_now!J9-pred_GDP_now!$B9)</f>
        <v>#N/A</v>
      </c>
      <c r="K9">
        <f>ABS(pred_GDP_now!K9-pred_GDP_now!$B9)</f>
        <v>1.293597273790954</v>
      </c>
      <c r="L9" t="e">
        <f>ABS(pred_GDP_now!L9-pred_GDP_now!$B9)</f>
        <v>#N/A</v>
      </c>
      <c r="M9">
        <f>ABS(pred_GDP_now!M9-pred_GDP_now!$B9)</f>
        <v>1.1420644665231361</v>
      </c>
      <c r="N9">
        <f>ABS(pred_GDP_now!N9-pred_GDP_now!$B9)</f>
        <v>0.66756038665771511</v>
      </c>
      <c r="O9">
        <f>ABS(pred_GDP_now!O9-pred_GDP_now!$B9)</f>
        <v>2.1237988087500881E-2</v>
      </c>
      <c r="P9">
        <f>ABS(pred_GDP_now!P9-pred_GDP_now!$B9)</f>
        <v>0.7138470521027811</v>
      </c>
      <c r="R9">
        <f>ABS(pred_GDP_now!R9-pred_GDP_now!$B9)</f>
        <v>1.2604489762161701</v>
      </c>
      <c r="S9">
        <f>ABS(pred_GDP_now!S9-pred_GDP_now!$B9)</f>
        <v>1.1420644665231301</v>
      </c>
      <c r="T9">
        <f>ABS(pred_GDP_now!T9-pred_GDP_now!$B9)</f>
        <v>0.71384705210277999</v>
      </c>
      <c r="U9">
        <f>ABS(pred_GDP_now!U9-pred_GDP_now!$B9)</f>
        <v>1.98292176499555</v>
      </c>
      <c r="V9">
        <f>ABS(pred_GDP_now!V9-pred_GDP_now!$B9)</f>
        <v>1.13963482879584</v>
      </c>
      <c r="W9">
        <f>ABS(pred_GDP_now!W9-pred_GDP_now!$B9)</f>
        <v>1.14565503097691</v>
      </c>
      <c r="X9">
        <f>ABS(pred_GDP_now!X9-pred_GDP_now!$B9)</f>
        <v>0.83944084743147007</v>
      </c>
      <c r="Y9">
        <f>ABS(pred_GDP_now!Y9-pred_GDP_now!$B9)</f>
        <v>0.40510095374442012</v>
      </c>
      <c r="Z9">
        <f>ABS(pred_GDP_now!Z9-pred_GDP_now!$B9)</f>
        <v>1.1440181496172701</v>
      </c>
    </row>
    <row r="10" spans="1:26" x14ac:dyDescent="0.35">
      <c r="A10" s="7">
        <v>40238</v>
      </c>
      <c r="B10" s="4">
        <v>2.2999999999999998</v>
      </c>
      <c r="C10" t="e">
        <f>ABS(pred_GDP_now!C10-pred_GDP_now!$B10)</f>
        <v>#N/A</v>
      </c>
      <c r="D10">
        <f>ABS(pred_GDP_now!D10-pred_GDP_now!$B10)</f>
        <v>5.8816128160690262E-2</v>
      </c>
      <c r="E10">
        <f>ABS(pred_GDP_now!E10-pred_GDP_now!$B10)</f>
        <v>0.80071575082672775</v>
      </c>
      <c r="F10" t="e">
        <f>ABS(pred_GDP_now!F10-pred_GDP_now!$B10)</f>
        <v>#N/A</v>
      </c>
      <c r="G10" t="e">
        <f>ABS(pred_GDP_now!G10-pred_GDP_now!$B10)</f>
        <v>#N/A</v>
      </c>
      <c r="H10" t="e">
        <f>ABS(pred_GDP_now!H10-pred_GDP_now!$B10)</f>
        <v>#N/A</v>
      </c>
      <c r="I10" t="e">
        <f>ABS(pred_GDP_now!I10-pred_GDP_now!$B10)</f>
        <v>#N/A</v>
      </c>
      <c r="J10" t="e">
        <f>ABS(pred_GDP_now!J10-pred_GDP_now!$B10)</f>
        <v>#N/A</v>
      </c>
      <c r="K10">
        <f>ABS(pred_GDP_now!K10-pred_GDP_now!$B10)</f>
        <v>0.56348594089065673</v>
      </c>
      <c r="L10" t="e">
        <f>ABS(pred_GDP_now!L10-pred_GDP_now!$B10)</f>
        <v>#N/A</v>
      </c>
      <c r="M10">
        <f>ABS(pred_GDP_now!M10-pred_GDP_now!$B10)</f>
        <v>1.0699217635663698</v>
      </c>
      <c r="N10">
        <f>ABS(pred_GDP_now!N10-pred_GDP_now!$B10)</f>
        <v>0.95073394775390585</v>
      </c>
      <c r="O10">
        <f>ABS(pred_GDP_now!O10-pred_GDP_now!$B10)</f>
        <v>1.7545345650719952</v>
      </c>
      <c r="P10">
        <f>ABS(pred_GDP_now!P10-pred_GDP_now!$B10)</f>
        <v>0.24707693530676789</v>
      </c>
      <c r="R10">
        <f>ABS(pred_GDP_now!R10-pred_GDP_now!$B10)</f>
        <v>0.76109325360796976</v>
      </c>
      <c r="S10">
        <f>ABS(pred_GDP_now!S10-pred_GDP_now!$B10)</f>
        <v>0.80071575082672974</v>
      </c>
      <c r="T10">
        <f>ABS(pred_GDP_now!T10-pred_GDP_now!$B10)</f>
        <v>1.0699217635663698</v>
      </c>
      <c r="U10">
        <f>ABS(pred_GDP_now!U10-pred_GDP_now!$B10)</f>
        <v>0.80071575082672974</v>
      </c>
      <c r="V10">
        <f>ABS(pred_GDP_now!V10-pred_GDP_now!$B10)</f>
        <v>0.81034210585988986</v>
      </c>
      <c r="W10">
        <f>ABS(pred_GDP_now!W10-pred_GDP_now!$B10)</f>
        <v>0.80809075092500993</v>
      </c>
      <c r="X10">
        <f>ABS(pred_GDP_now!X10-pred_GDP_now!$B10)</f>
        <v>0.84778619767896979</v>
      </c>
      <c r="Y10">
        <f>ABS(pred_GDP_now!Y10-pred_GDP_now!$B10)</f>
        <v>0.88870646736467984</v>
      </c>
      <c r="Z10">
        <f>ABS(pred_GDP_now!Z10-pred_GDP_now!$B10)</f>
        <v>0.80809075092500993</v>
      </c>
    </row>
    <row r="11" spans="1:26" x14ac:dyDescent="0.35">
      <c r="A11" s="7">
        <v>40330</v>
      </c>
      <c r="B11" s="4">
        <v>1.6</v>
      </c>
      <c r="C11" t="e">
        <f>ABS(pred_GDP_now!C11-pred_GDP_now!$B11)</f>
        <v>#N/A</v>
      </c>
      <c r="D11">
        <f>ABS(pred_GDP_now!D11-pred_GDP_now!$B11)</f>
        <v>0.53295288013028985</v>
      </c>
      <c r="E11">
        <f>ABS(pred_GDP_now!E11-pred_GDP_now!$B11)</f>
        <v>0.106900762631847</v>
      </c>
      <c r="F11" t="e">
        <f>ABS(pred_GDP_now!F11-pred_GDP_now!$B11)</f>
        <v>#N/A</v>
      </c>
      <c r="G11" t="e">
        <f>ABS(pred_GDP_now!G11-pred_GDP_now!$B11)</f>
        <v>#N/A</v>
      </c>
      <c r="H11" t="e">
        <f>ABS(pred_GDP_now!H11-pred_GDP_now!$B11)</f>
        <v>#N/A</v>
      </c>
      <c r="I11" t="e">
        <f>ABS(pred_GDP_now!I11-pred_GDP_now!$B11)</f>
        <v>#N/A</v>
      </c>
      <c r="J11" t="e">
        <f>ABS(pred_GDP_now!J11-pred_GDP_now!$B11)</f>
        <v>#N/A</v>
      </c>
      <c r="K11">
        <f>ABS(pred_GDP_now!K11-pred_GDP_now!$B11)</f>
        <v>5.880594801871819E-2</v>
      </c>
      <c r="L11" t="e">
        <f>ABS(pred_GDP_now!L11-pred_GDP_now!$B11)</f>
        <v>#N/A</v>
      </c>
      <c r="M11">
        <f>ABS(pred_GDP_now!M11-pred_GDP_now!$B11)</f>
        <v>0.20529244174587102</v>
      </c>
      <c r="N11">
        <f>ABS(pred_GDP_now!N11-pred_GDP_now!$B11)</f>
        <v>0.65450767278671274</v>
      </c>
      <c r="O11">
        <f>ABS(pred_GDP_now!O11-pred_GDP_now!$B11)</f>
        <v>0.51551036443153775</v>
      </c>
      <c r="P11">
        <f>ABS(pred_GDP_now!P11-pred_GDP_now!$B11)</f>
        <v>0.57221209273386409</v>
      </c>
      <c r="R11">
        <f>ABS(pred_GDP_now!R11-pred_GDP_now!$B11)</f>
        <v>0.11556714819659986</v>
      </c>
      <c r="S11">
        <f>ABS(pred_GDP_now!S11-pred_GDP_now!$B11)</f>
        <v>0.1069007626318399</v>
      </c>
      <c r="T11">
        <f>ABS(pred_GDP_now!T11-pred_GDP_now!$B11)</f>
        <v>0.20529244174588013</v>
      </c>
      <c r="U11">
        <f>ABS(pred_GDP_now!U11-pred_GDP_now!$B11)</f>
        <v>0.1069007626318399</v>
      </c>
      <c r="V11">
        <f>ABS(pred_GDP_now!V11-pred_GDP_now!$B11)</f>
        <v>6.0670746147901689E-3</v>
      </c>
      <c r="W11">
        <f>ABS(pred_GDP_now!W11-pred_GDP_now!$B11)</f>
        <v>1.7179878138200433E-3</v>
      </c>
      <c r="X11">
        <f>ABS(pred_GDP_now!X11-pred_GDP_now!$B11)</f>
        <v>4.644081555714985E-2</v>
      </c>
      <c r="Y11">
        <f>ABS(pred_GDP_now!Y11-pred_GDP_now!$B11)</f>
        <v>7.8699769205898829E-3</v>
      </c>
      <c r="Z11">
        <f>ABS(pred_GDP_now!Z11-pred_GDP_now!$B11)</f>
        <v>4.644081555714985E-2</v>
      </c>
    </row>
    <row r="12" spans="1:26" x14ac:dyDescent="0.35">
      <c r="A12" s="7">
        <v>40422</v>
      </c>
      <c r="B12" s="4">
        <v>1</v>
      </c>
      <c r="C12" t="e">
        <f>ABS(pred_GDP_now!C12-pred_GDP_now!$B12)</f>
        <v>#N/A</v>
      </c>
      <c r="D12">
        <f>ABS(pred_GDP_now!D12-pred_GDP_now!$B12)</f>
        <v>0.32042766158360103</v>
      </c>
      <c r="E12">
        <f>ABS(pred_GDP_now!E12-pred_GDP_now!$B12)</f>
        <v>0.31834017844862905</v>
      </c>
      <c r="F12" t="e">
        <f>ABS(pred_GDP_now!F12-pred_GDP_now!$B12)</f>
        <v>#N/A</v>
      </c>
      <c r="G12" t="e">
        <f>ABS(pred_GDP_now!G12-pred_GDP_now!$B12)</f>
        <v>#N/A</v>
      </c>
      <c r="H12" t="e">
        <f>ABS(pred_GDP_now!H12-pred_GDP_now!$B12)</f>
        <v>#N/A</v>
      </c>
      <c r="I12" t="e">
        <f>ABS(pred_GDP_now!I12-pred_GDP_now!$B12)</f>
        <v>#N/A</v>
      </c>
      <c r="J12" t="e">
        <f>ABS(pred_GDP_now!J12-pred_GDP_now!$B12)</f>
        <v>#N/A</v>
      </c>
      <c r="K12">
        <f>ABS(pred_GDP_now!K12-pred_GDP_now!$B12)</f>
        <v>0.60352820963149489</v>
      </c>
      <c r="L12" t="e">
        <f>ABS(pred_GDP_now!L12-pred_GDP_now!$B12)</f>
        <v>#N/A</v>
      </c>
      <c r="M12">
        <f>ABS(pred_GDP_now!M12-pred_GDP_now!$B12)</f>
        <v>0.483321866907922</v>
      </c>
      <c r="N12">
        <f>ABS(pred_GDP_now!N12-pred_GDP_now!$B12)</f>
        <v>0.52104461193084695</v>
      </c>
      <c r="O12">
        <f>ABS(pred_GDP_now!O12-pred_GDP_now!$B12)</f>
        <v>0.67179639658323986</v>
      </c>
      <c r="P12">
        <f>ABS(pred_GDP_now!P12-pred_GDP_now!$B12)</f>
        <v>0.50778058365906298</v>
      </c>
      <c r="R12">
        <f>ABS(pred_GDP_now!R12-pred_GDP_now!$B12)</f>
        <v>0.15244079260859</v>
      </c>
      <c r="S12">
        <f>ABS(pred_GDP_now!S12-pred_GDP_now!$B12)</f>
        <v>0.32042766158359992</v>
      </c>
      <c r="T12">
        <f>ABS(pred_GDP_now!T12-pred_GDP_now!$B12)</f>
        <v>0.32042766158359992</v>
      </c>
      <c r="U12">
        <f>ABS(pred_GDP_now!U12-pred_GDP_now!$B12)</f>
        <v>0.32002411372722994</v>
      </c>
      <c r="V12">
        <f>ABS(pred_GDP_now!V12-pred_GDP_now!$B12)</f>
        <v>1.9879598671370013E-2</v>
      </c>
      <c r="W12">
        <f>ABS(pred_GDP_now!W12-pred_GDP_now!$B12)</f>
        <v>3.049906796209001E-2</v>
      </c>
      <c r="X12">
        <f>ABS(pred_GDP_now!X12-pred_GDP_now!$B12)</f>
        <v>0.10333727777910995</v>
      </c>
      <c r="Y12">
        <f>ABS(pred_GDP_now!Y12-pred_GDP_now!$B12)</f>
        <v>0.1146718642245701</v>
      </c>
      <c r="Z12">
        <f>ABS(pred_GDP_now!Z12-pred_GDP_now!$B12)</f>
        <v>0.29602910111703995</v>
      </c>
    </row>
    <row r="13" spans="1:26" x14ac:dyDescent="0.35">
      <c r="A13" s="7">
        <v>40513</v>
      </c>
      <c r="B13" s="4">
        <v>1.4</v>
      </c>
      <c r="C13" t="e">
        <f>ABS(pred_GDP_now!C13-pred_GDP_now!$B13)</f>
        <v>#N/A</v>
      </c>
      <c r="D13">
        <f>ABS(pred_GDP_now!D13-pred_GDP_now!$B13)</f>
        <v>0.145521266551073</v>
      </c>
      <c r="E13">
        <f>ABS(pred_GDP_now!E13-pred_GDP_now!$B13)</f>
        <v>6.9304818221803899E-2</v>
      </c>
      <c r="F13" t="e">
        <f>ABS(pred_GDP_now!F13-pred_GDP_now!$B13)</f>
        <v>#N/A</v>
      </c>
      <c r="G13" t="e">
        <f>ABS(pred_GDP_now!G13-pred_GDP_now!$B13)</f>
        <v>#N/A</v>
      </c>
      <c r="H13" t="e">
        <f>ABS(pred_GDP_now!H13-pred_GDP_now!$B13)</f>
        <v>#N/A</v>
      </c>
      <c r="I13" t="e">
        <f>ABS(pred_GDP_now!I13-pred_GDP_now!$B13)</f>
        <v>#N/A</v>
      </c>
      <c r="J13" t="e">
        <f>ABS(pred_GDP_now!J13-pred_GDP_now!$B13)</f>
        <v>#N/A</v>
      </c>
      <c r="K13">
        <f>ABS(pred_GDP_now!K13-pred_GDP_now!$B13)</f>
        <v>7.4587316183353014E-2</v>
      </c>
      <c r="L13" t="e">
        <f>ABS(pred_GDP_now!L13-pred_GDP_now!$B13)</f>
        <v>#N/A</v>
      </c>
      <c r="M13">
        <f>ABS(pred_GDP_now!M13-pred_GDP_now!$B13)</f>
        <v>7.568784233275383E-2</v>
      </c>
      <c r="N13">
        <f>ABS(pred_GDP_now!N13-pred_GDP_now!$B13)</f>
        <v>0.14418640136718786</v>
      </c>
      <c r="O13">
        <f>ABS(pred_GDP_now!O13-pred_GDP_now!$B13)</f>
        <v>0.11048755730707005</v>
      </c>
      <c r="P13">
        <f>ABS(pred_GDP_now!P13-pred_GDP_now!$B13)</f>
        <v>0.21557034727299396</v>
      </c>
      <c r="R13">
        <f>ABS(pred_GDP_now!R13-pred_GDP_now!$B13)</f>
        <v>6.6456543179350014E-2</v>
      </c>
      <c r="S13">
        <f>ABS(pred_GDP_now!S13-pred_GDP_now!$B13)</f>
        <v>7.5687842332759825E-2</v>
      </c>
      <c r="T13">
        <f>ABS(pred_GDP_now!T13-pred_GDP_now!$B13)</f>
        <v>0.14418640136718985</v>
      </c>
      <c r="U13">
        <f>ABS(pred_GDP_now!U13-pred_GDP_now!$B13)</f>
        <v>7.5687842332759825E-2</v>
      </c>
      <c r="V13">
        <f>ABS(pred_GDP_now!V13-pred_GDP_now!$B13)</f>
        <v>8.5706972017419947E-2</v>
      </c>
      <c r="W13">
        <f>ABS(pred_GDP_now!W13-pred_GDP_now!$B13)</f>
        <v>8.4332224222839924E-2</v>
      </c>
      <c r="X13">
        <f>ABS(pred_GDP_now!X13-pred_GDP_now!$B13)</f>
        <v>9.4764326967159862E-2</v>
      </c>
      <c r="Y13">
        <f>ABS(pred_GDP_now!Y13-pred_GDP_now!$B13)</f>
        <v>7.6683883836519806E-2</v>
      </c>
      <c r="Z13">
        <f>ABS(pred_GDP_now!Z13-pred_GDP_now!$B13)</f>
        <v>7.6683883836519806E-2</v>
      </c>
    </row>
    <row r="14" spans="1:26" x14ac:dyDescent="0.35">
      <c r="A14" s="7">
        <v>40603</v>
      </c>
      <c r="B14" s="4">
        <v>1</v>
      </c>
      <c r="C14" t="e">
        <f>ABS(pred_GDP_now!C14-pred_GDP_now!$B14)</f>
        <v>#N/A</v>
      </c>
      <c r="D14">
        <f>ABS(pred_GDP_now!D14-pred_GDP_now!$B14)</f>
        <v>0.52184873926532993</v>
      </c>
      <c r="E14">
        <f>ABS(pred_GDP_now!E14-pred_GDP_now!$B14)</f>
        <v>0.11088045935776591</v>
      </c>
      <c r="F14" t="e">
        <f>ABS(pred_GDP_now!F14-pred_GDP_now!$B14)</f>
        <v>#N/A</v>
      </c>
      <c r="G14" t="e">
        <f>ABS(pred_GDP_now!G14-pred_GDP_now!$B14)</f>
        <v>#N/A</v>
      </c>
      <c r="H14" t="e">
        <f>ABS(pred_GDP_now!H14-pred_GDP_now!$B14)</f>
        <v>#N/A</v>
      </c>
      <c r="I14" t="e">
        <f>ABS(pred_GDP_now!I14-pred_GDP_now!$B14)</f>
        <v>#N/A</v>
      </c>
      <c r="J14" t="e">
        <f>ABS(pred_GDP_now!J14-pred_GDP_now!$B14)</f>
        <v>#N/A</v>
      </c>
      <c r="K14">
        <f>ABS(pred_GDP_now!K14-pred_GDP_now!$B14)</f>
        <v>0.27732603005910406</v>
      </c>
      <c r="L14" t="e">
        <f>ABS(pred_GDP_now!L14-pred_GDP_now!$B14)</f>
        <v>#N/A</v>
      </c>
      <c r="M14">
        <f>ABS(pred_GDP_now!M14-pred_GDP_now!$B14)</f>
        <v>0.79065496728191409</v>
      </c>
      <c r="N14">
        <f>ABS(pred_GDP_now!N14-pred_GDP_now!$B14)</f>
        <v>2.208101749420166E-2</v>
      </c>
      <c r="O14">
        <f>ABS(pred_GDP_now!O14-pred_GDP_now!$B14)</f>
        <v>0.35320696258644091</v>
      </c>
      <c r="P14">
        <f>ABS(pred_GDP_now!P14-pred_GDP_now!$B14)</f>
        <v>1.828523711478101</v>
      </c>
      <c r="R14">
        <f>ABS(pred_GDP_now!R14-pred_GDP_now!$B14)</f>
        <v>0.5514799789334901</v>
      </c>
      <c r="S14">
        <f>ABS(pred_GDP_now!S14-pred_GDP_now!$B14)</f>
        <v>0.35320696258644002</v>
      </c>
      <c r="T14">
        <f>ABS(pred_GDP_now!T14-pred_GDP_now!$B14)</f>
        <v>0.27732603005910006</v>
      </c>
      <c r="U14">
        <f>ABS(pred_GDP_now!U14-pred_GDP_now!$B14)</f>
        <v>1.14446577577761</v>
      </c>
      <c r="V14">
        <f>ABS(pred_GDP_now!V14-pred_GDP_now!$B14)</f>
        <v>0.64890502879114997</v>
      </c>
      <c r="W14">
        <f>ABS(pred_GDP_now!W14-pred_GDP_now!$B14)</f>
        <v>0.64717112562059009</v>
      </c>
      <c r="X14">
        <f>ABS(pred_GDP_now!X14-pred_GDP_now!$B14)</f>
        <v>0.61915987263427996</v>
      </c>
      <c r="Y14">
        <f>ABS(pred_GDP_now!Y14-pred_GDP_now!$B14)</f>
        <v>0.5826311568523399</v>
      </c>
      <c r="Z14">
        <f>ABS(pred_GDP_now!Z14-pred_GDP_now!$B14)</f>
        <v>0.58147869327170998</v>
      </c>
    </row>
    <row r="15" spans="1:26" x14ac:dyDescent="0.35">
      <c r="A15" s="7">
        <v>40695</v>
      </c>
      <c r="B15" s="4">
        <v>0.4</v>
      </c>
      <c r="C15" t="e">
        <f>ABS(pred_GDP_now!C15-pred_GDP_now!$B15)</f>
        <v>#N/A</v>
      </c>
      <c r="D15">
        <f>ABS(pred_GDP_now!D15-pred_GDP_now!$B15)</f>
        <v>0.71076048982052809</v>
      </c>
      <c r="E15">
        <f>ABS(pred_GDP_now!E15-pred_GDP_now!$B15)</f>
        <v>0.44021940586538333</v>
      </c>
      <c r="F15" t="e">
        <f>ABS(pred_GDP_now!F15-pred_GDP_now!$B15)</f>
        <v>#N/A</v>
      </c>
      <c r="G15" t="e">
        <f>ABS(pred_GDP_now!G15-pred_GDP_now!$B15)</f>
        <v>#N/A</v>
      </c>
      <c r="H15" t="e">
        <f>ABS(pred_GDP_now!H15-pred_GDP_now!$B15)</f>
        <v>#N/A</v>
      </c>
      <c r="I15" t="e">
        <f>ABS(pred_GDP_now!I15-pred_GDP_now!$B15)</f>
        <v>#N/A</v>
      </c>
      <c r="J15" t="e">
        <f>ABS(pred_GDP_now!J15-pred_GDP_now!$B15)</f>
        <v>#N/A</v>
      </c>
      <c r="K15">
        <f>ABS(pred_GDP_now!K15-pred_GDP_now!$B15)</f>
        <v>0.81595718366694803</v>
      </c>
      <c r="L15" t="e">
        <f>ABS(pred_GDP_now!L15-pred_GDP_now!$B15)</f>
        <v>#N/A</v>
      </c>
      <c r="M15">
        <f>ABS(pred_GDP_now!M15-pred_GDP_now!$B15)</f>
        <v>0.69112361526294108</v>
      </c>
      <c r="N15">
        <f>ABS(pred_GDP_now!N15-pred_GDP_now!$B15)</f>
        <v>0.56934199333190916</v>
      </c>
      <c r="O15">
        <f>ABS(pred_GDP_now!O15-pred_GDP_now!$B15)</f>
        <v>0.17399493953416531</v>
      </c>
      <c r="P15">
        <f>ABS(pred_GDP_now!P15-pred_GDP_now!$B15)</f>
        <v>1.5137055430078612</v>
      </c>
      <c r="R15">
        <f>ABS(pred_GDP_now!R15-pred_GDP_now!$B15)</f>
        <v>0.65244475591733997</v>
      </c>
      <c r="S15">
        <f>ABS(pred_GDP_now!S15-pred_GDP_now!$B15)</f>
        <v>0.69112361526293997</v>
      </c>
      <c r="T15">
        <f>ABS(pred_GDP_now!T15-pred_GDP_now!$B15)</f>
        <v>0.56934199333190894</v>
      </c>
      <c r="U15">
        <f>ABS(pred_GDP_now!U15-pred_GDP_now!$B15)</f>
        <v>0.69112361526293997</v>
      </c>
      <c r="V15">
        <f>ABS(pred_GDP_now!V15-pred_GDP_now!$B15)</f>
        <v>0.52874957794409094</v>
      </c>
      <c r="W15">
        <f>ABS(pred_GDP_now!W15-pred_GDP_now!$B15)</f>
        <v>0.52882147242328092</v>
      </c>
      <c r="X15">
        <f>ABS(pred_GDP_now!X15-pred_GDP_now!$B15)</f>
        <v>0.52118031334610493</v>
      </c>
      <c r="Y15">
        <f>ABS(pred_GDP_now!Y15-pred_GDP_now!$B15)</f>
        <v>0.58038304438445298</v>
      </c>
      <c r="Z15">
        <f>ABS(pred_GDP_now!Z15-pred_GDP_now!$B15)</f>
        <v>0.58038304438445298</v>
      </c>
    </row>
    <row r="16" spans="1:26" x14ac:dyDescent="0.35">
      <c r="A16" s="7">
        <v>40787</v>
      </c>
      <c r="B16" s="4">
        <v>0.5</v>
      </c>
      <c r="C16" t="e">
        <f>ABS(pred_GDP_now!C16-pred_GDP_now!$B16)</f>
        <v>#N/A</v>
      </c>
      <c r="D16">
        <f>ABS(pred_GDP_now!D16-pred_GDP_now!$B16)</f>
        <v>0.64756033018146297</v>
      </c>
      <c r="E16">
        <f>ABS(pred_GDP_now!E16-pred_GDP_now!$B16)</f>
        <v>0.58490617047554094</v>
      </c>
      <c r="F16" t="e">
        <f>ABS(pred_GDP_now!F16-pred_GDP_now!$B16)</f>
        <v>#N/A</v>
      </c>
      <c r="G16" t="e">
        <f>ABS(pred_GDP_now!G16-pred_GDP_now!$B16)</f>
        <v>#N/A</v>
      </c>
      <c r="H16" t="e">
        <f>ABS(pred_GDP_now!H16-pred_GDP_now!$B16)</f>
        <v>#N/A</v>
      </c>
      <c r="I16" t="e">
        <f>ABS(pred_GDP_now!I16-pred_GDP_now!$B16)</f>
        <v>#N/A</v>
      </c>
      <c r="J16" t="e">
        <f>ABS(pred_GDP_now!J16-pred_GDP_now!$B16)</f>
        <v>#N/A</v>
      </c>
      <c r="K16">
        <f>ABS(pred_GDP_now!K16-pred_GDP_now!$B16)</f>
        <v>0.90235944840022198</v>
      </c>
      <c r="L16" t="e">
        <f>ABS(pred_GDP_now!L16-pred_GDP_now!$B16)</f>
        <v>#N/A</v>
      </c>
      <c r="M16">
        <f>ABS(pred_GDP_now!M16-pred_GDP_now!$B16)</f>
        <v>0.40094936071611753</v>
      </c>
      <c r="N16">
        <f>ABS(pred_GDP_now!N16-pred_GDP_now!$B16)</f>
        <v>0.36733627319335938</v>
      </c>
      <c r="O16">
        <f>ABS(pred_GDP_now!O16-pred_GDP_now!$B16)</f>
        <v>0.10897790051876471</v>
      </c>
      <c r="P16">
        <f>ABS(pred_GDP_now!P16-pred_GDP_now!$B16)</f>
        <v>0.6442332745003021</v>
      </c>
      <c r="R16">
        <f>ABS(pred_GDP_now!R16-pred_GDP_now!$B16)</f>
        <v>0.49119527956403397</v>
      </c>
      <c r="S16">
        <f>ABS(pred_GDP_now!S16-pred_GDP_now!$B16)</f>
        <v>0.58490617047554005</v>
      </c>
      <c r="T16">
        <f>ABS(pred_GDP_now!T16-pred_GDP_now!$B16)</f>
        <v>0.36733627319335904</v>
      </c>
      <c r="U16">
        <f>ABS(pred_GDP_now!U16-pred_GDP_now!$B16)</f>
        <v>0.58490617047554005</v>
      </c>
      <c r="V16">
        <f>ABS(pred_GDP_now!V16-pred_GDP_now!$B16)</f>
        <v>0.45287741189831099</v>
      </c>
      <c r="W16">
        <f>ABS(pred_GDP_now!W16-pred_GDP_now!$B16)</f>
        <v>0.45388791428682695</v>
      </c>
      <c r="X16">
        <f>ABS(pred_GDP_now!X16-pred_GDP_now!$B16)</f>
        <v>0.45174451392382098</v>
      </c>
      <c r="Y16">
        <f>ABS(pred_GDP_now!Y16-pred_GDP_now!$B16)</f>
        <v>0.46639504224842299</v>
      </c>
      <c r="Z16">
        <f>ABS(pred_GDP_now!Z16-pred_GDP_now!$B16)</f>
        <v>0.46622422446554201</v>
      </c>
    </row>
    <row r="17" spans="1:26" x14ac:dyDescent="0.35">
      <c r="A17" s="7">
        <v>40878</v>
      </c>
      <c r="B17" s="4">
        <v>0.7</v>
      </c>
      <c r="C17" t="e">
        <f>ABS(pred_GDP_now!C17-pred_GDP_now!$B17)</f>
        <v>#N/A</v>
      </c>
      <c r="D17">
        <f>ABS(pred_GDP_now!D17-pred_GDP_now!$B17)</f>
        <v>0.35471969393757807</v>
      </c>
      <c r="E17">
        <f>ABS(pred_GDP_now!E17-pred_GDP_now!$B17)</f>
        <v>0.31907131000036304</v>
      </c>
      <c r="F17" t="e">
        <f>ABS(pred_GDP_now!F17-pred_GDP_now!$B17)</f>
        <v>#N/A</v>
      </c>
      <c r="G17" t="e">
        <f>ABS(pred_GDP_now!G17-pred_GDP_now!$B17)</f>
        <v>#N/A</v>
      </c>
      <c r="H17" t="e">
        <f>ABS(pred_GDP_now!H17-pred_GDP_now!$B17)</f>
        <v>#N/A</v>
      </c>
      <c r="I17" t="e">
        <f>ABS(pred_GDP_now!I17-pred_GDP_now!$B17)</f>
        <v>#N/A</v>
      </c>
      <c r="J17" t="e">
        <f>ABS(pred_GDP_now!J17-pred_GDP_now!$B17)</f>
        <v>#N/A</v>
      </c>
      <c r="K17">
        <f>ABS(pred_GDP_now!K17-pred_GDP_now!$B17)</f>
        <v>0.40029888162607175</v>
      </c>
      <c r="L17" t="e">
        <f>ABS(pred_GDP_now!L17-pred_GDP_now!$B17)</f>
        <v>#N/A</v>
      </c>
      <c r="M17">
        <f>ABS(pred_GDP_now!M17-pred_GDP_now!$B17)</f>
        <v>0.29284893332142936</v>
      </c>
      <c r="N17">
        <f>ABS(pred_GDP_now!N17-pred_GDP_now!$B17)</f>
        <v>0.27809618711471562</v>
      </c>
      <c r="O17">
        <f>ABS(pred_GDP_now!O17-pred_GDP_now!$B17)</f>
        <v>0.73218829905478788</v>
      </c>
      <c r="P17">
        <f>ABS(pred_GDP_now!P17-pred_GDP_now!$B17)</f>
        <v>0.65492240305281579</v>
      </c>
      <c r="R17">
        <f>ABS(pred_GDP_now!R17-pred_GDP_now!$B17)</f>
        <v>7.752477990851292E-2</v>
      </c>
      <c r="S17">
        <f>ABS(pred_GDP_now!S17-pred_GDP_now!$B17)</f>
        <v>0.27809618711471507</v>
      </c>
      <c r="T17">
        <f>ABS(pred_GDP_now!T17-pred_GDP_now!$B17)</f>
        <v>0.27809618711471507</v>
      </c>
      <c r="U17">
        <f>ABS(pred_GDP_now!U17-pred_GDP_now!$B17)</f>
        <v>7.5746896633415939E-2</v>
      </c>
      <c r="V17">
        <f>ABS(pred_GDP_now!V17-pred_GDP_now!$B17)</f>
        <v>1.8020706595425984E-2</v>
      </c>
      <c r="W17">
        <f>ABS(pred_GDP_now!W17-pred_GDP_now!$B17)</f>
        <v>1.7415674485947941E-2</v>
      </c>
      <c r="X17">
        <f>ABS(pred_GDP_now!X17-pred_GDP_now!$B17)</f>
        <v>0.23335176044204897</v>
      </c>
      <c r="Y17">
        <f>ABS(pred_GDP_now!Y17-pred_GDP_now!$B17)</f>
        <v>2.2529234532851938E-2</v>
      </c>
      <c r="Z17">
        <f>ABS(pred_GDP_now!Z17-pred_GDP_now!$B17)</f>
        <v>5.0133833516530002E-2</v>
      </c>
    </row>
    <row r="18" spans="1:26" x14ac:dyDescent="0.35">
      <c r="A18" s="7">
        <v>40969</v>
      </c>
      <c r="B18" s="4">
        <v>1</v>
      </c>
      <c r="C18" t="e">
        <f>ABS(pred_GDP_now!C18-pred_GDP_now!$B18)</f>
        <v>#N/A</v>
      </c>
      <c r="D18">
        <f>ABS(pred_GDP_now!D18-pred_GDP_now!$B18)</f>
        <v>0.39190089707135201</v>
      </c>
      <c r="E18">
        <f>ABS(pred_GDP_now!E18-pred_GDP_now!$B18)</f>
        <v>0.29880557730306401</v>
      </c>
      <c r="F18" t="e">
        <f>ABS(pred_GDP_now!F18-pred_GDP_now!$B18)</f>
        <v>#N/A</v>
      </c>
      <c r="G18" t="e">
        <f>ABS(pred_GDP_now!G18-pred_GDP_now!$B18)</f>
        <v>#N/A</v>
      </c>
      <c r="H18" t="e">
        <f>ABS(pred_GDP_now!H18-pred_GDP_now!$B18)</f>
        <v>#N/A</v>
      </c>
      <c r="I18" t="e">
        <f>ABS(pred_GDP_now!I18-pred_GDP_now!$B18)</f>
        <v>#N/A</v>
      </c>
      <c r="J18" t="e">
        <f>ABS(pred_GDP_now!J18-pred_GDP_now!$B18)</f>
        <v>#N/A</v>
      </c>
      <c r="K18">
        <f>ABS(pred_GDP_now!K18-pred_GDP_now!$B18)</f>
        <v>0.79715920866493706</v>
      </c>
      <c r="L18" t="e">
        <f>ABS(pred_GDP_now!L18-pred_GDP_now!$B18)</f>
        <v>#N/A</v>
      </c>
      <c r="M18">
        <f>ABS(pred_GDP_now!M18-pred_GDP_now!$B18)</f>
        <v>0.31827213564274193</v>
      </c>
      <c r="N18">
        <f>ABS(pred_GDP_now!N18-pred_GDP_now!$B18)</f>
        <v>0.37504476308822632</v>
      </c>
      <c r="O18">
        <f>ABS(pred_GDP_now!O18-pred_GDP_now!$B18)</f>
        <v>0.49549204857449647</v>
      </c>
      <c r="P18">
        <f>ABS(pred_GDP_now!P18-pred_GDP_now!$B18)</f>
        <v>9.9556588641205201E-2</v>
      </c>
      <c r="R18">
        <f>ABS(pred_GDP_now!R18-pred_GDP_now!$B18)</f>
        <v>2.8500021013240007E-2</v>
      </c>
      <c r="S18">
        <f>ABS(pred_GDP_now!S18-pred_GDP_now!$B18)</f>
        <v>9.9556588641205979E-2</v>
      </c>
      <c r="T18">
        <f>ABS(pred_GDP_now!T18-pred_GDP_now!$B18)</f>
        <v>0.37504476308822698</v>
      </c>
      <c r="U18">
        <f>ABS(pred_GDP_now!U18-pred_GDP_now!$B18)</f>
        <v>9.9556588641205979E-2</v>
      </c>
      <c r="V18">
        <f>ABS(pred_GDP_now!V18-pred_GDP_now!$B18)</f>
        <v>7.432974376034962E-3</v>
      </c>
      <c r="W18">
        <f>ABS(pred_GDP_now!W18-pred_GDP_now!$B18)</f>
        <v>5.0269198786859759E-3</v>
      </c>
      <c r="X18">
        <f>ABS(pred_GDP_now!X18-pred_GDP_now!$B18)</f>
        <v>6.1549706534033022E-2</v>
      </c>
      <c r="Y18">
        <f>ABS(pred_GDP_now!Y18-pred_GDP_now!$B18)</f>
        <v>1.3222456052540021E-2</v>
      </c>
      <c r="Z18">
        <f>ABS(pred_GDP_now!Z18-pred_GDP_now!$B18)</f>
        <v>6.1549706534033022E-2</v>
      </c>
    </row>
    <row r="19" spans="1:26" x14ac:dyDescent="0.35">
      <c r="A19" s="7">
        <v>41061</v>
      </c>
      <c r="B19" s="4">
        <v>0.4</v>
      </c>
      <c r="C19" t="e">
        <f>ABS(pred_GDP_now!C19-pred_GDP_now!$B19)</f>
        <v>#N/A</v>
      </c>
      <c r="D19">
        <f>ABS(pred_GDP_now!D19-pred_GDP_now!$B19)</f>
        <v>0.9215173275618499</v>
      </c>
      <c r="E19">
        <f>ABS(pred_GDP_now!E19-pred_GDP_now!$B19)</f>
        <v>0.776439095363335</v>
      </c>
      <c r="F19" t="e">
        <f>ABS(pred_GDP_now!F19-pred_GDP_now!$B19)</f>
        <v>#N/A</v>
      </c>
      <c r="G19" t="e">
        <f>ABS(pred_GDP_now!G19-pred_GDP_now!$B19)</f>
        <v>#N/A</v>
      </c>
      <c r="H19" t="e">
        <f>ABS(pred_GDP_now!H19-pred_GDP_now!$B19)</f>
        <v>#N/A</v>
      </c>
      <c r="I19" t="e">
        <f>ABS(pred_GDP_now!I19-pred_GDP_now!$B19)</f>
        <v>#N/A</v>
      </c>
      <c r="J19" t="e">
        <f>ABS(pred_GDP_now!J19-pred_GDP_now!$B19)</f>
        <v>#N/A</v>
      </c>
      <c r="K19">
        <f>ABS(pred_GDP_now!K19-pred_GDP_now!$B19)</f>
        <v>0.35956041822898965</v>
      </c>
      <c r="L19" t="e">
        <f>ABS(pred_GDP_now!L19-pred_GDP_now!$B19)</f>
        <v>#N/A</v>
      </c>
      <c r="M19">
        <f>ABS(pred_GDP_now!M19-pred_GDP_now!$B19)</f>
        <v>0.10955803612103632</v>
      </c>
      <c r="N19">
        <f>ABS(pred_GDP_now!N19-pred_GDP_now!$B19)</f>
        <v>0.24289474487304685</v>
      </c>
      <c r="O19">
        <f>ABS(pred_GDP_now!O19-pred_GDP_now!$B19)</f>
        <v>0.36996630541167669</v>
      </c>
      <c r="P19">
        <f>ABS(pred_GDP_now!P19-pred_GDP_now!$B19)</f>
        <v>0.42903988851460639</v>
      </c>
      <c r="R19">
        <f>ABS(pred_GDP_now!R19-pred_GDP_now!$B19)</f>
        <v>0.23013763260313902</v>
      </c>
      <c r="S19">
        <f>ABS(pred_GDP_now!S19-pred_GDP_now!$B19)</f>
        <v>0.24289474487304596</v>
      </c>
      <c r="T19">
        <f>ABS(pred_GDP_now!T19-pred_GDP_now!$B19)</f>
        <v>0.24289474487304596</v>
      </c>
      <c r="U19">
        <f>ABS(pred_GDP_now!U19-pred_GDP_now!$B19)</f>
        <v>0.22624460858337803</v>
      </c>
      <c r="V19">
        <f>ABS(pred_GDP_now!V19-pred_GDP_now!$B19)</f>
        <v>0.28407474983473802</v>
      </c>
      <c r="W19">
        <f>ABS(pred_GDP_now!W19-pred_GDP_now!$B19)</f>
        <v>0.28513877091002293</v>
      </c>
      <c r="X19">
        <f>ABS(pred_GDP_now!X19-pred_GDP_now!$B19)</f>
        <v>0.27634931517492201</v>
      </c>
      <c r="Y19">
        <f>ABS(pred_GDP_now!Y19-pred_GDP_now!$B19)</f>
        <v>0.26259148237063401</v>
      </c>
      <c r="Z19">
        <f>ABS(pred_GDP_now!Z19-pred_GDP_now!$B19)</f>
        <v>0.24289474487304596</v>
      </c>
    </row>
    <row r="20" spans="1:26" x14ac:dyDescent="0.35">
      <c r="A20" s="7">
        <v>41153</v>
      </c>
      <c r="B20" s="4">
        <v>0.4</v>
      </c>
      <c r="C20" t="e">
        <f>ABS(pred_GDP_now!C20-pred_GDP_now!$B20)</f>
        <v>#N/A</v>
      </c>
      <c r="D20">
        <f>ABS(pred_GDP_now!D20-pred_GDP_now!$B20)</f>
        <v>0.60298291017661987</v>
      </c>
      <c r="E20">
        <f>ABS(pred_GDP_now!E20-pred_GDP_now!$B20)</f>
        <v>0.75850451235957095</v>
      </c>
      <c r="F20" t="e">
        <f>ABS(pred_GDP_now!F20-pred_GDP_now!$B20)</f>
        <v>#N/A</v>
      </c>
      <c r="G20" t="e">
        <f>ABS(pred_GDP_now!G20-pred_GDP_now!$B20)</f>
        <v>#N/A</v>
      </c>
      <c r="H20" t="e">
        <f>ABS(pred_GDP_now!H20-pred_GDP_now!$B20)</f>
        <v>#N/A</v>
      </c>
      <c r="I20" t="e">
        <f>ABS(pred_GDP_now!I20-pred_GDP_now!$B20)</f>
        <v>#N/A</v>
      </c>
      <c r="J20" t="e">
        <f>ABS(pred_GDP_now!J20-pred_GDP_now!$B20)</f>
        <v>#N/A</v>
      </c>
      <c r="K20">
        <f>ABS(pred_GDP_now!K20-pred_GDP_now!$B20)</f>
        <v>0.14120035041768231</v>
      </c>
      <c r="L20" t="e">
        <f>ABS(pred_GDP_now!L20-pred_GDP_now!$B20)</f>
        <v>#N/A</v>
      </c>
      <c r="M20">
        <f>ABS(pred_GDP_now!M20-pred_GDP_now!$B20)</f>
        <v>0.27106851278084598</v>
      </c>
      <c r="N20">
        <f>ABS(pred_GDP_now!N20-pred_GDP_now!$B20)</f>
        <v>0.23619804382324217</v>
      </c>
      <c r="O20">
        <f>ABS(pred_GDP_now!O20-pred_GDP_now!$B20)</f>
        <v>0.53850243341488135</v>
      </c>
      <c r="P20">
        <f>ABS(pred_GDP_now!P20-pred_GDP_now!$B20)</f>
        <v>8.0193011308706597E-2</v>
      </c>
      <c r="R20">
        <f>ABS(pred_GDP_now!R20-pred_GDP_now!$B20)</f>
        <v>0.198751269262053</v>
      </c>
      <c r="S20">
        <f>ABS(pred_GDP_now!S20-pred_GDP_now!$B20)</f>
        <v>0.23619804382324194</v>
      </c>
      <c r="T20">
        <f>ABS(pred_GDP_now!T20-pred_GDP_now!$B20)</f>
        <v>0.23619804382324194</v>
      </c>
      <c r="U20">
        <f>ABS(pred_GDP_now!U20-pred_GDP_now!$B20)</f>
        <v>0.23619804382324194</v>
      </c>
      <c r="V20">
        <f>ABS(pred_GDP_now!V20-pred_GDP_now!$B20)</f>
        <v>0.24973672763960497</v>
      </c>
      <c r="W20">
        <f>ABS(pred_GDP_now!W20-pred_GDP_now!$B20)</f>
        <v>0.24795952293578793</v>
      </c>
      <c r="X20">
        <f>ABS(pred_GDP_now!X20-pred_GDP_now!$B20)</f>
        <v>0.19355868560655098</v>
      </c>
      <c r="Y20">
        <f>ABS(pred_GDP_now!Y20-pred_GDP_now!$B20)</f>
        <v>0.19124908460586099</v>
      </c>
      <c r="Z20">
        <f>ABS(pred_GDP_now!Z20-pred_GDP_now!$B20)</f>
        <v>0.23619804382324194</v>
      </c>
    </row>
    <row r="21" spans="1:26" x14ac:dyDescent="0.35">
      <c r="A21" s="7">
        <v>41244</v>
      </c>
      <c r="B21" s="4">
        <v>0.7</v>
      </c>
      <c r="C21" t="e">
        <f>ABS(pred_GDP_now!C21-pred_GDP_now!$B21)</f>
        <v>#N/A</v>
      </c>
      <c r="D21">
        <f>ABS(pred_GDP_now!D21-pred_GDP_now!$B21)</f>
        <v>0.87218054540031509</v>
      </c>
      <c r="E21">
        <f>ABS(pred_GDP_now!E21-pred_GDP_now!$B21)</f>
        <v>0.77498838708575213</v>
      </c>
      <c r="F21" t="e">
        <f>ABS(pred_GDP_now!F21-pred_GDP_now!$B21)</f>
        <v>#N/A</v>
      </c>
      <c r="G21" t="e">
        <f>ABS(pred_GDP_now!G21-pred_GDP_now!$B21)</f>
        <v>#N/A</v>
      </c>
      <c r="H21" t="e">
        <f>ABS(pred_GDP_now!H21-pred_GDP_now!$B21)</f>
        <v>#N/A</v>
      </c>
      <c r="I21" t="e">
        <f>ABS(pred_GDP_now!I21-pred_GDP_now!$B21)</f>
        <v>#N/A</v>
      </c>
      <c r="J21" t="e">
        <f>ABS(pred_GDP_now!J21-pred_GDP_now!$B21)</f>
        <v>#N/A</v>
      </c>
      <c r="K21">
        <f>ABS(pred_GDP_now!K21-pred_GDP_now!$B21)</f>
        <v>0.12322217791644197</v>
      </c>
      <c r="L21" t="e">
        <f>ABS(pred_GDP_now!L21-pred_GDP_now!$B21)</f>
        <v>#N/A</v>
      </c>
      <c r="M21">
        <f>ABS(pred_GDP_now!M21-pred_GDP_now!$B21)</f>
        <v>0.13738588308071475</v>
      </c>
      <c r="N21">
        <f>ABS(pred_GDP_now!N21-pred_GDP_now!$B21)</f>
        <v>5.5870842933654741E-2</v>
      </c>
      <c r="O21">
        <f>ABS(pred_GDP_now!O21-pred_GDP_now!$B21)</f>
        <v>0.29658456066876204</v>
      </c>
      <c r="P21">
        <f>ABS(pred_GDP_now!P21-pred_GDP_now!$B21)</f>
        <v>9.3207475416590579E-2</v>
      </c>
      <c r="R21">
        <f>ABS(pred_GDP_now!R21-pred_GDP_now!$B21)</f>
        <v>0.19625104273370908</v>
      </c>
      <c r="S21">
        <f>ABS(pred_GDP_now!S21-pred_GDP_now!$B21)</f>
        <v>9.3207475416590024E-2</v>
      </c>
      <c r="T21">
        <f>ABS(pred_GDP_now!T21-pred_GDP_now!$B21)</f>
        <v>5.5870842933654963E-2</v>
      </c>
      <c r="U21">
        <f>ABS(pred_GDP_now!U21-pred_GDP_now!$B21)</f>
        <v>9.4841675254236035E-2</v>
      </c>
      <c r="V21">
        <f>ABS(pred_GDP_now!V21-pred_GDP_now!$B21)</f>
        <v>9.9623420902142934E-2</v>
      </c>
      <c r="W21">
        <f>ABS(pred_GDP_now!W21-pred_GDP_now!$B21)</f>
        <v>9.7840913775581906E-2</v>
      </c>
      <c r="X21">
        <f>ABS(pred_GDP_now!X21-pred_GDP_now!$B21)</f>
        <v>4.4294950165548075E-2</v>
      </c>
      <c r="Y21">
        <f>ABS(pred_GDP_now!Y21-pred_GDP_now!$B21)</f>
        <v>0.16480294526377204</v>
      </c>
      <c r="Z21">
        <f>ABS(pred_GDP_now!Z21-pred_GDP_now!$B21)</f>
        <v>9.3207475416590024E-2</v>
      </c>
    </row>
    <row r="22" spans="1:26" x14ac:dyDescent="0.35">
      <c r="A22" s="7">
        <v>41334</v>
      </c>
      <c r="B22" s="4">
        <v>0.8</v>
      </c>
      <c r="C22" t="e">
        <f>ABS(pred_GDP_now!C22-pred_GDP_now!$B22)</f>
        <v>#N/A</v>
      </c>
      <c r="D22">
        <f>ABS(pred_GDP_now!D22-pred_GDP_now!$B22)</f>
        <v>0.91553161627837598</v>
      </c>
      <c r="E22">
        <f>ABS(pred_GDP_now!E22-pred_GDP_now!$B22)</f>
        <v>0.35765533147982298</v>
      </c>
      <c r="F22" t="e">
        <f>ABS(pred_GDP_now!F22-pred_GDP_now!$B22)</f>
        <v>#N/A</v>
      </c>
      <c r="G22" t="e">
        <f>ABS(pred_GDP_now!G22-pred_GDP_now!$B22)</f>
        <v>#N/A</v>
      </c>
      <c r="H22" t="e">
        <f>ABS(pred_GDP_now!H22-pred_GDP_now!$B22)</f>
        <v>#N/A</v>
      </c>
      <c r="I22" t="e">
        <f>ABS(pred_GDP_now!I22-pred_GDP_now!$B22)</f>
        <v>#N/A</v>
      </c>
      <c r="J22" t="e">
        <f>ABS(pred_GDP_now!J22-pred_GDP_now!$B22)</f>
        <v>#N/A</v>
      </c>
      <c r="K22">
        <f>ABS(pred_GDP_now!K22-pred_GDP_now!$B22)</f>
        <v>9.0417970943943216E-2</v>
      </c>
      <c r="L22" t="e">
        <f>ABS(pred_GDP_now!L22-pred_GDP_now!$B22)</f>
        <v>#N/A</v>
      </c>
      <c r="M22">
        <f>ABS(pred_GDP_now!M22-pred_GDP_now!$B22)</f>
        <v>0.57940630156164397</v>
      </c>
      <c r="N22">
        <f>ABS(pred_GDP_now!N22-pred_GDP_now!$B22)</f>
        <v>0.42557449340820286</v>
      </c>
      <c r="O22">
        <f>ABS(pred_GDP_now!O22-pred_GDP_now!$B22)</f>
        <v>0.26595144900620227</v>
      </c>
      <c r="P22">
        <f>ABS(pred_GDP_now!P22-pred_GDP_now!$B22)</f>
        <v>0.17084740265198617</v>
      </c>
      <c r="R22">
        <f>ABS(pred_GDP_now!R22-pred_GDP_now!$B22)</f>
        <v>0.32478309533110994</v>
      </c>
      <c r="S22">
        <f>ABS(pred_GDP_now!S22-pred_GDP_now!$B22)</f>
        <v>0.35765533147981987</v>
      </c>
      <c r="T22">
        <f>ABS(pred_GDP_now!T22-pred_GDP_now!$B22)</f>
        <v>0.42557449340819997</v>
      </c>
      <c r="U22">
        <f>ABS(pred_GDP_now!U22-pred_GDP_now!$B22)</f>
        <v>0.35765533147981987</v>
      </c>
      <c r="V22">
        <f>ABS(pred_GDP_now!V22-pred_GDP_now!$B22)</f>
        <v>0.33997587941759</v>
      </c>
      <c r="W22">
        <f>ABS(pred_GDP_now!W22-pred_GDP_now!$B22)</f>
        <v>0.33610695913317001</v>
      </c>
      <c r="X22">
        <f>ABS(pred_GDP_now!X22-pred_GDP_now!$B22)</f>
        <v>0.33164037708151994</v>
      </c>
      <c r="Y22">
        <f>ABS(pred_GDP_now!Y22-pred_GDP_now!$B22)</f>
        <v>0.30329588290324994</v>
      </c>
      <c r="Z22">
        <f>ABS(pred_GDP_now!Z22-pred_GDP_now!$B22)</f>
        <v>0.33997587941759</v>
      </c>
    </row>
    <row r="23" spans="1:26" x14ac:dyDescent="0.35">
      <c r="A23" s="7">
        <v>41426</v>
      </c>
      <c r="B23" s="4">
        <v>1.1000000000000001</v>
      </c>
      <c r="C23" t="e">
        <f>ABS(pred_GDP_now!C23-pred_GDP_now!$B23)</f>
        <v>#N/A</v>
      </c>
      <c r="D23">
        <f>ABS(pred_GDP_now!D23-pred_GDP_now!$B23)</f>
        <v>0.11202060350107401</v>
      </c>
      <c r="E23">
        <f>ABS(pred_GDP_now!E23-pred_GDP_now!$B23)</f>
        <v>0.18255663736194183</v>
      </c>
      <c r="F23" t="e">
        <f>ABS(pred_GDP_now!F23-pred_GDP_now!$B23)</f>
        <v>#N/A</v>
      </c>
      <c r="G23" t="e">
        <f>ABS(pred_GDP_now!G23-pred_GDP_now!$B23)</f>
        <v>#N/A</v>
      </c>
      <c r="H23" t="e">
        <f>ABS(pred_GDP_now!H23-pred_GDP_now!$B23)</f>
        <v>#N/A</v>
      </c>
      <c r="I23" t="e">
        <f>ABS(pred_GDP_now!I23-pred_GDP_now!$B23)</f>
        <v>#N/A</v>
      </c>
      <c r="J23" t="e">
        <f>ABS(pred_GDP_now!J23-pred_GDP_now!$B23)</f>
        <v>#N/A</v>
      </c>
      <c r="K23">
        <f>ABS(pred_GDP_now!K23-pred_GDP_now!$B23)</f>
        <v>0.39002009360380052</v>
      </c>
      <c r="L23" t="e">
        <f>ABS(pred_GDP_now!L23-pred_GDP_now!$B23)</f>
        <v>#N/A</v>
      </c>
      <c r="M23">
        <f>ABS(pred_GDP_now!M23-pred_GDP_now!$B23)</f>
        <v>0.34844672477815952</v>
      </c>
      <c r="N23">
        <f>ABS(pred_GDP_now!N23-pred_GDP_now!$B23)</f>
        <v>0.330742383003235</v>
      </c>
      <c r="O23">
        <f>ABS(pred_GDP_now!O23-pred_GDP_now!$B23)</f>
        <v>0.92572270232518461</v>
      </c>
      <c r="P23">
        <f>ABS(pred_GDP_now!P23-pred_GDP_now!$B23)</f>
        <v>0.60174201887781043</v>
      </c>
      <c r="R23">
        <f>ABS(pred_GDP_now!R23-pred_GDP_now!$B23)</f>
        <v>0.2343731308169581</v>
      </c>
      <c r="S23">
        <f>ABS(pred_GDP_now!S23-pred_GDP_now!$B23)</f>
        <v>0.34844672477816008</v>
      </c>
      <c r="T23">
        <f>ABS(pred_GDP_now!T23-pred_GDP_now!$B23)</f>
        <v>0.39002009360380108</v>
      </c>
      <c r="U23">
        <f>ABS(pred_GDP_now!U23-pred_GDP_now!$B23)</f>
        <v>0.35704887760402704</v>
      </c>
      <c r="V23">
        <f>ABS(pred_GDP_now!V23-pred_GDP_now!$B23)</f>
        <v>0.34208535975044807</v>
      </c>
      <c r="W23">
        <f>ABS(pred_GDP_now!W23-pred_GDP_now!$B23)</f>
        <v>0.34239956760108514</v>
      </c>
      <c r="X23">
        <f>ABS(pred_GDP_now!X23-pred_GDP_now!$B23)</f>
        <v>0.32788989525757006</v>
      </c>
      <c r="Y23">
        <f>ABS(pred_GDP_now!Y23-pred_GDP_now!$B23)</f>
        <v>0.27655384119084914</v>
      </c>
      <c r="Z23">
        <f>ABS(pred_GDP_now!Z23-pred_GDP_now!$B23)</f>
        <v>0.34261683011563404</v>
      </c>
    </row>
    <row r="24" spans="1:26" x14ac:dyDescent="0.35">
      <c r="A24" s="7">
        <v>41518</v>
      </c>
      <c r="B24" s="4">
        <v>1</v>
      </c>
      <c r="C24" t="e">
        <f>ABS(pred_GDP_now!C24-pred_GDP_now!$B24)</f>
        <v>#N/A</v>
      </c>
      <c r="D24">
        <f>ABS(pred_GDP_now!D24-pred_GDP_now!$B24)</f>
        <v>0.34719610047557792</v>
      </c>
      <c r="E24">
        <f>ABS(pred_GDP_now!E24-pred_GDP_now!$B24)</f>
        <v>0.51999297003957401</v>
      </c>
      <c r="F24" t="e">
        <f>ABS(pred_GDP_now!F24-pred_GDP_now!$B24)</f>
        <v>#N/A</v>
      </c>
      <c r="G24" t="e">
        <f>ABS(pred_GDP_now!G24-pred_GDP_now!$B24)</f>
        <v>#N/A</v>
      </c>
      <c r="H24" t="e">
        <f>ABS(pred_GDP_now!H24-pred_GDP_now!$B24)</f>
        <v>#N/A</v>
      </c>
      <c r="I24" t="e">
        <f>ABS(pred_GDP_now!I24-pred_GDP_now!$B24)</f>
        <v>#N/A</v>
      </c>
      <c r="J24" t="e">
        <f>ABS(pred_GDP_now!J24-pred_GDP_now!$B24)</f>
        <v>#N/A</v>
      </c>
      <c r="K24">
        <f>ABS(pred_GDP_now!K24-pred_GDP_now!$B24)</f>
        <v>0.24808597425171897</v>
      </c>
      <c r="L24" t="e">
        <f>ABS(pred_GDP_now!L24-pred_GDP_now!$B24)</f>
        <v>#N/A</v>
      </c>
      <c r="M24">
        <f>ABS(pred_GDP_now!M24-pred_GDP_now!$B24)</f>
        <v>0.12827103168535592</v>
      </c>
      <c r="N24">
        <f>ABS(pred_GDP_now!N24-pred_GDP_now!$B24)</f>
        <v>0.19877982139587402</v>
      </c>
      <c r="O24">
        <f>ABS(pred_GDP_now!O24-pred_GDP_now!$B24)</f>
        <v>1.1838156956435775</v>
      </c>
      <c r="P24">
        <f>ABS(pred_GDP_now!P24-pred_GDP_now!$B24)</f>
        <v>0.61904407514696103</v>
      </c>
      <c r="R24">
        <f>ABS(pred_GDP_now!R24-pred_GDP_now!$B24)</f>
        <v>0.15903541211665595</v>
      </c>
      <c r="S24">
        <f>ABS(pred_GDP_now!S24-pred_GDP_now!$B24)</f>
        <v>0.12827103168535603</v>
      </c>
      <c r="T24">
        <f>ABS(pred_GDP_now!T24-pred_GDP_now!$B24)</f>
        <v>0.24808597425171897</v>
      </c>
      <c r="U24">
        <f>ABS(pred_GDP_now!U24-pred_GDP_now!$B24)</f>
        <v>0.19672454929680006</v>
      </c>
      <c r="V24">
        <f>ABS(pred_GDP_now!V24-pred_GDP_now!$B24)</f>
        <v>0.19928499999247695</v>
      </c>
      <c r="W24">
        <f>ABS(pred_GDP_now!W24-pred_GDP_now!$B24)</f>
        <v>0.19939191843382698</v>
      </c>
      <c r="X24">
        <f>ABS(pred_GDP_now!X24-pred_GDP_now!$B24)</f>
        <v>0.19603510802152302</v>
      </c>
      <c r="Y24">
        <f>ABS(pred_GDP_now!Y24-pred_GDP_now!$B24)</f>
        <v>0.17485146100671201</v>
      </c>
      <c r="Z24">
        <f>ABS(pred_GDP_now!Z24-pred_GDP_now!$B24)</f>
        <v>0.19603510802152302</v>
      </c>
    </row>
    <row r="25" spans="1:26" x14ac:dyDescent="0.35">
      <c r="A25" s="7">
        <v>41609</v>
      </c>
      <c r="B25" s="4">
        <v>0.9</v>
      </c>
      <c r="C25" t="e">
        <f>ABS(pred_GDP_now!C25-pred_GDP_now!$B25)</f>
        <v>#N/A</v>
      </c>
      <c r="D25">
        <f>ABS(pred_GDP_now!D25-pred_GDP_now!$B25)</f>
        <v>0.61470712602375099</v>
      </c>
      <c r="E25">
        <f>ABS(pred_GDP_now!E25-pred_GDP_now!$B25)</f>
        <v>0.3635798499683659</v>
      </c>
      <c r="F25" t="e">
        <f>ABS(pred_GDP_now!F25-pred_GDP_now!$B25)</f>
        <v>#N/A</v>
      </c>
      <c r="G25" t="e">
        <f>ABS(pred_GDP_now!G25-pred_GDP_now!$B25)</f>
        <v>#N/A</v>
      </c>
      <c r="H25" t="e">
        <f>ABS(pred_GDP_now!H25-pred_GDP_now!$B25)</f>
        <v>#N/A</v>
      </c>
      <c r="I25" t="e">
        <f>ABS(pred_GDP_now!I25-pred_GDP_now!$B25)</f>
        <v>#N/A</v>
      </c>
      <c r="J25" t="e">
        <f>ABS(pred_GDP_now!J25-pred_GDP_now!$B25)</f>
        <v>#N/A</v>
      </c>
      <c r="K25">
        <f>ABS(pred_GDP_now!K25-pred_GDP_now!$B25)</f>
        <v>0.33403619341916102</v>
      </c>
      <c r="L25" t="e">
        <f>ABS(pred_GDP_now!L25-pred_GDP_now!$B25)</f>
        <v>#N/A</v>
      </c>
      <c r="M25">
        <f>ABS(pred_GDP_now!M25-pred_GDP_now!$B25)</f>
        <v>0.61958705547661597</v>
      </c>
      <c r="N25">
        <f>ABS(pred_GDP_now!N25-pred_GDP_now!$B25)</f>
        <v>0.28990898132324194</v>
      </c>
      <c r="O25">
        <f>ABS(pred_GDP_now!O25-pred_GDP_now!$B25)</f>
        <v>0.4616944298557345</v>
      </c>
      <c r="P25">
        <f>ABS(pred_GDP_now!P25-pred_GDP_now!$B25)</f>
        <v>6.8117196175197736E-2</v>
      </c>
      <c r="R25">
        <f>ABS(pred_GDP_now!R25-pred_GDP_now!$B25)</f>
        <v>0.26117742464721994</v>
      </c>
      <c r="S25">
        <f>ABS(pred_GDP_now!S25-pred_GDP_now!$B25)</f>
        <v>0.33403619341915991</v>
      </c>
      <c r="T25">
        <f>ABS(pred_GDP_now!T25-pred_GDP_now!$B25)</f>
        <v>0.33403619341915991</v>
      </c>
      <c r="U25">
        <f>ABS(pred_GDP_now!U25-pred_GDP_now!$B25)</f>
        <v>0.33403619341915991</v>
      </c>
      <c r="V25">
        <f>ABS(pred_GDP_now!V25-pred_GDP_now!$B25)</f>
        <v>0.35504314803873005</v>
      </c>
      <c r="W25">
        <f>ABS(pred_GDP_now!W25-pred_GDP_now!$B25)</f>
        <v>0.35495225371396988</v>
      </c>
      <c r="X25">
        <f>ABS(pred_GDP_now!X25-pred_GDP_now!$B25)</f>
        <v>0.33157923280092005</v>
      </c>
      <c r="Y25">
        <f>ABS(pred_GDP_now!Y25-pred_GDP_now!$B25)</f>
        <v>0.29127433111052004</v>
      </c>
      <c r="Z25">
        <f>ABS(pred_GDP_now!Z25-pred_GDP_now!$B25)</f>
        <v>0.33403619341915991</v>
      </c>
    </row>
    <row r="26" spans="1:26" x14ac:dyDescent="0.35">
      <c r="A26" s="7">
        <v>41699</v>
      </c>
      <c r="B26" s="4">
        <v>0.8</v>
      </c>
      <c r="C26" t="e">
        <f>ABS(pred_GDP_now!C26-pred_GDP_now!$B26)</f>
        <v>#N/A</v>
      </c>
      <c r="D26">
        <f>ABS(pred_GDP_now!D26-pred_GDP_now!$B26)</f>
        <v>0.70104981684364698</v>
      </c>
      <c r="E26">
        <f>ABS(pred_GDP_now!E26-pred_GDP_now!$B26)</f>
        <v>0.39201105116086787</v>
      </c>
      <c r="F26" t="e">
        <f>ABS(pred_GDP_now!F26-pred_GDP_now!$B26)</f>
        <v>#N/A</v>
      </c>
      <c r="G26" t="e">
        <f>ABS(pred_GDP_now!G26-pred_GDP_now!$B26)</f>
        <v>#N/A</v>
      </c>
      <c r="H26" t="e">
        <f>ABS(pred_GDP_now!H26-pred_GDP_now!$B26)</f>
        <v>#N/A</v>
      </c>
      <c r="I26" t="e">
        <f>ABS(pred_GDP_now!I26-pred_GDP_now!$B26)</f>
        <v>#N/A</v>
      </c>
      <c r="J26" t="e">
        <f>ABS(pred_GDP_now!J26-pred_GDP_now!$B26)</f>
        <v>#N/A</v>
      </c>
      <c r="K26">
        <f>ABS(pred_GDP_now!K26-pred_GDP_now!$B26)</f>
        <v>3.8980470830836778E-2</v>
      </c>
      <c r="L26" t="e">
        <f>ABS(pred_GDP_now!L26-pred_GDP_now!$B26)</f>
        <v>#N/A</v>
      </c>
      <c r="M26">
        <f>ABS(pred_GDP_now!M26-pred_GDP_now!$B26)</f>
        <v>6.8440613559685115E-2</v>
      </c>
      <c r="N26">
        <f>ABS(pred_GDP_now!N26-pred_GDP_now!$B26)</f>
        <v>0.11557914018630977</v>
      </c>
      <c r="O26">
        <f>ABS(pred_GDP_now!O26-pred_GDP_now!$B26)</f>
        <v>0.36342764398024202</v>
      </c>
      <c r="P26">
        <f>ABS(pred_GDP_now!P26-pred_GDP_now!$B26)</f>
        <v>0.11538558393473586</v>
      </c>
      <c r="R26">
        <f>ABS(pred_GDP_now!R26-pred_GDP_now!$B26)</f>
        <v>0.10005237679242796</v>
      </c>
      <c r="S26">
        <f>ABS(pred_GDP_now!S26-pred_GDP_now!$B26)</f>
        <v>3.8980470830836E-2</v>
      </c>
      <c r="T26">
        <f>ABS(pred_GDP_now!T26-pred_GDP_now!$B26)</f>
        <v>0.11557914018630899</v>
      </c>
      <c r="U26">
        <f>ABS(pred_GDP_now!U26-pred_GDP_now!$B26)</f>
        <v>3.8980470830836E-2</v>
      </c>
      <c r="V26">
        <f>ABS(pred_GDP_now!V26-pred_GDP_now!$B26)</f>
        <v>0.1104114720958409</v>
      </c>
      <c r="W26">
        <f>ABS(pred_GDP_now!W26-pred_GDP_now!$B26)</f>
        <v>0.11110800718232494</v>
      </c>
      <c r="X26">
        <f>ABS(pred_GDP_now!X26-pred_GDP_now!$B26)</f>
        <v>0.11511793528810499</v>
      </c>
      <c r="Y26">
        <f>ABS(pred_GDP_now!Y26-pred_GDP_now!$B26)</f>
        <v>0.11471081685154594</v>
      </c>
      <c r="Z26">
        <f>ABS(pred_GDP_now!Z26-pred_GDP_now!$B26)</f>
        <v>0.11037461559494999</v>
      </c>
    </row>
    <row r="27" spans="1:26" x14ac:dyDescent="0.35">
      <c r="A27" s="7">
        <v>41791</v>
      </c>
      <c r="B27" s="4">
        <v>0.9</v>
      </c>
      <c r="C27" t="e">
        <f>ABS(pred_GDP_now!C27-pred_GDP_now!$B27)</f>
        <v>#N/A</v>
      </c>
      <c r="D27">
        <f>ABS(pred_GDP_now!D27-pred_GDP_now!$B27)</f>
        <v>0.37039657334471199</v>
      </c>
      <c r="E27">
        <f>ABS(pred_GDP_now!E27-pred_GDP_now!$B27)</f>
        <v>0.25137108170060307</v>
      </c>
      <c r="F27" t="e">
        <f>ABS(pred_GDP_now!F27-pred_GDP_now!$B27)</f>
        <v>#N/A</v>
      </c>
      <c r="G27" t="e">
        <f>ABS(pred_GDP_now!G27-pred_GDP_now!$B27)</f>
        <v>#N/A</v>
      </c>
      <c r="H27" t="e">
        <f>ABS(pred_GDP_now!H27-pred_GDP_now!$B27)</f>
        <v>#N/A</v>
      </c>
      <c r="I27" t="e">
        <f>ABS(pred_GDP_now!I27-pred_GDP_now!$B27)</f>
        <v>#N/A</v>
      </c>
      <c r="J27" t="e">
        <f>ABS(pred_GDP_now!J27-pred_GDP_now!$B27)</f>
        <v>#N/A</v>
      </c>
      <c r="K27">
        <f>ABS(pred_GDP_now!K27-pred_GDP_now!$B27)</f>
        <v>0.15851472603343952</v>
      </c>
      <c r="L27" t="e">
        <f>ABS(pred_GDP_now!L27-pred_GDP_now!$B27)</f>
        <v>#N/A</v>
      </c>
      <c r="M27">
        <f>ABS(pred_GDP_now!M27-pred_GDP_now!$B27)</f>
        <v>7.8149089334692556E-3</v>
      </c>
      <c r="N27">
        <f>ABS(pred_GDP_now!N27-pred_GDP_now!$B27)</f>
        <v>1.9554054737091042E-2</v>
      </c>
      <c r="O27">
        <f>ABS(pred_GDP_now!O27-pred_GDP_now!$B27)</f>
        <v>1.4220070723295446</v>
      </c>
      <c r="P27">
        <f>ABS(pred_GDP_now!P27-pred_GDP_now!$B27)</f>
        <v>0.69088589120529209</v>
      </c>
      <c r="R27">
        <f>ABS(pred_GDP_now!R27-pred_GDP_now!$B27)</f>
        <v>0.23175301012177207</v>
      </c>
      <c r="S27">
        <f>ABS(pred_GDP_now!S27-pred_GDP_now!$B27)</f>
        <v>7.8149089334689226E-3</v>
      </c>
      <c r="T27">
        <f>ABS(pred_GDP_now!T27-pred_GDP_now!$B27)</f>
        <v>7.8149089334689226E-3</v>
      </c>
      <c r="U27">
        <f>ABS(pred_GDP_now!U27-pred_GDP_now!$B27)</f>
        <v>0.31296059698752499</v>
      </c>
      <c r="V27">
        <f>ABS(pred_GDP_now!V27-pred_GDP_now!$B27)</f>
        <v>4.1783129242481065E-2</v>
      </c>
      <c r="W27">
        <f>ABS(pred_GDP_now!W27-pred_GDP_now!$B27)</f>
        <v>4.2193412542664066E-2</v>
      </c>
      <c r="X27">
        <f>ABS(pred_GDP_now!X27-pred_GDP_now!$B27)</f>
        <v>7.8041487361130035E-2</v>
      </c>
      <c r="Y27">
        <f>ABS(pred_GDP_now!Y27-pred_GDP_now!$B27)</f>
        <v>0.16205239811369099</v>
      </c>
      <c r="Z27">
        <f>ABS(pred_GDP_now!Z27-pred_GDP_now!$B27)</f>
        <v>6.3652378875647009E-2</v>
      </c>
    </row>
    <row r="28" spans="1:26" x14ac:dyDescent="0.35">
      <c r="A28" s="7">
        <v>41883</v>
      </c>
      <c r="B28" s="4">
        <v>0.3</v>
      </c>
      <c r="C28" t="e">
        <f>ABS(pred_GDP_now!C28-pred_GDP_now!$B28)</f>
        <v>#N/A</v>
      </c>
      <c r="D28">
        <f>ABS(pred_GDP_now!D28-pred_GDP_now!$B28)</f>
        <v>0.99526754085969005</v>
      </c>
      <c r="E28">
        <f>ABS(pred_GDP_now!E28-pred_GDP_now!$B28)</f>
        <v>0.91106200782712388</v>
      </c>
      <c r="F28" t="e">
        <f>ABS(pred_GDP_now!F28-pred_GDP_now!$B28)</f>
        <v>#N/A</v>
      </c>
      <c r="G28" t="e">
        <f>ABS(pred_GDP_now!G28-pred_GDP_now!$B28)</f>
        <v>#N/A</v>
      </c>
      <c r="H28" t="e">
        <f>ABS(pred_GDP_now!H28-pred_GDP_now!$B28)</f>
        <v>#N/A</v>
      </c>
      <c r="I28" t="e">
        <f>ABS(pred_GDP_now!I28-pred_GDP_now!$B28)</f>
        <v>#N/A</v>
      </c>
      <c r="J28" t="e">
        <f>ABS(pred_GDP_now!J28-pred_GDP_now!$B28)</f>
        <v>#N/A</v>
      </c>
      <c r="K28">
        <f>ABS(pred_GDP_now!K28-pred_GDP_now!$B28)</f>
        <v>0.62736810752152716</v>
      </c>
      <c r="L28" t="e">
        <f>ABS(pred_GDP_now!L28-pred_GDP_now!$B28)</f>
        <v>#N/A</v>
      </c>
      <c r="M28">
        <f>ABS(pred_GDP_now!M28-pred_GDP_now!$B28)</f>
        <v>0.40368702354134717</v>
      </c>
      <c r="N28">
        <f>ABS(pred_GDP_now!N28-pred_GDP_now!$B28)</f>
        <v>0.61791230440139766</v>
      </c>
      <c r="O28">
        <f>ABS(pred_GDP_now!O28-pred_GDP_now!$B28)</f>
        <v>0.32944496716585486</v>
      </c>
      <c r="P28">
        <f>ABS(pred_GDP_now!P28-pred_GDP_now!$B28)</f>
        <v>0.45041264368978245</v>
      </c>
      <c r="R28">
        <f>ABS(pred_GDP_now!R28-pred_GDP_now!$B28)</f>
        <v>0.61930779928667401</v>
      </c>
      <c r="S28">
        <f>ABS(pred_GDP_now!S28-pred_GDP_now!$B28)</f>
        <v>0.61791230440139699</v>
      </c>
      <c r="T28">
        <f>ABS(pred_GDP_now!T28-pred_GDP_now!$B28)</f>
        <v>0.61791230440139699</v>
      </c>
      <c r="U28">
        <f>ABS(pred_GDP_now!U28-pred_GDP_now!$B28)</f>
        <v>0.61791230440139699</v>
      </c>
      <c r="V28">
        <f>ABS(pred_GDP_now!V28-pred_GDP_now!$B28)</f>
        <v>0.63228175039147994</v>
      </c>
      <c r="W28">
        <f>ABS(pred_GDP_now!W28-pred_GDP_now!$B28)</f>
        <v>0.6333868379105061</v>
      </c>
      <c r="X28">
        <f>ABS(pred_GDP_now!X28-pred_GDP_now!$B28)</f>
        <v>0.62109203709959893</v>
      </c>
      <c r="Y28">
        <f>ABS(pred_GDP_now!Y28-pred_GDP_now!$B28)</f>
        <v>0.63645183507663394</v>
      </c>
      <c r="Z28">
        <f>ABS(pred_GDP_now!Z28-pred_GDP_now!$B28)</f>
        <v>0.61930779928667401</v>
      </c>
    </row>
    <row r="29" spans="1:26" x14ac:dyDescent="0.35">
      <c r="A29" s="7">
        <v>41974</v>
      </c>
      <c r="B29" s="4">
        <v>0.5</v>
      </c>
      <c r="C29" t="e">
        <f>ABS(pred_GDP_now!C29-pred_GDP_now!$B29)</f>
        <v>#N/A</v>
      </c>
      <c r="D29">
        <f>ABS(pred_GDP_now!D29-pred_GDP_now!$B29)</f>
        <v>0.47703291489068533</v>
      </c>
      <c r="E29">
        <f>ABS(pred_GDP_now!E29-pred_GDP_now!$B29)</f>
        <v>0.48513387787608764</v>
      </c>
      <c r="F29" t="e">
        <f>ABS(pred_GDP_now!F29-pred_GDP_now!$B29)</f>
        <v>#N/A</v>
      </c>
      <c r="G29" t="e">
        <f>ABS(pred_GDP_now!G29-pred_GDP_now!$B29)</f>
        <v>#N/A</v>
      </c>
      <c r="H29" t="e">
        <f>ABS(pred_GDP_now!H29-pred_GDP_now!$B29)</f>
        <v>#N/A</v>
      </c>
      <c r="I29" t="e">
        <f>ABS(pred_GDP_now!I29-pred_GDP_now!$B29)</f>
        <v>#N/A</v>
      </c>
      <c r="J29" t="e">
        <f>ABS(pred_GDP_now!J29-pred_GDP_now!$B29)</f>
        <v>#N/A</v>
      </c>
      <c r="K29">
        <f>ABS(pred_GDP_now!K29-pred_GDP_now!$B29)</f>
        <v>0.73210641099396789</v>
      </c>
      <c r="L29" t="e">
        <f>ABS(pred_GDP_now!L29-pred_GDP_now!$B29)</f>
        <v>#N/A</v>
      </c>
      <c r="M29">
        <f>ABS(pred_GDP_now!M29-pred_GDP_now!$B29)</f>
        <v>0.21640719202011272</v>
      </c>
      <c r="N29">
        <f>ABS(pred_GDP_now!N29-pred_GDP_now!$B29)</f>
        <v>0.37230551242828369</v>
      </c>
      <c r="O29">
        <f>ABS(pred_GDP_now!O29-pred_GDP_now!$B29)</f>
        <v>0.49708018794825021</v>
      </c>
      <c r="P29">
        <f>ABS(pred_GDP_now!P29-pred_GDP_now!$B29)</f>
        <v>0.17590210642328408</v>
      </c>
      <c r="R29">
        <f>ABS(pred_GDP_now!R29-pred_GDP_now!$B29)</f>
        <v>0.28025826095488104</v>
      </c>
      <c r="S29">
        <f>ABS(pred_GDP_now!S29-pred_GDP_now!$B29)</f>
        <v>0.37230551242828303</v>
      </c>
      <c r="T29">
        <f>ABS(pred_GDP_now!T29-pred_GDP_now!$B29)</f>
        <v>0.37230551242828303</v>
      </c>
      <c r="U29">
        <f>ABS(pred_GDP_now!U29-pred_GDP_now!$B29)</f>
        <v>0.33346940232007305</v>
      </c>
      <c r="V29">
        <f>ABS(pred_GDP_now!V29-pred_GDP_now!$B29)</f>
        <v>0.40083233486400005</v>
      </c>
      <c r="W29">
        <f>ABS(pred_GDP_now!W29-pred_GDP_now!$B29)</f>
        <v>0.39998888093231699</v>
      </c>
      <c r="X29">
        <f>ABS(pred_GDP_now!X29-pred_GDP_now!$B29)</f>
        <v>0.36221871815315798</v>
      </c>
      <c r="Y29">
        <f>ABS(pred_GDP_now!Y29-pred_GDP_now!$B29)</f>
        <v>0.31519390797298097</v>
      </c>
      <c r="Z29">
        <f>ABS(pred_GDP_now!Z29-pred_GDP_now!$B29)</f>
        <v>0.371490326914098</v>
      </c>
    </row>
    <row r="30" spans="1:26" x14ac:dyDescent="0.35">
      <c r="A30" s="7">
        <v>42064</v>
      </c>
      <c r="B30" s="4">
        <v>0.9</v>
      </c>
      <c r="C30" t="e">
        <f>ABS(pred_GDP_now!C30-pred_GDP_now!$B30)</f>
        <v>#N/A</v>
      </c>
      <c r="D30">
        <f>ABS(pred_GDP_now!D30-pred_GDP_now!$B30)</f>
        <v>0.46730288209978588</v>
      </c>
      <c r="E30">
        <f>ABS(pred_GDP_now!E30-pred_GDP_now!$B30)</f>
        <v>0.32050462739391505</v>
      </c>
      <c r="F30" t="e">
        <f>ABS(pred_GDP_now!F30-pred_GDP_now!$B30)</f>
        <v>#N/A</v>
      </c>
      <c r="G30" t="e">
        <f>ABS(pred_GDP_now!G30-pred_GDP_now!$B30)</f>
        <v>#N/A</v>
      </c>
      <c r="H30" t="e">
        <f>ABS(pred_GDP_now!H30-pred_GDP_now!$B30)</f>
        <v>#N/A</v>
      </c>
      <c r="I30" t="e">
        <f>ABS(pred_GDP_now!I30-pred_GDP_now!$B30)</f>
        <v>#N/A</v>
      </c>
      <c r="J30" t="e">
        <f>ABS(pred_GDP_now!J30-pred_GDP_now!$B30)</f>
        <v>#N/A</v>
      </c>
      <c r="K30">
        <f>ABS(pred_GDP_now!K30-pred_GDP_now!$B30)</f>
        <v>7.4291412604544638E-3</v>
      </c>
      <c r="L30" t="e">
        <f>ABS(pred_GDP_now!L30-pred_GDP_now!$B30)</f>
        <v>#N/A</v>
      </c>
      <c r="M30">
        <f>ABS(pred_GDP_now!M30-pred_GDP_now!$B30)</f>
        <v>0.28980893736019653</v>
      </c>
      <c r="N30">
        <f>ABS(pred_GDP_now!N30-pred_GDP_now!$B30)</f>
        <v>0.29657468795776387</v>
      </c>
      <c r="O30">
        <f>ABS(pred_GDP_now!O30-pred_GDP_now!$B30)</f>
        <v>0.41819610278928682</v>
      </c>
      <c r="P30">
        <f>ABS(pred_GDP_now!P30-pred_GDP_now!$B30)</f>
        <v>6.8392834941295444E-2</v>
      </c>
      <c r="R30">
        <f>ABS(pred_GDP_now!R30-pred_GDP_now!$B30)</f>
        <v>4.505906623159095E-2</v>
      </c>
      <c r="S30">
        <f>ABS(pred_GDP_now!S30-pred_GDP_now!$B30)</f>
        <v>7.4291412604540197E-3</v>
      </c>
      <c r="T30">
        <f>ABS(pred_GDP_now!T30-pred_GDP_now!$B30)</f>
        <v>6.8392834941295999E-2</v>
      </c>
      <c r="U30">
        <f>ABS(pred_GDP_now!U30-pred_GDP_now!$B30)</f>
        <v>7.4291412604540197E-3</v>
      </c>
      <c r="V30">
        <f>ABS(pred_GDP_now!V30-pred_GDP_now!$B30)</f>
        <v>0.10558545971295408</v>
      </c>
      <c r="W30">
        <f>ABS(pred_GDP_now!W30-pred_GDP_now!$B30)</f>
        <v>9.8066725459160065E-2</v>
      </c>
      <c r="X30">
        <f>ABS(pred_GDP_now!X30-pred_GDP_now!$B30)</f>
        <v>5.1118137154705034E-2</v>
      </c>
      <c r="Y30">
        <f>ABS(pred_GDP_now!Y30-pred_GDP_now!$B30)</f>
        <v>4.4507485543370029E-2</v>
      </c>
      <c r="Z30">
        <f>ABS(pred_GDP_now!Z30-pred_GDP_now!$B30)</f>
        <v>7.4291412604540197E-3</v>
      </c>
    </row>
    <row r="31" spans="1:26" x14ac:dyDescent="0.35">
      <c r="A31" s="7">
        <v>42156</v>
      </c>
      <c r="B31" s="4">
        <v>0.4</v>
      </c>
      <c r="C31" t="e">
        <f>ABS(pred_GDP_now!C31-pred_GDP_now!$B31)</f>
        <v>#N/A</v>
      </c>
      <c r="D31">
        <f>ABS(pred_GDP_now!D31-pred_GDP_now!$B31)</f>
        <v>0.66268953351200699</v>
      </c>
      <c r="E31">
        <f>ABS(pred_GDP_now!E31-pred_GDP_now!$B31)</f>
        <v>0.55433407917937527</v>
      </c>
      <c r="F31" t="e">
        <f>ABS(pred_GDP_now!F31-pred_GDP_now!$B31)</f>
        <v>#N/A</v>
      </c>
      <c r="G31" t="e">
        <f>ABS(pred_GDP_now!G31-pred_GDP_now!$B31)</f>
        <v>#N/A</v>
      </c>
      <c r="H31" t="e">
        <f>ABS(pred_GDP_now!H31-pred_GDP_now!$B31)</f>
        <v>#N/A</v>
      </c>
      <c r="I31" t="e">
        <f>ABS(pred_GDP_now!I31-pred_GDP_now!$B31)</f>
        <v>#N/A</v>
      </c>
      <c r="J31" t="e">
        <f>ABS(pred_GDP_now!J31-pred_GDP_now!$B31)</f>
        <v>#N/A</v>
      </c>
      <c r="K31">
        <f>ABS(pred_GDP_now!K31-pred_GDP_now!$B31)</f>
        <v>0.15777259533185839</v>
      </c>
      <c r="L31" t="e">
        <f>ABS(pred_GDP_now!L31-pred_GDP_now!$B31)</f>
        <v>#N/A</v>
      </c>
      <c r="M31">
        <f>ABS(pred_GDP_now!M31-pred_GDP_now!$B31)</f>
        <v>0.28349186667892579</v>
      </c>
      <c r="N31">
        <f>ABS(pred_GDP_now!N31-pred_GDP_now!$B31)</f>
        <v>0.28220025300979612</v>
      </c>
      <c r="O31">
        <f>ABS(pred_GDP_now!O31-pred_GDP_now!$B31)</f>
        <v>0.64610561687756696</v>
      </c>
      <c r="P31">
        <f>ABS(pred_GDP_now!P31-pred_GDP_now!$B31)</f>
        <v>3.287788662698693E-2</v>
      </c>
      <c r="R31">
        <f>ABS(pred_GDP_now!R31-pred_GDP_now!$B31)</f>
        <v>0.18021497488677196</v>
      </c>
      <c r="S31">
        <f>ABS(pred_GDP_now!S31-pred_GDP_now!$B31)</f>
        <v>0.28220025300979601</v>
      </c>
      <c r="T31">
        <f>ABS(pred_GDP_now!T31-pred_GDP_now!$B31)</f>
        <v>0.28220025300979601</v>
      </c>
      <c r="U31">
        <f>ABS(pred_GDP_now!U31-pred_GDP_now!$B31)</f>
        <v>0.25391213684906</v>
      </c>
      <c r="V31">
        <f>ABS(pred_GDP_now!V31-pred_GDP_now!$B31)</f>
        <v>0.24212619947102199</v>
      </c>
      <c r="W31">
        <f>ABS(pred_GDP_now!W31-pred_GDP_now!$B31)</f>
        <v>0.24097684611110493</v>
      </c>
      <c r="X31">
        <f>ABS(pred_GDP_now!X31-pred_GDP_now!$B31)</f>
        <v>0.23214770014841402</v>
      </c>
      <c r="Y31">
        <f>ABS(pred_GDP_now!Y31-pred_GDP_now!$B31)</f>
        <v>0.20857448344749396</v>
      </c>
      <c r="Z31">
        <f>ABS(pred_GDP_now!Z31-pred_GDP_now!$B31)</f>
        <v>0.24212619947102199</v>
      </c>
    </row>
    <row r="32" spans="1:26" x14ac:dyDescent="0.35">
      <c r="A32" s="7">
        <v>42248</v>
      </c>
      <c r="B32" s="4">
        <v>1.5</v>
      </c>
      <c r="C32" t="e">
        <f>ABS(pred_GDP_now!C32-pred_GDP_now!$B32)</f>
        <v>#N/A</v>
      </c>
      <c r="D32">
        <f>ABS(pred_GDP_now!D32-pred_GDP_now!$B32)</f>
        <v>0.3259406613405389</v>
      </c>
      <c r="E32">
        <f>ABS(pred_GDP_now!E32-pred_GDP_now!$B32)</f>
        <v>0.33186561104810908</v>
      </c>
      <c r="F32" t="e">
        <f>ABS(pred_GDP_now!F32-pred_GDP_now!$B32)</f>
        <v>#N/A</v>
      </c>
      <c r="G32" t="e">
        <f>ABS(pred_GDP_now!G32-pred_GDP_now!$B32)</f>
        <v>#N/A</v>
      </c>
      <c r="H32" t="e">
        <f>ABS(pred_GDP_now!H32-pred_GDP_now!$B32)</f>
        <v>#N/A</v>
      </c>
      <c r="I32" t="e">
        <f>ABS(pred_GDP_now!I32-pred_GDP_now!$B32)</f>
        <v>#N/A</v>
      </c>
      <c r="J32" t="e">
        <f>ABS(pred_GDP_now!J32-pred_GDP_now!$B32)</f>
        <v>#N/A</v>
      </c>
      <c r="K32">
        <f>ABS(pred_GDP_now!K32-pred_GDP_now!$B32)</f>
        <v>0.81117947590838568</v>
      </c>
      <c r="L32" t="e">
        <f>ABS(pred_GDP_now!L32-pred_GDP_now!$B32)</f>
        <v>#N/A</v>
      </c>
      <c r="M32">
        <f>ABS(pred_GDP_now!M32-pred_GDP_now!$B32)</f>
        <v>0.57917785925768839</v>
      </c>
      <c r="N32">
        <f>ABS(pred_GDP_now!N32-pred_GDP_now!$B32)</f>
        <v>0.323286652565002</v>
      </c>
      <c r="O32">
        <f>ABS(pred_GDP_now!O32-pred_GDP_now!$B32)</f>
        <v>1.0215044385421366</v>
      </c>
      <c r="P32">
        <f>ABS(pred_GDP_now!P32-pred_GDP_now!$B32)</f>
        <v>0.93324634657546435</v>
      </c>
      <c r="R32">
        <f>ABS(pred_GDP_now!R32-pred_GDP_now!$B32)</f>
        <v>0.61802872074819004</v>
      </c>
      <c r="S32">
        <f>ABS(pred_GDP_now!S32-pred_GDP_now!$B32)</f>
        <v>0.57917785925768905</v>
      </c>
      <c r="T32">
        <f>ABS(pred_GDP_now!T32-pred_GDP_now!$B32)</f>
        <v>0.81117947590838602</v>
      </c>
      <c r="U32">
        <f>ABS(pred_GDP_now!U32-pred_GDP_now!$B32)</f>
        <v>0.57917785925768905</v>
      </c>
      <c r="V32">
        <f>ABS(pred_GDP_now!V32-pred_GDP_now!$B32)</f>
        <v>0.80167943069456404</v>
      </c>
      <c r="W32">
        <f>ABS(pred_GDP_now!W32-pred_GDP_now!$B32)</f>
        <v>0.79642505839467703</v>
      </c>
      <c r="X32">
        <f>ABS(pred_GDP_now!X32-pred_GDP_now!$B32)</f>
        <v>0.70945673811429399</v>
      </c>
      <c r="Y32">
        <f>ABS(pred_GDP_now!Y32-pred_GDP_now!$B32)</f>
        <v>0.63649333637040195</v>
      </c>
      <c r="Z32">
        <f>ABS(pred_GDP_now!Z32-pred_GDP_now!$B32)</f>
        <v>0.63024010470450498</v>
      </c>
    </row>
    <row r="33" spans="1:26" x14ac:dyDescent="0.35">
      <c r="A33" s="7">
        <v>42339</v>
      </c>
      <c r="B33" s="4">
        <v>0.8</v>
      </c>
      <c r="C33" t="e">
        <f>ABS(pred_GDP_now!C33-pred_GDP_now!$B33)</f>
        <v>#N/A</v>
      </c>
      <c r="D33">
        <f>ABS(pred_GDP_now!D33-pred_GDP_now!$B33)</f>
        <v>0.65377979708030098</v>
      </c>
      <c r="E33">
        <f>ABS(pred_GDP_now!E33-pred_GDP_now!$B33)</f>
        <v>0.52686048367762806</v>
      </c>
      <c r="F33" t="e">
        <f>ABS(pred_GDP_now!F33-pred_GDP_now!$B33)</f>
        <v>#N/A</v>
      </c>
      <c r="G33" t="e">
        <f>ABS(pred_GDP_now!G33-pred_GDP_now!$B33)</f>
        <v>#N/A</v>
      </c>
      <c r="H33" t="e">
        <f>ABS(pred_GDP_now!H33-pred_GDP_now!$B33)</f>
        <v>#N/A</v>
      </c>
      <c r="I33" t="e">
        <f>ABS(pred_GDP_now!I33-pred_GDP_now!$B33)</f>
        <v>#N/A</v>
      </c>
      <c r="J33" t="e">
        <f>ABS(pred_GDP_now!J33-pred_GDP_now!$B33)</f>
        <v>#N/A</v>
      </c>
      <c r="K33">
        <f>ABS(pred_GDP_now!K33-pred_GDP_now!$B33)</f>
        <v>5.2354814381316839E-3</v>
      </c>
      <c r="L33" t="e">
        <f>ABS(pred_GDP_now!L33-pred_GDP_now!$B33)</f>
        <v>#N/A</v>
      </c>
      <c r="M33">
        <f>ABS(pred_GDP_now!M33-pred_GDP_now!$B33)</f>
        <v>0.73722044630798989</v>
      </c>
      <c r="N33">
        <f>ABS(pred_GDP_now!N33-pred_GDP_now!$B33)</f>
        <v>4.6174812316894576E-2</v>
      </c>
      <c r="O33">
        <f>ABS(pred_GDP_now!O33-pred_GDP_now!$B33)</f>
        <v>0.2483666235434776</v>
      </c>
      <c r="P33">
        <f>ABS(pred_GDP_now!P33-pred_GDP_now!$B33)</f>
        <v>5.1062665092797555E-2</v>
      </c>
      <c r="R33">
        <f>ABS(pred_GDP_now!R33-pred_GDP_now!$B33)</f>
        <v>0.22535601536440986</v>
      </c>
      <c r="S33">
        <f>ABS(pred_GDP_now!S33-pred_GDP_now!$B33)</f>
        <v>5.2354814381309067E-3</v>
      </c>
      <c r="T33">
        <f>ABS(pred_GDP_now!T33-pred_GDP_now!$B33)</f>
        <v>4.617481231689502E-2</v>
      </c>
      <c r="U33">
        <f>ABS(pred_GDP_now!U33-pred_GDP_now!$B33)</f>
        <v>0.10106284241600694</v>
      </c>
      <c r="V33">
        <f>ABS(pred_GDP_now!V33-pred_GDP_now!$B33)</f>
        <v>0.16022079162076297</v>
      </c>
      <c r="W33">
        <f>ABS(pred_GDP_now!W33-pred_GDP_now!$B33)</f>
        <v>0.17029683658719696</v>
      </c>
      <c r="X33">
        <f>ABS(pred_GDP_now!X33-pred_GDP_now!$B33)</f>
        <v>0.26622042444498994</v>
      </c>
      <c r="Y33">
        <f>ABS(pred_GDP_now!Y33-pred_GDP_now!$B33)</f>
        <v>0.24465930658408985</v>
      </c>
      <c r="Z33">
        <f>ABS(pred_GDP_now!Z33-pred_GDP_now!$B33)</f>
        <v>0.16440212786210495</v>
      </c>
    </row>
    <row r="34" spans="1:26" x14ac:dyDescent="0.35">
      <c r="A34" s="6">
        <v>42430</v>
      </c>
      <c r="B34" s="4">
        <v>0.3</v>
      </c>
      <c r="C34">
        <f>ABS(pred_GDP_now!C34-pred_GDP_now!$B34)</f>
        <v>0.20323449467209198</v>
      </c>
      <c r="D34">
        <f>ABS(pred_GDP_now!D34-pred_GDP_now!$B34)</f>
        <v>0.10086299999999998</v>
      </c>
      <c r="E34">
        <f>ABS(pred_GDP_now!E34-pred_GDP_now!$B34)</f>
        <v>0.20688000000000001</v>
      </c>
      <c r="F34">
        <f>ABS(pred_GDP_now!F34-pred_GDP_now!$B34)</f>
        <v>7.4066999999999994E-2</v>
      </c>
      <c r="G34">
        <f>ABS(pred_GDP_now!G34-pred_GDP_now!$B34)</f>
        <v>0.44709700000000002</v>
      </c>
      <c r="H34">
        <f>ABS(pred_GDP_now!H34-pred_GDP_now!$B34)</f>
        <v>0.17644454369062001</v>
      </c>
      <c r="I34">
        <f>ABS(pred_GDP_now!I34-pred_GDP_now!$B34)</f>
        <v>0.51979479381817195</v>
      </c>
      <c r="J34">
        <f>ABS(pred_GDP_now!J34-pred_GDP_now!$B34)</f>
        <v>0.498164</v>
      </c>
      <c r="K34">
        <f>ABS(pred_GDP_now!K34-pred_GDP_now!$B34)</f>
        <v>5.01139947285274E-2</v>
      </c>
      <c r="L34">
        <f>ABS(pred_GDP_now!L34-pred_GDP_now!$B34)</f>
        <v>0.58277946000000003</v>
      </c>
      <c r="M34">
        <f>ABS(pred_GDP_now!M34-pred_GDP_now!$B34)</f>
        <v>0.23618070178995593</v>
      </c>
      <c r="N34">
        <f>ABS(pred_GDP_now!N34-pred_GDP_now!$B34)</f>
        <v>0.27159632444381715</v>
      </c>
      <c r="O34">
        <f>ABS(pred_GDP_now!O34-pred_GDP_now!$B34)</f>
        <v>3.6930000000000018E-3</v>
      </c>
      <c r="P34">
        <f>ABS(pred_GDP_now!P34-pred_GDP_now!$B34)</f>
        <v>0.25953399999999999</v>
      </c>
      <c r="R34">
        <f>ABS(pred_GDP_now!R34-pred_GDP_now!$B34)</f>
        <v>2.5279184907614993E-2</v>
      </c>
      <c r="S34">
        <f>ABS(pred_GDP_now!S34-pred_GDP_now!$B34)</f>
        <v>3.6930000000000018E-3</v>
      </c>
      <c r="T34">
        <f>ABS(pred_GDP_now!T34-pred_GDP_now!$B34)</f>
        <v>2.5279184907614993E-2</v>
      </c>
      <c r="U34">
        <f>ABS(pred_GDP_now!U34-pred_GDP_now!$B34)</f>
        <v>3.6930000000000018E-3</v>
      </c>
      <c r="V34">
        <f>ABS(pred_GDP_now!V34-pred_GDP_now!$B34)</f>
        <v>2.5279184907614993E-2</v>
      </c>
      <c r="W34">
        <f>ABS(pred_GDP_now!W34-pred_GDP_now!$B34)</f>
        <v>2.5279184907614993E-2</v>
      </c>
      <c r="X34">
        <f>ABS(pred_GDP_now!X34-pred_GDP_now!$B34)</f>
        <v>2.5279184907614993E-2</v>
      </c>
      <c r="Y34">
        <f>ABS(pred_GDP_now!Y34-pred_GDP_now!$B34)</f>
        <v>2.5279184907614993E-2</v>
      </c>
      <c r="Z34">
        <f>ABS(pred_GDP_now!Z34-pred_GDP_now!$B34)</f>
        <v>2.5279184907614993E-2</v>
      </c>
    </row>
    <row r="35" spans="1:26" x14ac:dyDescent="0.35">
      <c r="A35" s="6">
        <v>42522</v>
      </c>
      <c r="B35" s="4">
        <v>1.2</v>
      </c>
      <c r="C35">
        <f>ABS(pred_GDP_now!C35-pred_GDP_now!$B35)</f>
        <v>0.29031935186958291</v>
      </c>
      <c r="D35">
        <f>ABS(pred_GDP_now!D35-pred_GDP_now!$B35)</f>
        <v>0.307921</v>
      </c>
      <c r="E35">
        <f>ABS(pred_GDP_now!E35-pred_GDP_now!$B35)</f>
        <v>0.35188999999999993</v>
      </c>
      <c r="F35">
        <f>ABS(pred_GDP_now!F35-pred_GDP_now!$B35)</f>
        <v>0.30803700000000001</v>
      </c>
      <c r="G35">
        <f>ABS(pred_GDP_now!G35-pred_GDP_now!$B35)</f>
        <v>0.84857099999999996</v>
      </c>
      <c r="H35">
        <f>ABS(pred_GDP_now!H35-pred_GDP_now!$B35)</f>
        <v>0.13663024576350002</v>
      </c>
      <c r="I35">
        <f>ABS(pred_GDP_now!I35-pred_GDP_now!$B35)</f>
        <v>0.13135801658755986</v>
      </c>
      <c r="J35">
        <f>ABS(pred_GDP_now!J35-pred_GDP_now!$B35)</f>
        <v>6.7056000000000004E-2</v>
      </c>
      <c r="K35">
        <f>ABS(pred_GDP_now!K35-pred_GDP_now!$B35)</f>
        <v>0.14879547931120496</v>
      </c>
      <c r="L35">
        <f>ABS(pred_GDP_now!L35-pred_GDP_now!$B35)</f>
        <v>0.61812719999999999</v>
      </c>
      <c r="M35">
        <f>ABS(pred_GDP_now!M35-pred_GDP_now!$B35)</f>
        <v>0.42730051640151712</v>
      </c>
      <c r="N35">
        <f>ABS(pred_GDP_now!N35-pred_GDP_now!$B35)</f>
        <v>0.55421905517578107</v>
      </c>
      <c r="O35">
        <f>ABS(pred_GDP_now!O35-pred_GDP_now!$B35)</f>
        <v>0.63600199999999996</v>
      </c>
      <c r="P35">
        <f>ABS(pred_GDP_now!P35-pred_GDP_now!$B35)</f>
        <v>6.6575999999999969E-2</v>
      </c>
      <c r="R35">
        <f>ABS(pred_GDP_now!R35-pred_GDP_now!$B35)</f>
        <v>0.21558782728904491</v>
      </c>
      <c r="S35">
        <f>ABS(pred_GDP_now!S35-pred_GDP_now!$B35)</f>
        <v>0.29031935186958291</v>
      </c>
      <c r="T35">
        <f>ABS(pred_GDP_now!T35-pred_GDP_now!$B35)</f>
        <v>0.21558782728904491</v>
      </c>
      <c r="U35">
        <f>ABS(pred_GDP_now!U35-pred_GDP_now!$B35)</f>
        <v>0.29031935186958291</v>
      </c>
      <c r="V35">
        <f>ABS(pred_GDP_now!V35-pred_GDP_now!$B35)</f>
        <v>0.21558782728904491</v>
      </c>
      <c r="W35">
        <f>ABS(pred_GDP_now!W35-pred_GDP_now!$B35)</f>
        <v>0.21558782728904491</v>
      </c>
      <c r="X35">
        <f>ABS(pred_GDP_now!X35-pred_GDP_now!$B35)</f>
        <v>0.21558782728904491</v>
      </c>
      <c r="Y35">
        <f>ABS(pred_GDP_now!Y35-pred_GDP_now!$B35)</f>
        <v>0.21558782728904491</v>
      </c>
      <c r="Z35">
        <f>ABS(pred_GDP_now!Z35-pred_GDP_now!$B35)</f>
        <v>0.21558782728904491</v>
      </c>
    </row>
    <row r="36" spans="1:26" x14ac:dyDescent="0.35">
      <c r="A36" s="6">
        <v>42614</v>
      </c>
      <c r="B36" s="4">
        <v>0.4</v>
      </c>
      <c r="C36">
        <f>ABS(pred_GDP_now!C36-pred_GDP_now!$B36)</f>
        <v>0.15010574653569597</v>
      </c>
      <c r="D36">
        <f>ABS(pred_GDP_now!D36-pred_GDP_now!$B36)</f>
        <v>0.241954</v>
      </c>
      <c r="E36">
        <f>ABS(pred_GDP_now!E36-pred_GDP_now!$B36)</f>
        <v>0.16389500000000001</v>
      </c>
      <c r="F36">
        <f>ABS(pred_GDP_now!F36-pred_GDP_now!$B36)</f>
        <v>0.28477399999999997</v>
      </c>
      <c r="G36">
        <f>ABS(pred_GDP_now!G36-pred_GDP_now!$B36)</f>
        <v>0.53662599999999994</v>
      </c>
      <c r="H36">
        <f>ABS(pred_GDP_now!H36-pred_GDP_now!$B36)</f>
        <v>0.55351115778552196</v>
      </c>
      <c r="I36">
        <f>ABS(pred_GDP_now!I36-pred_GDP_now!$B36)</f>
        <v>0.32645207283304301</v>
      </c>
      <c r="J36">
        <f>ABS(pred_GDP_now!J36-pred_GDP_now!$B36)</f>
        <v>0.55010300000000001</v>
      </c>
      <c r="K36">
        <f>ABS(pred_GDP_now!K36-pred_GDP_now!$B36)</f>
        <v>5.4018464220400353E-2</v>
      </c>
      <c r="L36">
        <f>ABS(pred_GDP_now!L36-pred_GDP_now!$B36)</f>
        <v>0.29687809999999992</v>
      </c>
      <c r="M36">
        <f>ABS(pred_GDP_now!M36-pred_GDP_now!$B36)</f>
        <v>0.46391835914606183</v>
      </c>
      <c r="N36">
        <f>ABS(pred_GDP_now!N36-pred_GDP_now!$B36)</f>
        <v>0.52820131778717039</v>
      </c>
      <c r="O36">
        <f>ABS(pred_GDP_now!O36-pred_GDP_now!$B36)</f>
        <v>0.19265199999999993</v>
      </c>
      <c r="P36">
        <f>ABS(pred_GDP_now!P36-pred_GDP_now!$B36)</f>
        <v>4.2872999999999994E-2</v>
      </c>
      <c r="R36">
        <f>ABS(pred_GDP_now!R36-pred_GDP_now!$B36)</f>
        <v>0.29610278602368401</v>
      </c>
      <c r="S36">
        <f>ABS(pred_GDP_now!S36-pred_GDP_now!$B36)</f>
        <v>0.28477399999999997</v>
      </c>
      <c r="T36">
        <f>ABS(pred_GDP_now!T36-pred_GDP_now!$B36)</f>
        <v>0.29610278602368401</v>
      </c>
      <c r="U36">
        <f>ABS(pred_GDP_now!U36-pred_GDP_now!$B36)</f>
        <v>0.28477399999999997</v>
      </c>
      <c r="V36">
        <f>ABS(pred_GDP_now!V36-pred_GDP_now!$B36)</f>
        <v>0.29610278602368401</v>
      </c>
      <c r="W36">
        <f>ABS(pred_GDP_now!W36-pred_GDP_now!$B36)</f>
        <v>0.29610278602368401</v>
      </c>
      <c r="X36">
        <f>ABS(pred_GDP_now!X36-pred_GDP_now!$B36)</f>
        <v>0.29610278602368401</v>
      </c>
      <c r="Y36">
        <f>ABS(pred_GDP_now!Y36-pred_GDP_now!$B36)</f>
        <v>0.29610278602368401</v>
      </c>
      <c r="Z36">
        <f>ABS(pred_GDP_now!Z36-pred_GDP_now!$B36)</f>
        <v>0.29610278602368401</v>
      </c>
    </row>
    <row r="37" spans="1:26" x14ac:dyDescent="0.35">
      <c r="A37" s="6">
        <v>42705</v>
      </c>
      <c r="B37" s="4">
        <v>0.6</v>
      </c>
      <c r="C37">
        <f>ABS(pred_GDP_now!C37-pred_GDP_now!$B37)</f>
        <v>0.53103257066387</v>
      </c>
      <c r="D37">
        <f>ABS(pred_GDP_now!D37-pred_GDP_now!$B37)</f>
        <v>9.5007999999999981E-2</v>
      </c>
      <c r="E37">
        <f>ABS(pred_GDP_now!E37-pred_GDP_now!$B37)</f>
        <v>4.2044999999999999E-2</v>
      </c>
      <c r="F37">
        <f>ABS(pred_GDP_now!F37-pred_GDP_now!$B37)</f>
        <v>0.11206300000000002</v>
      </c>
      <c r="G37">
        <f>ABS(pred_GDP_now!G37-pred_GDP_now!$B37)</f>
        <v>2.424599999999999E-2</v>
      </c>
      <c r="H37">
        <f>ABS(pred_GDP_now!H37-pred_GDP_now!$B37)</f>
        <v>0.46742764461480013</v>
      </c>
      <c r="I37">
        <f>ABS(pred_GDP_now!I37-pred_GDP_now!$B37)</f>
        <v>0.27291484641943997</v>
      </c>
      <c r="J37">
        <f>ABS(pred_GDP_now!J37-pred_GDP_now!$B37)</f>
        <v>0.44562099999999993</v>
      </c>
      <c r="K37">
        <f>ABS(pred_GDP_now!K37-pred_GDP_now!$B37)</f>
        <v>0.68447570267854896</v>
      </c>
      <c r="L37">
        <f>ABS(pred_GDP_now!L37-pred_GDP_now!$B37)</f>
        <v>0.36055126000000004</v>
      </c>
      <c r="M37">
        <f>ABS(pred_GDP_now!M37-pred_GDP_now!$B37)</f>
        <v>0.13464663977169267</v>
      </c>
      <c r="N37">
        <f>ABS(pred_GDP_now!N37-pred_GDP_now!$B37)</f>
        <v>0.49948682785034204</v>
      </c>
      <c r="O37">
        <f>ABS(pred_GDP_now!O37-pred_GDP_now!$B37)</f>
        <v>0.16981599999999997</v>
      </c>
      <c r="P37">
        <f>ABS(pred_GDP_now!P37-pred_GDP_now!$B37)</f>
        <v>0.73681600000000003</v>
      </c>
      <c r="R37">
        <f>ABS(pred_GDP_now!R37-pred_GDP_now!$B37)</f>
        <v>0.35014649938451503</v>
      </c>
      <c r="S37">
        <f>ABS(pred_GDP_now!S37-pred_GDP_now!$B37)</f>
        <v>0.36055126000000004</v>
      </c>
      <c r="T37">
        <f>ABS(pred_GDP_now!T37-pred_GDP_now!$B37)</f>
        <v>0.35014649938451503</v>
      </c>
      <c r="U37">
        <f>ABS(pred_GDP_now!U37-pred_GDP_now!$B37)</f>
        <v>0.36611872595902106</v>
      </c>
      <c r="V37">
        <f>ABS(pred_GDP_now!V37-pred_GDP_now!$B37)</f>
        <v>0.35014649938451503</v>
      </c>
      <c r="W37">
        <f>ABS(pred_GDP_now!W37-pred_GDP_now!$B37)</f>
        <v>0.35014649938451503</v>
      </c>
      <c r="X37">
        <f>ABS(pred_GDP_now!X37-pred_GDP_now!$B37)</f>
        <v>0.35014649938451503</v>
      </c>
      <c r="Y37">
        <f>ABS(pred_GDP_now!Y37-pred_GDP_now!$B37)</f>
        <v>0.35014649938451503</v>
      </c>
      <c r="Z37">
        <f>ABS(pred_GDP_now!Z37-pred_GDP_now!$B37)</f>
        <v>0.35014649938451503</v>
      </c>
    </row>
    <row r="38" spans="1:26" x14ac:dyDescent="0.35">
      <c r="A38" s="6">
        <v>42795</v>
      </c>
      <c r="B38" s="4">
        <v>1</v>
      </c>
      <c r="C38">
        <f>ABS(pred_GDP_now!C38-pred_GDP_now!$B38)</f>
        <v>7.7116235841309999E-2</v>
      </c>
      <c r="D38">
        <f>ABS(pred_GDP_now!D38-pred_GDP_now!$B38)</f>
        <v>0.11991599999999991</v>
      </c>
      <c r="E38">
        <f>ABS(pred_GDP_now!E38-pred_GDP_now!$B38)</f>
        <v>9.7866999999999926E-2</v>
      </c>
      <c r="F38">
        <f>ABS(pred_GDP_now!F38-pred_GDP_now!$B38)</f>
        <v>5.4443999999999937E-2</v>
      </c>
      <c r="G38">
        <f>ABS(pred_GDP_now!G38-pred_GDP_now!$B38)</f>
        <v>0.35240899999999997</v>
      </c>
      <c r="H38">
        <f>ABS(pred_GDP_now!H38-pred_GDP_now!$B38)</f>
        <v>6.702324930744008E-2</v>
      </c>
      <c r="I38">
        <f>ABS(pred_GDP_now!I38-pred_GDP_now!$B38)</f>
        <v>4.7909377985859924E-2</v>
      </c>
      <c r="J38">
        <f>ABS(pred_GDP_now!J38-pred_GDP_now!$B38)</f>
        <v>0.11335699999999993</v>
      </c>
      <c r="K38">
        <f>ABS(pred_GDP_now!K38-pred_GDP_now!$B38)</f>
        <v>0.10479047060230307</v>
      </c>
      <c r="L38">
        <f>ABS(pred_GDP_now!L38-pred_GDP_now!$B38)</f>
        <v>0.2134948000000001</v>
      </c>
      <c r="M38">
        <f>ABS(pred_GDP_now!M38-pred_GDP_now!$B38)</f>
        <v>0.18156684596741113</v>
      </c>
      <c r="N38">
        <f>ABS(pred_GDP_now!N38-pred_GDP_now!$B38)</f>
        <v>0.10703432559967041</v>
      </c>
      <c r="O38">
        <f>ABS(pred_GDP_now!O38-pred_GDP_now!$B38)</f>
        <v>7.421600000000006E-2</v>
      </c>
      <c r="P38">
        <f>ABS(pred_GDP_now!P38-pred_GDP_now!$B38)</f>
        <v>0.44720800000000005</v>
      </c>
      <c r="R38">
        <f>ABS(pred_GDP_now!R38-pred_GDP_now!$B38)</f>
        <v>8.6826227859210015E-2</v>
      </c>
      <c r="S38">
        <f>ABS(pred_GDP_now!S38-pred_GDP_now!$B38)</f>
        <v>7.7116235841309999E-2</v>
      </c>
      <c r="T38">
        <f>ABS(pred_GDP_now!T38-pred_GDP_now!$B38)</f>
        <v>9.7866999999999926E-2</v>
      </c>
      <c r="U38">
        <f>ABS(pred_GDP_now!U38-pred_GDP_now!$B38)</f>
        <v>7.7116235841309999E-2</v>
      </c>
      <c r="V38">
        <f>ABS(pred_GDP_now!V38-pred_GDP_now!$B38)</f>
        <v>9.8026673604159953E-2</v>
      </c>
      <c r="W38">
        <f>ABS(pred_GDP_now!W38-pred_GDP_now!$B38)</f>
        <v>9.7468830780230054E-2</v>
      </c>
      <c r="X38">
        <f>ABS(pred_GDP_now!X38-pred_GDP_now!$B38)</f>
        <v>8.4539890402590023E-2</v>
      </c>
      <c r="Y38">
        <f>ABS(pred_GDP_now!Y38-pred_GDP_now!$B38)</f>
        <v>8.6265237955559959E-2</v>
      </c>
      <c r="Z38">
        <f>ABS(pred_GDP_now!Z38-pred_GDP_now!$B38)</f>
        <v>8.6265237955559959E-2</v>
      </c>
    </row>
    <row r="39" spans="1:26" x14ac:dyDescent="0.35">
      <c r="A39" s="6">
        <v>42887</v>
      </c>
      <c r="B39" s="4">
        <v>0.8</v>
      </c>
      <c r="C39">
        <f>ABS(pred_GDP_now!C39-pred_GDP_now!$B39)</f>
        <v>0.29163922040275303</v>
      </c>
      <c r="D39">
        <f>ABS(pred_GDP_now!D39-pred_GDP_now!$B39)</f>
        <v>0.30852499999999994</v>
      </c>
      <c r="E39">
        <f>ABS(pred_GDP_now!E39-pred_GDP_now!$B39)</f>
        <v>0.32605200000000001</v>
      </c>
      <c r="F39">
        <f>ABS(pred_GDP_now!F39-pred_GDP_now!$B39)</f>
        <v>0.21531400000000001</v>
      </c>
      <c r="G39">
        <f>ABS(pred_GDP_now!G39-pred_GDP_now!$B39)</f>
        <v>0.11072100000000007</v>
      </c>
      <c r="H39">
        <f>ABS(pred_GDP_now!H39-pred_GDP_now!$B39)</f>
        <v>0.13246571895148795</v>
      </c>
      <c r="I39">
        <f>ABS(pred_GDP_now!I39-pred_GDP_now!$B39)</f>
        <v>0.14488391622762897</v>
      </c>
      <c r="J39">
        <f>ABS(pred_GDP_now!J39-pred_GDP_now!$B39)</f>
        <v>1.3014000000000081E-2</v>
      </c>
      <c r="K39">
        <f>ABS(pred_GDP_now!K39-pred_GDP_now!$B39)</f>
        <v>0.22963283849532101</v>
      </c>
      <c r="L39">
        <f>ABS(pred_GDP_now!L39-pred_GDP_now!$B39)</f>
        <v>7.6627599999999907E-3</v>
      </c>
      <c r="M39">
        <f>ABS(pred_GDP_now!M39-pred_GDP_now!$B39)</f>
        <v>5.016862189900162E-3</v>
      </c>
      <c r="N39">
        <f>ABS(pred_GDP_now!N39-pred_GDP_now!$B39)</f>
        <v>0.39161152839660596</v>
      </c>
      <c r="O39">
        <f>ABS(pred_GDP_now!O39-pred_GDP_now!$B39)</f>
        <v>0.14540699999999995</v>
      </c>
      <c r="P39">
        <f>ABS(pred_GDP_now!P39-pred_GDP_now!$B39)</f>
        <v>0.484572</v>
      </c>
      <c r="R39">
        <f>ABS(pred_GDP_now!R39-pred_GDP_now!$B39)</f>
        <v>0.15854855072910701</v>
      </c>
      <c r="S39">
        <f>ABS(pred_GDP_now!S39-pred_GDP_now!$B39)</f>
        <v>0.14540699999999995</v>
      </c>
      <c r="T39">
        <f>ABS(pred_GDP_now!T39-pred_GDP_now!$B39)</f>
        <v>0.30852499999999994</v>
      </c>
      <c r="U39">
        <f>ABS(pred_GDP_now!U39-pred_GDP_now!$B39)</f>
        <v>0.14537620511960592</v>
      </c>
      <c r="V39">
        <f>ABS(pred_GDP_now!V39-pred_GDP_now!$B39)</f>
        <v>0.28664444691867996</v>
      </c>
      <c r="W39">
        <f>ABS(pred_GDP_now!W39-pred_GDP_now!$B39)</f>
        <v>0.28084988834622004</v>
      </c>
      <c r="X39">
        <f>ABS(pred_GDP_now!X39-pred_GDP_now!$B39)</f>
        <v>0.1790543015198599</v>
      </c>
      <c r="Y39">
        <f>ABS(pred_GDP_now!Y39-pred_GDP_now!$B39)</f>
        <v>0.15738065772659693</v>
      </c>
      <c r="Z39">
        <f>ABS(pred_GDP_now!Z39-pred_GDP_now!$B39)</f>
        <v>0.158187290243748</v>
      </c>
    </row>
    <row r="40" spans="1:26" x14ac:dyDescent="0.35">
      <c r="A40" s="6">
        <v>42979</v>
      </c>
      <c r="B40" s="4">
        <v>1.4</v>
      </c>
      <c r="C40">
        <f>ABS(pred_GDP_now!C40-pred_GDP_now!$B40)</f>
        <v>0.66219467981239288</v>
      </c>
      <c r="D40">
        <f>ABS(pred_GDP_now!D40-pred_GDP_now!$B40)</f>
        <v>1.1122989999999999</v>
      </c>
      <c r="E40">
        <f>ABS(pred_GDP_now!E40-pred_GDP_now!$B40)</f>
        <v>1.124247</v>
      </c>
      <c r="F40">
        <f>ABS(pred_GDP_now!F40-pred_GDP_now!$B40)</f>
        <v>1.000759</v>
      </c>
      <c r="G40">
        <f>ABS(pred_GDP_now!G40-pred_GDP_now!$B40)</f>
        <v>0.43035899999999994</v>
      </c>
      <c r="H40">
        <f>ABS(pred_GDP_now!H40-pred_GDP_now!$B40)</f>
        <v>0.65654105034134291</v>
      </c>
      <c r="I40">
        <f>ABS(pred_GDP_now!I40-pred_GDP_now!$B40)</f>
        <v>0.56526769880396088</v>
      </c>
      <c r="J40">
        <f>ABS(pred_GDP_now!J40-pred_GDP_now!$B40)</f>
        <v>0.43986799999999993</v>
      </c>
      <c r="K40">
        <f>ABS(pred_GDP_now!K40-pred_GDP_now!$B40)</f>
        <v>0.47867011227421719</v>
      </c>
      <c r="L40">
        <f>ABS(pred_GDP_now!L40-pred_GDP_now!$B40)</f>
        <v>0.72409809999999986</v>
      </c>
      <c r="M40">
        <f>ABS(pred_GDP_now!M40-pred_GDP_now!$B40)</f>
        <v>0.5995486964000496</v>
      </c>
      <c r="N40">
        <f>ABS(pred_GDP_now!N40-pred_GDP_now!$B40)</f>
        <v>0.52003791332244864</v>
      </c>
      <c r="O40">
        <f>ABS(pred_GDP_now!O40-pred_GDP_now!$B40)</f>
        <v>0.6876239999999999</v>
      </c>
      <c r="P40">
        <f>ABS(pred_GDP_now!P40-pred_GDP_now!$B40)</f>
        <v>0.42619799999999997</v>
      </c>
      <c r="R40">
        <f>ABS(pred_GDP_now!R40-pred_GDP_now!$B40)</f>
        <v>0.69210409622726288</v>
      </c>
      <c r="S40">
        <f>ABS(pred_GDP_now!S40-pred_GDP_now!$B40)</f>
        <v>0.65654105034134291</v>
      </c>
      <c r="T40">
        <f>ABS(pred_GDP_now!T40-pred_GDP_now!$B40)</f>
        <v>1.000759</v>
      </c>
      <c r="U40">
        <f>ABS(pred_GDP_now!U40-pred_GDP_now!$B40)</f>
        <v>0.65681866634733388</v>
      </c>
      <c r="V40">
        <f>ABS(pred_GDP_now!V40-pred_GDP_now!$B40)</f>
        <v>0.81279673420542986</v>
      </c>
      <c r="W40">
        <f>ABS(pred_GDP_now!W40-pred_GDP_now!$B40)</f>
        <v>0.81857950659958889</v>
      </c>
      <c r="X40">
        <f>ABS(pred_GDP_now!X40-pred_GDP_now!$B40)</f>
        <v>0.78710939000295788</v>
      </c>
      <c r="Y40">
        <f>ABS(pred_GDP_now!Y40-pred_GDP_now!$B40)</f>
        <v>0.70186834022320788</v>
      </c>
      <c r="Z40">
        <f>ABS(pred_GDP_now!Z40-pred_GDP_now!$B40)</f>
        <v>0.68847032663863195</v>
      </c>
    </row>
    <row r="41" spans="1:26" x14ac:dyDescent="0.35">
      <c r="A41" s="6">
        <v>43070</v>
      </c>
      <c r="B41" s="4">
        <v>-0.3</v>
      </c>
      <c r="C41">
        <f>ABS(pred_GDP_now!C41-pred_GDP_now!$B41)</f>
        <v>1.0100968862729991</v>
      </c>
      <c r="D41">
        <f>ABS(pred_GDP_now!D41-pred_GDP_now!$B41)</f>
        <v>1.2523789999999999</v>
      </c>
      <c r="E41">
        <f>ABS(pred_GDP_now!E41-pred_GDP_now!$B41)</f>
        <v>0.97377099999999994</v>
      </c>
      <c r="F41">
        <f>ABS(pred_GDP_now!F41-pred_GDP_now!$B41)</f>
        <v>1.195778</v>
      </c>
      <c r="G41">
        <f>ABS(pred_GDP_now!G41-pred_GDP_now!$B41)</f>
        <v>1.6875530000000001</v>
      </c>
      <c r="H41">
        <f>ABS(pred_GDP_now!H41-pred_GDP_now!$B41)</f>
        <v>1.1721196047615989</v>
      </c>
      <c r="I41">
        <f>ABS(pred_GDP_now!I41-pred_GDP_now!$B41)</f>
        <v>1.194160425082557</v>
      </c>
      <c r="J41">
        <f>ABS(pred_GDP_now!J41-pred_GDP_now!$B41)</f>
        <v>0.99409499999999995</v>
      </c>
      <c r="K41">
        <f>ABS(pred_GDP_now!K41-pred_GDP_now!$B41)</f>
        <v>0.81212529273412248</v>
      </c>
      <c r="L41">
        <f>ABS(pred_GDP_now!L41-pred_GDP_now!$B41)</f>
        <v>1.0193522500000001</v>
      </c>
      <c r="M41">
        <f>ABS(pred_GDP_now!M41-pred_GDP_now!$B41)</f>
        <v>1.0432521391802652</v>
      </c>
      <c r="N41">
        <f>ABS(pred_GDP_now!N41-pred_GDP_now!$B41)</f>
        <v>1.0988020181655884</v>
      </c>
      <c r="O41">
        <f>ABS(pred_GDP_now!O41-pred_GDP_now!$B41)</f>
        <v>0.65492799999999995</v>
      </c>
      <c r="P41">
        <f>ABS(pred_GDP_now!P41-pred_GDP_now!$B41)</f>
        <v>0.77841399999999994</v>
      </c>
      <c r="R41">
        <f>ABS(pred_GDP_now!R41-pred_GDP_now!$B41)</f>
        <v>1.0153287397074711</v>
      </c>
      <c r="S41">
        <f>ABS(pred_GDP_now!S41-pred_GDP_now!$B41)</f>
        <v>1.0193522500000001</v>
      </c>
      <c r="T41">
        <f>ABS(pred_GDP_now!T41-pred_GDP_now!$B41)</f>
        <v>1.0432521391802649</v>
      </c>
      <c r="U41">
        <f>ABS(pred_GDP_now!U41-pred_GDP_now!$B41)</f>
        <v>1.0193522500000001</v>
      </c>
      <c r="V41">
        <f>ABS(pred_GDP_now!V41-pred_GDP_now!$B41)</f>
        <v>1.0525133345736639</v>
      </c>
      <c r="W41">
        <f>ABS(pred_GDP_now!W41-pred_GDP_now!$B41)</f>
        <v>1.0493793354129379</v>
      </c>
      <c r="X41">
        <f>ABS(pred_GDP_now!X41-pred_GDP_now!$B41)</f>
        <v>1.0132568023310069</v>
      </c>
      <c r="Y41">
        <f>ABS(pred_GDP_now!Y41-pred_GDP_now!$B41)</f>
        <v>1.014004013599068</v>
      </c>
      <c r="Z41">
        <f>ABS(pred_GDP_now!Z41-pred_GDP_now!$B41)</f>
        <v>1.0193522500000001</v>
      </c>
    </row>
    <row r="42" spans="1:26" x14ac:dyDescent="0.35">
      <c r="A42" s="6">
        <v>43160</v>
      </c>
      <c r="B42" s="4">
        <v>1.3</v>
      </c>
      <c r="C42">
        <f>ABS(pred_GDP_now!C42-pred_GDP_now!$B42)</f>
        <v>0.19200216144201998</v>
      </c>
      <c r="D42">
        <f>ABS(pred_GDP_now!D42-pred_GDP_now!$B42)</f>
        <v>0.621278</v>
      </c>
      <c r="E42">
        <f>ABS(pred_GDP_now!E42-pred_GDP_now!$B42)</f>
        <v>0.49190700000000009</v>
      </c>
      <c r="F42">
        <f>ABS(pred_GDP_now!F42-pred_GDP_now!$B42)</f>
        <v>0.59031300000000009</v>
      </c>
      <c r="G42">
        <f>ABS(pred_GDP_now!G42-pred_GDP_now!$B42)</f>
        <v>0.54651500000000008</v>
      </c>
      <c r="H42">
        <f>ABS(pred_GDP_now!H42-pred_GDP_now!$B42)</f>
        <v>0.32247359896905303</v>
      </c>
      <c r="I42">
        <f>ABS(pred_GDP_now!I42-pred_GDP_now!$B42)</f>
        <v>0.29456204232079997</v>
      </c>
      <c r="J42">
        <f>ABS(pred_GDP_now!J42-pred_GDP_now!$B42)</f>
        <v>0.36293200000000003</v>
      </c>
      <c r="K42">
        <f>ABS(pred_GDP_now!K42-pred_GDP_now!$B42)</f>
        <v>8.5909835483793051E-2</v>
      </c>
      <c r="L42">
        <f>ABS(pred_GDP_now!L42-pred_GDP_now!$B42)</f>
        <v>0.49558966000000004</v>
      </c>
      <c r="M42">
        <f>ABS(pred_GDP_now!M42-pred_GDP_now!$B42)</f>
        <v>0.18822271658204515</v>
      </c>
      <c r="N42">
        <f>ABS(pred_GDP_now!N42-pred_GDP_now!$B42)</f>
        <v>0.58780174255371098</v>
      </c>
      <c r="O42">
        <f>ABS(pred_GDP_now!O42-pred_GDP_now!$B42)</f>
        <v>0.55567800000000001</v>
      </c>
      <c r="P42">
        <f>ABS(pred_GDP_now!P42-pred_GDP_now!$B42)</f>
        <v>0.41660999999999992</v>
      </c>
      <c r="R42">
        <f>ABS(pred_GDP_now!R42-pred_GDP_now!$B42)</f>
        <v>0.33631228902703303</v>
      </c>
      <c r="S42">
        <f>ABS(pred_GDP_now!S42-pred_GDP_now!$B42)</f>
        <v>0.36293200000000003</v>
      </c>
      <c r="T42">
        <f>ABS(pred_GDP_now!T42-pred_GDP_now!$B42)</f>
        <v>0.36293200000000003</v>
      </c>
      <c r="U42">
        <f>ABS(pred_GDP_now!U42-pred_GDP_now!$B42)</f>
        <v>0.35439632500613005</v>
      </c>
      <c r="V42">
        <f>ABS(pred_GDP_now!V42-pred_GDP_now!$B42)</f>
        <v>0.27896374698027016</v>
      </c>
      <c r="W42">
        <f>ABS(pred_GDP_now!W42-pred_GDP_now!$B42)</f>
        <v>0.27628187658763004</v>
      </c>
      <c r="X42">
        <f>ABS(pred_GDP_now!X42-pred_GDP_now!$B42)</f>
        <v>0.29855284067449994</v>
      </c>
      <c r="Y42">
        <f>ABS(pred_GDP_now!Y42-pred_GDP_now!$B42)</f>
        <v>0.31776567171537806</v>
      </c>
      <c r="Z42">
        <f>ABS(pred_GDP_now!Z42-pred_GDP_now!$B42)</f>
        <v>0.327995537245098</v>
      </c>
    </row>
    <row r="43" spans="1:26" x14ac:dyDescent="0.35">
      <c r="A43" s="6">
        <v>43252</v>
      </c>
      <c r="B43" s="4">
        <v>0.7</v>
      </c>
      <c r="C43">
        <f>ABS(pred_GDP_now!C43-pred_GDP_now!$B43)</f>
        <v>0.25959584354394405</v>
      </c>
      <c r="D43">
        <f>ABS(pred_GDP_now!D43-pred_GDP_now!$B43)</f>
        <v>1.1342999999999992E-2</v>
      </c>
      <c r="E43">
        <f>ABS(pred_GDP_now!E43-pred_GDP_now!$B43)</f>
        <v>0.14766399999999991</v>
      </c>
      <c r="F43">
        <f>ABS(pred_GDP_now!F43-pred_GDP_now!$B43)</f>
        <v>1.2880000000000669E-3</v>
      </c>
      <c r="G43">
        <f>ABS(pred_GDP_now!G43-pred_GDP_now!$B43)</f>
        <v>0.38373999999999997</v>
      </c>
      <c r="H43">
        <f>ABS(pred_GDP_now!H43-pred_GDP_now!$B43)</f>
        <v>0.13320853081513595</v>
      </c>
      <c r="I43">
        <f>ABS(pred_GDP_now!I43-pred_GDP_now!$B43)</f>
        <v>0.15106982796540991</v>
      </c>
      <c r="J43">
        <f>ABS(pred_GDP_now!J43-pred_GDP_now!$B43)</f>
        <v>0.13720100000000002</v>
      </c>
      <c r="K43">
        <f>ABS(pred_GDP_now!K43-pred_GDP_now!$B43)</f>
        <v>0.12273773275599065</v>
      </c>
      <c r="L43">
        <f>ABS(pred_GDP_now!L43-pred_GDP_now!$B43)</f>
        <v>6.6259099999999904E-2</v>
      </c>
      <c r="M43">
        <f>ABS(pred_GDP_now!M43-pred_GDP_now!$B43)</f>
        <v>0.20004159972254903</v>
      </c>
      <c r="N43">
        <f>ABS(pred_GDP_now!N43-pred_GDP_now!$B43)</f>
        <v>0.61321680545806911</v>
      </c>
      <c r="O43">
        <f>ABS(pred_GDP_now!O43-pred_GDP_now!$B43)</f>
        <v>1.2100999999999917E-2</v>
      </c>
      <c r="P43">
        <f>ABS(pred_GDP_now!P43-pred_GDP_now!$B43)</f>
        <v>0.10361299999999996</v>
      </c>
      <c r="R43">
        <f>ABS(pred_GDP_now!R43-pred_GDP_now!$B43)</f>
        <v>6.611527518685989E-3</v>
      </c>
      <c r="S43">
        <f>ABS(pred_GDP_now!S43-pred_GDP_now!$B43)</f>
        <v>6.6259099999999904E-2</v>
      </c>
      <c r="T43">
        <f>ABS(pred_GDP_now!T43-pred_GDP_now!$B43)</f>
        <v>0.12273773275599098</v>
      </c>
      <c r="U43">
        <f>ABS(pred_GDP_now!U43-pred_GDP_now!$B43)</f>
        <v>6.6259099999999904E-2</v>
      </c>
      <c r="V43">
        <f>ABS(pred_GDP_now!V43-pred_GDP_now!$B43)</f>
        <v>6.4205867640944936E-2</v>
      </c>
      <c r="W43">
        <f>ABS(pred_GDP_now!W43-pred_GDP_now!$B43)</f>
        <v>6.063894547748494E-2</v>
      </c>
      <c r="X43">
        <f>ABS(pred_GDP_now!X43-pred_GDP_now!$B43)</f>
        <v>2.8780402176059594E-3</v>
      </c>
      <c r="Y43">
        <f>ABS(pred_GDP_now!Y43-pred_GDP_now!$B43)</f>
        <v>4.2656668611990023E-3</v>
      </c>
      <c r="Z43">
        <f>ABS(pred_GDP_now!Z43-pred_GDP_now!$B43)</f>
        <v>6.4205867640944936E-2</v>
      </c>
    </row>
    <row r="44" spans="1:26" x14ac:dyDescent="0.35">
      <c r="A44" s="6">
        <v>43344</v>
      </c>
      <c r="B44" s="4">
        <v>0.6</v>
      </c>
      <c r="C44">
        <f>ABS(pred_GDP_now!C44-pred_GDP_now!$B44)</f>
        <v>0.37109739262780206</v>
      </c>
      <c r="D44">
        <f>ABS(pred_GDP_now!D44-pred_GDP_now!$B44)</f>
        <v>7.6311999999999935E-2</v>
      </c>
      <c r="E44">
        <f>ABS(pred_GDP_now!E44-pred_GDP_now!$B44)</f>
        <v>0.124334</v>
      </c>
      <c r="F44">
        <f>ABS(pred_GDP_now!F44-pred_GDP_now!$B44)</f>
        <v>2.8575999999999935E-2</v>
      </c>
      <c r="G44">
        <f>ABS(pred_GDP_now!G44-pred_GDP_now!$B44)</f>
        <v>0.23822199999999999</v>
      </c>
      <c r="H44">
        <f>ABS(pred_GDP_now!H44-pred_GDP_now!$B44)</f>
        <v>0.48001629740860008</v>
      </c>
      <c r="I44">
        <f>ABS(pred_GDP_now!I44-pred_GDP_now!$B44)</f>
        <v>0.44576878418998012</v>
      </c>
      <c r="J44">
        <f>ABS(pred_GDP_now!J44-pred_GDP_now!$B44)</f>
        <v>0.10181600000000002</v>
      </c>
      <c r="K44">
        <f>ABS(pred_GDP_now!K44-pred_GDP_now!$B44)</f>
        <v>4.2563609702256366E-3</v>
      </c>
      <c r="L44">
        <f>ABS(pred_GDP_now!L44-pred_GDP_now!$B44)</f>
        <v>0.25250707</v>
      </c>
      <c r="M44">
        <f>ABS(pred_GDP_now!M44-pred_GDP_now!$B44)</f>
        <v>1.9243700929505336E-2</v>
      </c>
      <c r="N44">
        <f>ABS(pred_GDP_now!N44-pred_GDP_now!$B44)</f>
        <v>8.5457348823547385E-2</v>
      </c>
      <c r="O44">
        <f>ABS(pred_GDP_now!O44-pred_GDP_now!$B44)</f>
        <v>7.9212999999999978E-2</v>
      </c>
      <c r="P44">
        <f>ABS(pred_GDP_now!P44-pred_GDP_now!$B44)</f>
        <v>0.27948099999999998</v>
      </c>
      <c r="R44">
        <f>ABS(pred_GDP_now!R44-pred_GDP_now!$B44)</f>
        <v>6.0551647160819067E-2</v>
      </c>
      <c r="S44">
        <f>ABS(pred_GDP_now!S44-pred_GDP_now!$B44)</f>
        <v>4.2563609702249705E-3</v>
      </c>
      <c r="T44">
        <f>ABS(pred_GDP_now!T44-pred_GDP_now!$B44)</f>
        <v>4.2563609702249705E-3</v>
      </c>
      <c r="U44">
        <f>ABS(pred_GDP_now!U44-pred_GDP_now!$B44)</f>
        <v>3.5839223730270708E-3</v>
      </c>
      <c r="V44">
        <f>ABS(pred_GDP_now!V44-pred_GDP_now!$B44)</f>
        <v>5.7856486438050969E-2</v>
      </c>
      <c r="W44">
        <f>ABS(pred_GDP_now!W44-pred_GDP_now!$B44)</f>
        <v>5.2982565430816031E-2</v>
      </c>
      <c r="X44">
        <f>ABS(pred_GDP_now!X44-pred_GDP_now!$B44)</f>
        <v>4.7709770450915068E-2</v>
      </c>
      <c r="Y44">
        <f>ABS(pred_GDP_now!Y44-pred_GDP_now!$B44)</f>
        <v>6.038020812192002E-2</v>
      </c>
      <c r="Z44">
        <f>ABS(pred_GDP_now!Z44-pred_GDP_now!$B44)</f>
        <v>4.2563609702249705E-3</v>
      </c>
    </row>
    <row r="45" spans="1:26" x14ac:dyDescent="0.35">
      <c r="A45" s="6">
        <v>43435</v>
      </c>
      <c r="B45" s="4">
        <v>0.6</v>
      </c>
      <c r="C45">
        <f>ABS(pred_GDP_now!C45-pred_GDP_now!$B45)</f>
        <v>0.33410847368081398</v>
      </c>
      <c r="D45">
        <f>ABS(pred_GDP_now!D45-pred_GDP_now!$B45)</f>
        <v>0.50305999999999995</v>
      </c>
      <c r="E45">
        <f>ABS(pred_GDP_now!E45-pred_GDP_now!$B45)</f>
        <v>0.62168999999999996</v>
      </c>
      <c r="F45">
        <f>ABS(pred_GDP_now!F45-pred_GDP_now!$B45)</f>
        <v>0.35411099999999995</v>
      </c>
      <c r="G45">
        <f>ABS(pred_GDP_now!G45-pred_GDP_now!$B45)</f>
        <v>0.14957399999999998</v>
      </c>
      <c r="H45">
        <f>ABS(pred_GDP_now!H45-pred_GDP_now!$B45)</f>
        <v>0.24896725942009995</v>
      </c>
      <c r="I45">
        <f>ABS(pred_GDP_now!I45-pred_GDP_now!$B45)</f>
        <v>6.1246054498108049E-2</v>
      </c>
      <c r="J45">
        <f>ABS(pred_GDP_now!J45-pred_GDP_now!$B45)</f>
        <v>0.10308300000000004</v>
      </c>
      <c r="K45">
        <f>ABS(pred_GDP_now!K45-pred_GDP_now!$B45)</f>
        <v>0.14688172158614626</v>
      </c>
      <c r="L45">
        <f>ABS(pred_GDP_now!L45-pred_GDP_now!$B45)</f>
        <v>0.54391584399999993</v>
      </c>
      <c r="M45">
        <f>ABS(pred_GDP_now!M45-pred_GDP_now!$B45)</f>
        <v>0.53997128534655092</v>
      </c>
      <c r="N45">
        <f>ABS(pred_GDP_now!N45-pred_GDP_now!$B45)</f>
        <v>0.12548359632492068</v>
      </c>
      <c r="O45">
        <f>ABS(pred_GDP_now!O45-pred_GDP_now!$B45)</f>
        <v>0.482321</v>
      </c>
      <c r="P45">
        <f>ABS(pred_GDP_now!P45-pred_GDP_now!$B45)</f>
        <v>0.189253</v>
      </c>
      <c r="R45">
        <f>ABS(pred_GDP_now!R45-pred_GDP_now!$B45)</f>
        <v>0.19957879711672999</v>
      </c>
      <c r="S45">
        <f>ABS(pred_GDP_now!S45-pred_GDP_now!$B45)</f>
        <v>0.24896725942009995</v>
      </c>
      <c r="T45">
        <f>ABS(pred_GDP_now!T45-pred_GDP_now!$B45)</f>
        <v>0.14688172158614698</v>
      </c>
      <c r="U45">
        <f>ABS(pred_GDP_now!U45-pred_GDP_now!$B45)</f>
        <v>0.269301217487742</v>
      </c>
      <c r="V45">
        <f>ABS(pred_GDP_now!V45-pred_GDP_now!$B45)</f>
        <v>0.25235301125322895</v>
      </c>
      <c r="W45">
        <f>ABS(pred_GDP_now!W45-pred_GDP_now!$B45)</f>
        <v>0.247192226554376</v>
      </c>
      <c r="X45">
        <f>ABS(pred_GDP_now!X45-pred_GDP_now!$B45)</f>
        <v>0.20413937719240899</v>
      </c>
      <c r="Y45">
        <f>ABS(pred_GDP_now!Y45-pred_GDP_now!$B45)</f>
        <v>0.20000461885166798</v>
      </c>
      <c r="Z45">
        <f>ABS(pred_GDP_now!Z45-pred_GDP_now!$B45)</f>
        <v>0.248535585348513</v>
      </c>
    </row>
    <row r="46" spans="1:26" x14ac:dyDescent="0.35">
      <c r="A46" s="6">
        <v>43525</v>
      </c>
      <c r="B46" s="4">
        <v>-0.1</v>
      </c>
      <c r="C46">
        <f>ABS(pred_GDP_now!C46-pred_GDP_now!$B46)</f>
        <v>0.218252665541146</v>
      </c>
      <c r="D46">
        <f>ABS(pred_GDP_now!D46-pred_GDP_now!$B46)</f>
        <v>2.7740000000000001E-2</v>
      </c>
      <c r="E46">
        <f>ABS(pred_GDP_now!E46-pred_GDP_now!$B46)</f>
        <v>0.22045000000000001</v>
      </c>
      <c r="F46">
        <f>ABS(pred_GDP_now!F46-pred_GDP_now!$B46)</f>
        <v>0.25650499999999998</v>
      </c>
      <c r="G46">
        <f>ABS(pred_GDP_now!G46-pred_GDP_now!$B46)</f>
        <v>0.85638000000000003</v>
      </c>
      <c r="H46">
        <f>ABS(pred_GDP_now!H46-pred_GDP_now!$B46)</f>
        <v>0.61255534718245697</v>
      </c>
      <c r="I46">
        <f>ABS(pred_GDP_now!I46-pred_GDP_now!$B46)</f>
        <v>0.70620221756519996</v>
      </c>
      <c r="J46">
        <f>ABS(pred_GDP_now!J46-pred_GDP_now!$B46)</f>
        <v>0.46154300000000004</v>
      </c>
      <c r="K46">
        <f>ABS(pred_GDP_now!K46-pred_GDP_now!$B46)</f>
        <v>1.3809949015451656E-2</v>
      </c>
      <c r="L46">
        <f>ABS(pred_GDP_now!L46-pred_GDP_now!$B46)</f>
        <v>0.81092299999999995</v>
      </c>
      <c r="M46">
        <f>ABS(pred_GDP_now!M46-pred_GDP_now!$B46)</f>
        <v>0.71333592145004554</v>
      </c>
      <c r="N46">
        <f>ABS(pred_GDP_now!N46-pred_GDP_now!$B46)</f>
        <v>0.78573641777038572</v>
      </c>
      <c r="O46">
        <f>ABS(pred_GDP_now!O46-pred_GDP_now!$B46)</f>
        <v>0.46797699999999998</v>
      </c>
      <c r="P46">
        <f>ABS(pred_GDP_now!P46-pred_GDP_now!$B46)</f>
        <v>0.11914</v>
      </c>
      <c r="R46">
        <f>ABS(pred_GDP_now!R46-pred_GDP_now!$B46)</f>
        <v>0.29223357834805197</v>
      </c>
      <c r="S46">
        <f>ABS(pred_GDP_now!S46-pred_GDP_now!$B46)</f>
        <v>0.25650499999999998</v>
      </c>
      <c r="T46">
        <f>ABS(pred_GDP_now!T46-pred_GDP_now!$B46)</f>
        <v>0.46154300000000004</v>
      </c>
      <c r="U46">
        <f>ABS(pred_GDP_now!U46-pred_GDP_now!$B46)</f>
        <v>0.24145007754300102</v>
      </c>
      <c r="V46">
        <f>ABS(pred_GDP_now!V46-pred_GDP_now!$B46)</f>
        <v>1.4863713396216102E-2</v>
      </c>
      <c r="W46">
        <f>ABS(pred_GDP_now!W46-pred_GDP_now!$B46)</f>
        <v>1.5501631504712801E-2</v>
      </c>
      <c r="X46">
        <f>ABS(pred_GDP_now!X46-pred_GDP_now!$B46)</f>
        <v>0.20157972148325801</v>
      </c>
      <c r="Y46">
        <f>ABS(pred_GDP_now!Y46-pred_GDP_now!$B46)</f>
        <v>0.29175247718307001</v>
      </c>
      <c r="Z46">
        <f>ABS(pred_GDP_now!Z46-pred_GDP_now!$B46)</f>
        <v>0.240800702749698</v>
      </c>
    </row>
    <row r="47" spans="1:26" x14ac:dyDescent="0.35">
      <c r="A47" s="6">
        <v>43617</v>
      </c>
      <c r="B47" s="4">
        <v>1.1000000000000001</v>
      </c>
      <c r="C47">
        <f>ABS(pred_GDP_now!C47-pred_GDP_now!$B47)</f>
        <v>1.1568352761649914E-2</v>
      </c>
      <c r="D47">
        <f>ABS(pred_GDP_now!D47-pred_GDP_now!$B47)</f>
        <v>0.24591500000000011</v>
      </c>
      <c r="E47">
        <f>ABS(pred_GDP_now!E47-pred_GDP_now!$B47)</f>
        <v>0.26245800000000008</v>
      </c>
      <c r="F47">
        <f>ABS(pred_GDP_now!F47-pred_GDP_now!$B47)</f>
        <v>0.29676200000000008</v>
      </c>
      <c r="G47">
        <f>ABS(pred_GDP_now!G47-pred_GDP_now!$B47)</f>
        <v>0.15487600000000001</v>
      </c>
      <c r="H47">
        <f>ABS(pred_GDP_now!H47-pred_GDP_now!$B47)</f>
        <v>5.9983399256440029E-2</v>
      </c>
      <c r="I47">
        <f>ABS(pred_GDP_now!I47-pred_GDP_now!$B47)</f>
        <v>0.10381755305295004</v>
      </c>
      <c r="J47">
        <f>ABS(pred_GDP_now!J47-pred_GDP_now!$B47)</f>
        <v>0.21900900000000012</v>
      </c>
      <c r="K47">
        <f>ABS(pred_GDP_now!K47-pred_GDP_now!$B47)</f>
        <v>0.22702054263023763</v>
      </c>
      <c r="L47">
        <f>ABS(pred_GDP_now!L47-pred_GDP_now!$B47)</f>
        <v>0.58711120000000006</v>
      </c>
      <c r="M47">
        <f>ABS(pred_GDP_now!M47-pred_GDP_now!$B47)</f>
        <v>0.23521609151383027</v>
      </c>
      <c r="N47">
        <f>ABS(pred_GDP_now!N47-pred_GDP_now!$B47)</f>
        <v>0.20905508995056188</v>
      </c>
      <c r="O47">
        <f>ABS(pred_GDP_now!O47-pred_GDP_now!$B47)</f>
        <v>0.12701000000000007</v>
      </c>
      <c r="P47">
        <f>ABS(pred_GDP_now!P47-pred_GDP_now!$B47)</f>
        <v>3.3297000000000132E-2</v>
      </c>
      <c r="R47">
        <f>ABS(pred_GDP_now!R47-pred_GDP_now!$B47)</f>
        <v>0.16745971874932708</v>
      </c>
      <c r="S47">
        <f>ABS(pred_GDP_now!S47-pred_GDP_now!$B47)</f>
        <v>0.21900900000000012</v>
      </c>
      <c r="T47">
        <f>ABS(pred_GDP_now!T47-pred_GDP_now!$B47)</f>
        <v>0.24591500000000011</v>
      </c>
      <c r="U47">
        <f>ABS(pred_GDP_now!U47-pred_GDP_now!$B47)</f>
        <v>0.21900900000000012</v>
      </c>
      <c r="V47">
        <f>ABS(pred_GDP_now!V47-pred_GDP_now!$B47)</f>
        <v>0.20583508807734607</v>
      </c>
      <c r="W47">
        <f>ABS(pred_GDP_now!W47-pred_GDP_now!$B47)</f>
        <v>0.2044325479832001</v>
      </c>
      <c r="X47">
        <f>ABS(pred_GDP_now!X47-pred_GDP_now!$B47)</f>
        <v>0.18943704924831106</v>
      </c>
      <c r="Y47">
        <f>ABS(pred_GDP_now!Y47-pred_GDP_now!$B47)</f>
        <v>0.16778809777253112</v>
      </c>
      <c r="Z47">
        <f>ABS(pred_GDP_now!Z47-pred_GDP_now!$B47)</f>
        <v>0.20583508807734607</v>
      </c>
    </row>
    <row r="48" spans="1:26" x14ac:dyDescent="0.35">
      <c r="A48" s="6">
        <v>43709</v>
      </c>
      <c r="B48" s="4">
        <v>0.4</v>
      </c>
      <c r="C48">
        <f>ABS(pred_GDP_now!C48-pred_GDP_now!$B48)</f>
        <v>0.29987894239150903</v>
      </c>
      <c r="D48">
        <f>ABS(pred_GDP_now!D48-pred_GDP_now!$B48)</f>
        <v>4.9809999999999965E-2</v>
      </c>
      <c r="E48">
        <f>ABS(pred_GDP_now!E48-pred_GDP_now!$B48)</f>
        <v>4.8457000000000028E-2</v>
      </c>
      <c r="F48">
        <f>ABS(pred_GDP_now!F48-pred_GDP_now!$B48)</f>
        <v>0.11146299999999998</v>
      </c>
      <c r="G48">
        <f>ABS(pred_GDP_now!G48-pred_GDP_now!$B48)</f>
        <v>0.60011599999999998</v>
      </c>
      <c r="H48">
        <f>ABS(pred_GDP_now!H48-pred_GDP_now!$B48)</f>
        <v>7.8874448953350995E-2</v>
      </c>
      <c r="I48">
        <f>ABS(pred_GDP_now!I48-pred_GDP_now!$B48)</f>
        <v>0.26429596497350893</v>
      </c>
      <c r="J48">
        <f>ABS(pred_GDP_now!J48-pred_GDP_now!$B48)</f>
        <v>0.28031200000000001</v>
      </c>
      <c r="K48">
        <f>ABS(pred_GDP_now!K48-pred_GDP_now!$B48)</f>
        <v>7.01582579438082E-2</v>
      </c>
      <c r="L48">
        <f>ABS(pred_GDP_now!L48-pred_GDP_now!$B48)</f>
        <v>0.78938549999999996</v>
      </c>
      <c r="M48">
        <f>ABS(pred_GDP_now!M48-pred_GDP_now!$B48)</f>
        <v>0.30446534471822129</v>
      </c>
      <c r="N48">
        <f>ABS(pred_GDP_now!N48-pred_GDP_now!$B48)</f>
        <v>0.61489472389221189</v>
      </c>
      <c r="O48">
        <f>ABS(pred_GDP_now!O48-pred_GDP_now!$B48)</f>
        <v>0.40779100000000001</v>
      </c>
      <c r="P48">
        <f>ABS(pred_GDP_now!P48-pred_GDP_now!$B48)</f>
        <v>0.38579399999999997</v>
      </c>
      <c r="R48">
        <f>ABS(pred_GDP_now!R48-pred_GDP_now!$B48)</f>
        <v>0.27758970637481595</v>
      </c>
      <c r="S48">
        <f>ABS(pred_GDP_now!S48-pred_GDP_now!$B48)</f>
        <v>0.28031200000000001</v>
      </c>
      <c r="T48">
        <f>ABS(pred_GDP_now!T48-pred_GDP_now!$B48)</f>
        <v>7.0158257943807978E-2</v>
      </c>
      <c r="U48">
        <f>ABS(pred_GDP_now!U48-pred_GDP_now!$B48)</f>
        <v>0.27927159248540401</v>
      </c>
      <c r="V48">
        <f>ABS(pred_GDP_now!V48-pred_GDP_now!$B48)</f>
        <v>0.16313576192052193</v>
      </c>
      <c r="W48">
        <f>ABS(pred_GDP_now!W48-pred_GDP_now!$B48)</f>
        <v>0.16634621175782494</v>
      </c>
      <c r="X48">
        <f>ABS(pred_GDP_now!X48-pred_GDP_now!$B48)</f>
        <v>0.21178734885489903</v>
      </c>
      <c r="Y48">
        <f>ABS(pred_GDP_now!Y48-pred_GDP_now!$B48)</f>
        <v>0.26708364206718693</v>
      </c>
      <c r="Z48">
        <f>ABS(pred_GDP_now!Z48-pred_GDP_now!$B48)</f>
        <v>0.26660049130640595</v>
      </c>
    </row>
    <row r="49" spans="1:26" x14ac:dyDescent="0.35">
      <c r="A49" s="6">
        <v>43800</v>
      </c>
      <c r="B49" s="4">
        <v>1.2</v>
      </c>
      <c r="C49">
        <f>ABS(pred_GDP_now!C49-pred_GDP_now!$B49)</f>
        <v>0.62409547447595992</v>
      </c>
      <c r="D49">
        <f>ABS(pred_GDP_now!D49-pred_GDP_now!$B49)</f>
        <v>0.57901499999999995</v>
      </c>
      <c r="E49">
        <f>ABS(pred_GDP_now!E49-pred_GDP_now!$B49)</f>
        <v>0.64532299999999998</v>
      </c>
      <c r="F49">
        <f>ABS(pred_GDP_now!F49-pred_GDP_now!$B49)</f>
        <v>0.57649399999999995</v>
      </c>
      <c r="G49">
        <f>ABS(pred_GDP_now!G49-pred_GDP_now!$B49)</f>
        <v>0.91121099999999999</v>
      </c>
      <c r="H49">
        <f>ABS(pred_GDP_now!H49-pred_GDP_now!$B49)</f>
        <v>0.2244717137510549</v>
      </c>
      <c r="I49">
        <f>ABS(pred_GDP_now!I49-pred_GDP_now!$B49)</f>
        <v>7.5382591883659922E-2</v>
      </c>
      <c r="J49">
        <f>ABS(pred_GDP_now!J49-pred_GDP_now!$B49)</f>
        <v>0.347908</v>
      </c>
      <c r="K49">
        <f>ABS(pred_GDP_now!K49-pred_GDP_now!$B49)</f>
        <v>0.30219840452516133</v>
      </c>
      <c r="L49">
        <f>ABS(pred_GDP_now!L49-pred_GDP_now!$B49)</f>
        <v>0.32632774999999992</v>
      </c>
      <c r="M49">
        <f>ABS(pred_GDP_now!M49-pred_GDP_now!$B49)</f>
        <v>0.49776750170176454</v>
      </c>
      <c r="N49">
        <f>ABS(pred_GDP_now!N49-pred_GDP_now!$B49)</f>
        <v>1.1229791685938835</v>
      </c>
      <c r="O49">
        <f>ABS(pred_GDP_now!O49-pred_GDP_now!$B49)</f>
        <v>0.83404599999999995</v>
      </c>
      <c r="P49">
        <f>ABS(pred_GDP_now!P49-pred_GDP_now!$B49)</f>
        <v>0.33248800000000001</v>
      </c>
      <c r="R49">
        <f>ABS(pred_GDP_now!R49-pred_GDP_now!$B49)</f>
        <v>0.49911512345626896</v>
      </c>
      <c r="S49">
        <f>ABS(pred_GDP_now!S49-pred_GDP_now!$B49)</f>
        <v>0.49776750170176498</v>
      </c>
      <c r="T49">
        <f>ABS(pred_GDP_now!T49-pred_GDP_now!$B49)</f>
        <v>0.33248800000000001</v>
      </c>
      <c r="U49">
        <f>ABS(pred_GDP_now!U49-pred_GDP_now!$B49)</f>
        <v>0.48650353615090991</v>
      </c>
      <c r="V49">
        <f>ABS(pred_GDP_now!V49-pred_GDP_now!$B49)</f>
        <v>0.39049034134098093</v>
      </c>
      <c r="W49">
        <f>ABS(pred_GDP_now!W49-pred_GDP_now!$B49)</f>
        <v>0.39433512466543097</v>
      </c>
      <c r="X49">
        <f>ABS(pred_GDP_now!X49-pred_GDP_now!$B49)</f>
        <v>0.43155658064535096</v>
      </c>
      <c r="Y49">
        <f>ABS(pred_GDP_now!Y49-pred_GDP_now!$B49)</f>
        <v>0.49444103392916894</v>
      </c>
      <c r="Z49">
        <f>ABS(pred_GDP_now!Z49-pred_GDP_now!$B49)</f>
        <v>0.47218270587433298</v>
      </c>
    </row>
    <row r="50" spans="1:26" x14ac:dyDescent="0.35">
      <c r="A50" s="6">
        <v>43891</v>
      </c>
      <c r="B50" s="4">
        <v>-1.3</v>
      </c>
      <c r="C50">
        <f>ABS(pred_GDP_now!C50-pred_GDP_now!$B50)</f>
        <v>1.2606112519243642</v>
      </c>
      <c r="D50">
        <f>ABS(pred_GDP_now!D50-pred_GDP_now!$B50)</f>
        <v>1.29525</v>
      </c>
      <c r="E50">
        <f>ABS(pred_GDP_now!E50-pred_GDP_now!$B50)</f>
        <v>1.1533900000000001</v>
      </c>
      <c r="F50">
        <f>ABS(pred_GDP_now!F50-pred_GDP_now!$B50)</f>
        <v>1.4801690000000001</v>
      </c>
      <c r="G50">
        <f>ABS(pred_GDP_now!G50-pred_GDP_now!$B50)</f>
        <v>1.579367</v>
      </c>
      <c r="H50">
        <f>ABS(pred_GDP_now!H50-pred_GDP_now!$B50)</f>
        <v>1.2639838499731704</v>
      </c>
      <c r="I50">
        <f>ABS(pred_GDP_now!I50-pred_GDP_now!$B50)</f>
        <v>1.924116126451483</v>
      </c>
      <c r="J50">
        <f>ABS(pred_GDP_now!J50-pred_GDP_now!$B50)</f>
        <v>2.1396190000000002</v>
      </c>
      <c r="K50">
        <f>ABS(pred_GDP_now!K50-pred_GDP_now!$B50)</f>
        <v>1.5318738090357293</v>
      </c>
      <c r="L50">
        <f>ABS(pred_GDP_now!L50-pred_GDP_now!$B50)</f>
        <v>0.57868134000000004</v>
      </c>
      <c r="M50">
        <f>ABS(pred_GDP_now!M50-pred_GDP_now!$B50)</f>
        <v>1.3574058477895756</v>
      </c>
      <c r="N50">
        <f>ABS(pred_GDP_now!N50-pred_GDP_now!$B50)</f>
        <v>1.600211101770401</v>
      </c>
      <c r="O50">
        <f>ABS(pred_GDP_now!O50-pred_GDP_now!$B50)</f>
        <v>1.2721930000000001</v>
      </c>
      <c r="P50">
        <f>ABS(pred_GDP_now!P50-pred_GDP_now!$B50)</f>
        <v>1.332603</v>
      </c>
      <c r="R50">
        <f>ABS(pred_GDP_now!R50-pred_GDP_now!$B50)</f>
        <v>1.3992390251495941</v>
      </c>
      <c r="S50">
        <f>ABS(pred_GDP_now!S50-pred_GDP_now!$B50)</f>
        <v>1.332603</v>
      </c>
      <c r="T50">
        <f>ABS(pred_GDP_now!T50-pred_GDP_now!$B50)</f>
        <v>1.332603</v>
      </c>
      <c r="U50">
        <f>ABS(pred_GDP_now!U50-pred_GDP_now!$B50)</f>
        <v>1.3202201485618348</v>
      </c>
      <c r="V50">
        <f>ABS(pred_GDP_now!V50-pred_GDP_now!$B50)</f>
        <v>1.470883111442701</v>
      </c>
      <c r="W50">
        <f>ABS(pred_GDP_now!W50-pred_GDP_now!$B50)</f>
        <v>1.4705800836515031</v>
      </c>
      <c r="X50">
        <f>ABS(pred_GDP_now!X50-pred_GDP_now!$B50)</f>
        <v>1.452310564205332</v>
      </c>
      <c r="Y50">
        <f>ABS(pred_GDP_now!Y50-pred_GDP_now!$B50)</f>
        <v>1.412997188865176</v>
      </c>
      <c r="Z50">
        <f>ABS(pred_GDP_now!Z50-pred_GDP_now!$B50)</f>
        <v>1.332603</v>
      </c>
    </row>
    <row r="51" spans="1:26" x14ac:dyDescent="0.35">
      <c r="A51" s="6">
        <v>43983</v>
      </c>
      <c r="B51" s="4">
        <v>-3</v>
      </c>
      <c r="C51">
        <f>ABS(pred_GDP_now!C51-pred_GDP_now!$B51)</f>
        <v>2.4550175620935661</v>
      </c>
      <c r="D51">
        <f>ABS(pred_GDP_now!D51-pred_GDP_now!$B51)</f>
        <v>1.74597</v>
      </c>
      <c r="E51">
        <f>ABS(pred_GDP_now!E51-pred_GDP_now!$B51)</f>
        <v>1.8387899999999999</v>
      </c>
      <c r="F51">
        <f>ABS(pred_GDP_now!F51-pred_GDP_now!$B51)</f>
        <v>2.5081099999999998</v>
      </c>
      <c r="G51">
        <f>ABS(pred_GDP_now!G51-pred_GDP_now!$B51)</f>
        <v>4.8241300000000003</v>
      </c>
      <c r="H51">
        <f>ABS(pred_GDP_now!H51-pred_GDP_now!$B51)</f>
        <v>2.1191515609096969</v>
      </c>
      <c r="I51">
        <f>ABS(pred_GDP_now!I51-pred_GDP_now!$B51)</f>
        <v>3.2533575570368578</v>
      </c>
      <c r="J51">
        <f>ABS(pred_GDP_now!J51-pred_GDP_now!$B51)</f>
        <v>1.5467</v>
      </c>
      <c r="K51">
        <f>ABS(pred_GDP_now!K51-pred_GDP_now!$B51)</f>
        <v>2.2830904134659171</v>
      </c>
      <c r="L51">
        <f>ABS(pred_GDP_now!L51-pred_GDP_now!$B51)</f>
        <v>3.3922768200000002</v>
      </c>
      <c r="M51">
        <f>ABS(pred_GDP_now!M51-pred_GDP_now!$B51)</f>
        <v>2.0151009870290206</v>
      </c>
      <c r="N51">
        <f>ABS(pred_GDP_now!N51-pred_GDP_now!$B51)</f>
        <v>0.16442632675170898</v>
      </c>
      <c r="O51">
        <f>ABS(pred_GDP_now!O51-pred_GDP_now!$B51)</f>
        <v>0.4014129999999998</v>
      </c>
      <c r="P51">
        <f>ABS(pred_GDP_now!P51-pred_GDP_now!$B51)</f>
        <v>1.555817</v>
      </c>
      <c r="R51">
        <f>ABS(pred_GDP_now!R51-pred_GDP_now!$B51)</f>
        <v>1.9192591210602601</v>
      </c>
      <c r="S51">
        <f>ABS(pred_GDP_now!S51-pred_GDP_now!$B51)</f>
        <v>2.0151009870290211</v>
      </c>
      <c r="T51">
        <f>ABS(pred_GDP_now!T51-pred_GDP_now!$B51)</f>
        <v>1.8387899999999999</v>
      </c>
      <c r="U51">
        <f>ABS(pred_GDP_now!U51-pred_GDP_now!$B51)</f>
        <v>0.1644263267517001</v>
      </c>
      <c r="V51">
        <f>ABS(pred_GDP_now!V51-pred_GDP_now!$B51)</f>
        <v>2.3305924971500009</v>
      </c>
      <c r="W51">
        <f>ABS(pred_GDP_now!W51-pred_GDP_now!$B51)</f>
        <v>2.3117956234205179</v>
      </c>
      <c r="X51">
        <f>ABS(pred_GDP_now!X51-pred_GDP_now!$B51)</f>
        <v>2.0443938178055712</v>
      </c>
      <c r="Y51">
        <f>ABS(pred_GDP_now!Y51-pred_GDP_now!$B51)</f>
        <v>1.9967480735587</v>
      </c>
      <c r="Z51">
        <f>ABS(pred_GDP_now!Z51-pred_GDP_now!$B51)</f>
        <v>0.1644263267517001</v>
      </c>
    </row>
    <row r="52" spans="1:26" x14ac:dyDescent="0.35">
      <c r="A52" s="6">
        <v>44075</v>
      </c>
      <c r="B52" s="4">
        <v>2.2999999999999998</v>
      </c>
      <c r="C52">
        <f>ABS(pred_GDP_now!C52-pred_GDP_now!$B52)</f>
        <v>0.6975332724392298</v>
      </c>
      <c r="D52">
        <f>ABS(pred_GDP_now!D52-pred_GDP_now!$B52)</f>
        <v>0.44626199999999971</v>
      </c>
      <c r="E52">
        <f>ABS(pred_GDP_now!E52-pred_GDP_now!$B52)</f>
        <v>4.7293000000000252E-2</v>
      </c>
      <c r="F52">
        <f>ABS(pred_GDP_now!F52-pred_GDP_now!$B52)</f>
        <v>1.2273529999999999</v>
      </c>
      <c r="G52">
        <f>ABS(pred_GDP_now!G52-pred_GDP_now!$B52)</f>
        <v>2.0465109999999997</v>
      </c>
      <c r="H52">
        <f>ABS(pred_GDP_now!H52-pred_GDP_now!$B52)</f>
        <v>0.12209649954335022</v>
      </c>
      <c r="I52">
        <f>ABS(pred_GDP_now!I52-pred_GDP_now!$B52)</f>
        <v>0.64902729890316979</v>
      </c>
      <c r="J52">
        <f>ABS(pred_GDP_now!J52-pred_GDP_now!$B52)</f>
        <v>1.0859179999999997</v>
      </c>
      <c r="K52">
        <f>ABS(pred_GDP_now!K52-pred_GDP_now!$B52)</f>
        <v>7.6673763183253918E-2</v>
      </c>
      <c r="L52">
        <f>ABS(pred_GDP_now!L52-pred_GDP_now!$B52)</f>
        <v>0.89048869999999991</v>
      </c>
      <c r="M52">
        <f>ABS(pred_GDP_now!M52-pred_GDP_now!$B52)</f>
        <v>1.3605083693936215</v>
      </c>
      <c r="N52">
        <f>ABS(pred_GDP_now!N52-pred_GDP_now!$B52)</f>
        <v>0.80275099277496276</v>
      </c>
      <c r="O52">
        <f>ABS(pred_GDP_now!O52-pred_GDP_now!$B52)</f>
        <v>1.477096</v>
      </c>
      <c r="P52">
        <f>ABS(pred_GDP_now!P52-pred_GDP_now!$B52)</f>
        <v>0.56479699999999999</v>
      </c>
      <c r="R52">
        <f>ABS(pred_GDP_now!R52-pred_GDP_now!$B52)</f>
        <v>0.6138019151654599</v>
      </c>
      <c r="S52">
        <f>ABS(pred_GDP_now!S52-pred_GDP_now!$B52)</f>
        <v>0.6975332724392298</v>
      </c>
      <c r="T52">
        <f>ABS(pred_GDP_now!T52-pred_GDP_now!$B52)</f>
        <v>0.80275099277496986</v>
      </c>
      <c r="U52">
        <f>ABS(pred_GDP_now!U52-pred_GDP_now!$B52)</f>
        <v>0.6975332724392298</v>
      </c>
      <c r="V52">
        <f>ABS(pred_GDP_now!V52-pred_GDP_now!$B52)</f>
        <v>0.59860095705370986</v>
      </c>
      <c r="W52">
        <f>ABS(pred_GDP_now!W52-pred_GDP_now!$B52)</f>
        <v>0.59796409225617975</v>
      </c>
      <c r="X52">
        <f>ABS(pred_GDP_now!X52-pred_GDP_now!$B52)</f>
        <v>0.63411021834946979</v>
      </c>
      <c r="Y52">
        <f>ABS(pred_GDP_now!Y52-pred_GDP_now!$B52)</f>
        <v>0.60793799769430978</v>
      </c>
      <c r="Z52">
        <f>ABS(pred_GDP_now!Z52-pred_GDP_now!$B52)</f>
        <v>0.64902729890316979</v>
      </c>
    </row>
    <row r="53" spans="1:26" x14ac:dyDescent="0.35">
      <c r="A53" s="6">
        <v>44166</v>
      </c>
      <c r="B53" s="4">
        <v>1.3</v>
      </c>
      <c r="C53">
        <f>ABS(pred_GDP_now!C53-pred_GDP_now!$B53)</f>
        <v>0.46227780618748604</v>
      </c>
      <c r="D53">
        <f>ABS(pred_GDP_now!D53-pred_GDP_now!$B53)</f>
        <v>0.21725799999999995</v>
      </c>
      <c r="E53">
        <f>ABS(pred_GDP_now!E53-pred_GDP_now!$B53)</f>
        <v>0.25885000000000002</v>
      </c>
      <c r="F53">
        <f>ABS(pred_GDP_now!F53-pred_GDP_now!$B53)</f>
        <v>0.18942599999999987</v>
      </c>
      <c r="G53">
        <f>ABS(pred_GDP_now!G53-pred_GDP_now!$B53)</f>
        <v>2.095491</v>
      </c>
      <c r="H53">
        <f>ABS(pred_GDP_now!H53-pred_GDP_now!$B53)</f>
        <v>0.56171729420526995</v>
      </c>
      <c r="I53">
        <f>ABS(pred_GDP_now!I53-pred_GDP_now!$B53)</f>
        <v>2.2351901326610024E-2</v>
      </c>
      <c r="J53">
        <f>ABS(pred_GDP_now!J53-pred_GDP_now!$B53)</f>
        <v>0.64173200000000008</v>
      </c>
      <c r="K53">
        <f>ABS(pred_GDP_now!K53-pred_GDP_now!$B53)</f>
        <v>0.16602995250183805</v>
      </c>
      <c r="L53">
        <f>ABS(pred_GDP_now!L53-pred_GDP_now!$B53)</f>
        <v>1.0360466399999999</v>
      </c>
      <c r="M53">
        <f>ABS(pred_GDP_now!M53-pred_GDP_now!$B53)</f>
        <v>0.39111093317714229</v>
      </c>
      <c r="N53">
        <f>ABS(pred_GDP_now!N53-pred_GDP_now!$B53)</f>
        <v>4.4710326194763006E-2</v>
      </c>
      <c r="O53">
        <f>ABS(pred_GDP_now!O53-pred_GDP_now!$B53)</f>
        <v>0.64637299999999986</v>
      </c>
      <c r="P53">
        <f>ABS(pred_GDP_now!P53-pred_GDP_now!$B53)</f>
        <v>0.22017299999999995</v>
      </c>
      <c r="R53">
        <f>ABS(pred_GDP_now!R53-pred_GDP_now!$B53)</f>
        <v>2.6030950783000106E-2</v>
      </c>
      <c r="S53">
        <f>ABS(pred_GDP_now!S53-pred_GDP_now!$B53)</f>
        <v>0.16602995250183006</v>
      </c>
      <c r="T53">
        <f>ABS(pred_GDP_now!T53-pred_GDP_now!$B53)</f>
        <v>0.25885000000000002</v>
      </c>
      <c r="U53">
        <f>ABS(pred_GDP_now!U53-pred_GDP_now!$B53)</f>
        <v>0.16602995250183006</v>
      </c>
      <c r="V53">
        <f>ABS(pred_GDP_now!V53-pred_GDP_now!$B53)</f>
        <v>0.10176010264733004</v>
      </c>
      <c r="W53">
        <f>ABS(pred_GDP_now!W53-pred_GDP_now!$B53)</f>
        <v>9.6548415223509876E-2</v>
      </c>
      <c r="X53">
        <f>ABS(pred_GDP_now!X53-pred_GDP_now!$B53)</f>
        <v>7.0042222485539929E-2</v>
      </c>
      <c r="Y53">
        <f>ABS(pred_GDP_now!Y53-pred_GDP_now!$B53)</f>
        <v>0.13140803874537998</v>
      </c>
      <c r="Z53">
        <f>ABS(pred_GDP_now!Z53-pred_GDP_now!$B53)</f>
        <v>0.13140803874537998</v>
      </c>
    </row>
    <row r="54" spans="1:26" x14ac:dyDescent="0.35">
      <c r="A54" s="6">
        <v>44256</v>
      </c>
      <c r="B54" s="4">
        <v>1.8</v>
      </c>
      <c r="C54">
        <f>ABS(pred_GDP_now!C54-pred_GDP_now!$B54)</f>
        <v>1.0912035149110642</v>
      </c>
      <c r="D54">
        <f>ABS(pred_GDP_now!D54-pred_GDP_now!$B54)</f>
        <v>0.66494600000000004</v>
      </c>
      <c r="E54">
        <f>ABS(pred_GDP_now!E54-pred_GDP_now!$B54)</f>
        <v>0.67413999999999996</v>
      </c>
      <c r="F54">
        <f>ABS(pred_GDP_now!F54-pred_GDP_now!$B54)</f>
        <v>0.74281600000000014</v>
      </c>
      <c r="G54">
        <f>ABS(pred_GDP_now!G54-pred_GDP_now!$B54)</f>
        <v>1.5540770000000002</v>
      </c>
      <c r="H54">
        <f>ABS(pred_GDP_now!H54-pred_GDP_now!$B54)</f>
        <v>9.5634630243800034E-2</v>
      </c>
      <c r="I54">
        <f>ABS(pred_GDP_now!I54-pred_GDP_now!$B54)</f>
        <v>0.82362625008790202</v>
      </c>
      <c r="J54">
        <f>ABS(pred_GDP_now!J54-pred_GDP_now!$B54)</f>
        <v>0.57370900000000002</v>
      </c>
      <c r="K54">
        <f>ABS(pred_GDP_now!K54-pred_GDP_now!$B54)</f>
        <v>4.4101889224045898E-2</v>
      </c>
      <c r="L54">
        <f>ABS(pred_GDP_now!L54-pred_GDP_now!$B54)</f>
        <v>0.40509470000000003</v>
      </c>
      <c r="M54">
        <f>ABS(pred_GDP_now!M54-pred_GDP_now!$B54)</f>
        <v>1.0162152039262811</v>
      </c>
      <c r="N54">
        <f>ABS(pred_GDP_now!N54-pred_GDP_now!$B54)</f>
        <v>0.38983886241912802</v>
      </c>
      <c r="O54">
        <f>ABS(pred_GDP_now!O54-pred_GDP_now!$B54)</f>
        <v>2.0095999999999892E-2</v>
      </c>
      <c r="P54">
        <f>ABS(pred_GDP_now!P54-pred_GDP_now!$B54)</f>
        <v>9.780499999999992E-2</v>
      </c>
      <c r="R54">
        <f>ABS(pred_GDP_now!R54-pred_GDP_now!$B54)</f>
        <v>0.48578625172031997</v>
      </c>
      <c r="S54">
        <f>ABS(pred_GDP_now!S54-pred_GDP_now!$B54)</f>
        <v>0.57370900000000002</v>
      </c>
      <c r="T54">
        <f>ABS(pred_GDP_now!T54-pred_GDP_now!$B54)</f>
        <v>0.38983886241913002</v>
      </c>
      <c r="U54">
        <f>ABS(pred_GDP_now!U54-pred_GDP_now!$B54)</f>
        <v>0.57370900000000002</v>
      </c>
      <c r="V54">
        <f>ABS(pred_GDP_now!V54-pred_GDP_now!$B54)</f>
        <v>0.41441661373310001</v>
      </c>
      <c r="W54">
        <f>ABS(pred_GDP_now!W54-pred_GDP_now!$B54)</f>
        <v>0.41751407228654003</v>
      </c>
      <c r="X54">
        <f>ABS(pred_GDP_now!X54-pred_GDP_now!$B54)</f>
        <v>0.42005112640043007</v>
      </c>
      <c r="Y54">
        <f>ABS(pred_GDP_now!Y54-pred_GDP_now!$B54)</f>
        <v>0.38384758108920014</v>
      </c>
      <c r="Z54">
        <f>ABS(pred_GDP_now!Z54-pred_GDP_now!$B54)</f>
        <v>0.42005112640043007</v>
      </c>
    </row>
    <row r="55" spans="1:26" x14ac:dyDescent="0.35">
      <c r="A55" s="6">
        <v>44348</v>
      </c>
      <c r="B55" s="4">
        <v>0.9</v>
      </c>
      <c r="C55">
        <f>ABS(pred_GDP_now!C55-pred_GDP_now!$B55)</f>
        <v>0.10339286381802104</v>
      </c>
      <c r="D55">
        <f>ABS(pred_GDP_now!D55-pred_GDP_now!$B55)</f>
        <v>0.15321400000000007</v>
      </c>
      <c r="E55">
        <f>ABS(pred_GDP_now!E55-pred_GDP_now!$B55)</f>
        <v>1.6154000000000002E-2</v>
      </c>
      <c r="F55">
        <f>ABS(pred_GDP_now!F55-pred_GDP_now!$B55)</f>
        <v>3.9467999999999948E-2</v>
      </c>
      <c r="G55">
        <f>ABS(pred_GDP_now!G55-pred_GDP_now!$B55)</f>
        <v>0.75725300000000006</v>
      </c>
      <c r="H55">
        <f>ABS(pred_GDP_now!H55-pred_GDP_now!$B55)</f>
        <v>1.0715396532201598</v>
      </c>
      <c r="I55">
        <f>ABS(pred_GDP_now!I55-pred_GDP_now!$B55)</f>
        <v>0.27892843737267004</v>
      </c>
      <c r="J55">
        <f>ABS(pred_GDP_now!J55-pred_GDP_now!$B55)</f>
        <v>0.41110600000000008</v>
      </c>
      <c r="K55">
        <f>ABS(pred_GDP_now!K55-pred_GDP_now!$B55)</f>
        <v>0.16898343034573504</v>
      </c>
      <c r="L55">
        <f>ABS(pred_GDP_now!L55-pred_GDP_now!$B55)</f>
        <v>0.69546389999999991</v>
      </c>
      <c r="M55">
        <f>ABS(pred_GDP_now!M55-pred_GDP_now!$B55)</f>
        <v>7.9509928874249458E-2</v>
      </c>
      <c r="N55">
        <f>ABS(pred_GDP_now!N55-pred_GDP_now!$B55)</f>
        <v>0.41070899963378904</v>
      </c>
      <c r="O55">
        <f>ABS(pred_GDP_now!O55-pred_GDP_now!$B55)</f>
        <v>0.12776500000000002</v>
      </c>
      <c r="P55">
        <f>ABS(pred_GDP_now!P55-pred_GDP_now!$B55)</f>
        <v>0.35391600000000001</v>
      </c>
      <c r="R55">
        <f>ABS(pred_GDP_now!R55-pred_GDP_now!$B55)</f>
        <v>0.25298574060616008</v>
      </c>
      <c r="S55">
        <f>ABS(pred_GDP_now!S55-pred_GDP_now!$B55)</f>
        <v>0.16898343034572993</v>
      </c>
      <c r="T55">
        <f>ABS(pred_GDP_now!T55-pred_GDP_now!$B55)</f>
        <v>0.35391600000000001</v>
      </c>
      <c r="U55">
        <f>ABS(pred_GDP_now!U55-pred_GDP_now!$B55)</f>
        <v>0.16898343034572993</v>
      </c>
      <c r="V55">
        <f>ABS(pred_GDP_now!V55-pred_GDP_now!$B55)</f>
        <v>0.25042334900695995</v>
      </c>
      <c r="W55">
        <f>ABS(pred_GDP_now!W55-pred_GDP_now!$B55)</f>
        <v>0.25004225408250991</v>
      </c>
      <c r="X55">
        <f>ABS(pred_GDP_now!X55-pred_GDP_now!$B55)</f>
        <v>0.28318140294759997</v>
      </c>
      <c r="Y55">
        <f>ABS(pred_GDP_now!Y55-pred_GDP_now!$B55)</f>
        <v>0.25785234795224998</v>
      </c>
      <c r="Z55">
        <f>ABS(pred_GDP_now!Z55-pred_GDP_now!$B55)</f>
        <v>0.25042334900695995</v>
      </c>
    </row>
    <row r="56" spans="1:26" x14ac:dyDescent="0.35">
      <c r="A56" s="6">
        <v>44440</v>
      </c>
      <c r="B56" s="4">
        <v>0.1</v>
      </c>
      <c r="C56">
        <f>ABS(pred_GDP_now!C56-pred_GDP_now!$B56)</f>
        <v>1.4832175181652199</v>
      </c>
      <c r="D56">
        <f>ABS(pred_GDP_now!D56-pred_GDP_now!$B56)</f>
        <v>0.47208600000000001</v>
      </c>
      <c r="E56">
        <f>ABS(pred_GDP_now!E56-pred_GDP_now!$B56)</f>
        <v>0.40907700000000002</v>
      </c>
      <c r="F56">
        <f>ABS(pred_GDP_now!F56-pred_GDP_now!$B56)</f>
        <v>0.49174499999999999</v>
      </c>
      <c r="G56">
        <f>ABS(pred_GDP_now!G56-pred_GDP_now!$B56)</f>
        <v>0.18534</v>
      </c>
      <c r="H56">
        <f>ABS(pred_GDP_now!H56-pred_GDP_now!$B56)</f>
        <v>1.03610755989835</v>
      </c>
      <c r="I56">
        <f>ABS(pred_GDP_now!I56-pred_GDP_now!$B56)</f>
        <v>0.73216766361269303</v>
      </c>
      <c r="J56">
        <f>ABS(pred_GDP_now!J56-pred_GDP_now!$B56)</f>
        <v>0.84798700000000005</v>
      </c>
      <c r="K56">
        <f>ABS(pred_GDP_now!K56-pred_GDP_now!$B56)</f>
        <v>0.94445273744210401</v>
      </c>
      <c r="L56">
        <f>ABS(pred_GDP_now!L56-pred_GDP_now!$B56)</f>
        <v>0.23896959999999998</v>
      </c>
      <c r="M56">
        <f>ABS(pred_GDP_now!M56-pred_GDP_now!$B56)</f>
        <v>0.76006889859060045</v>
      </c>
      <c r="N56">
        <f>ABS(pred_GDP_now!N56-pred_GDP_now!$B56)</f>
        <v>0.80601950883865359</v>
      </c>
      <c r="O56">
        <f>ABS(pred_GDP_now!O56-pred_GDP_now!$B56)</f>
        <v>0.48193799999999998</v>
      </c>
      <c r="P56">
        <f>ABS(pred_GDP_now!P56-pred_GDP_now!$B56)</f>
        <v>1.2136</v>
      </c>
      <c r="R56">
        <f>ABS(pred_GDP_now!R56-pred_GDP_now!$B56)</f>
        <v>0.76287972973443208</v>
      </c>
      <c r="S56">
        <f>ABS(pred_GDP_now!S56-pred_GDP_now!$B56)</f>
        <v>0.76006889859060001</v>
      </c>
      <c r="T56">
        <f>ABS(pred_GDP_now!T56-pred_GDP_now!$B56)</f>
        <v>0.94445273744210001</v>
      </c>
      <c r="U56">
        <f>ABS(pred_GDP_now!U56-pred_GDP_now!$B56)</f>
        <v>0.759589307636093</v>
      </c>
      <c r="V56">
        <f>ABS(pred_GDP_now!V56-pred_GDP_now!$B56)</f>
        <v>0.84211913218317802</v>
      </c>
      <c r="W56">
        <f>ABS(pred_GDP_now!W56-pred_GDP_now!$B56)</f>
        <v>0.83879051856493803</v>
      </c>
      <c r="X56">
        <f>ABS(pred_GDP_now!X56-pred_GDP_now!$B56)</f>
        <v>0.87131381995258705</v>
      </c>
      <c r="Y56">
        <f>ABS(pred_GDP_now!Y56-pred_GDP_now!$B56)</f>
        <v>0.77741985975077199</v>
      </c>
      <c r="Z56">
        <f>ABS(pred_GDP_now!Z56-pred_GDP_now!$B56)</f>
        <v>0.77732676058151007</v>
      </c>
    </row>
    <row r="57" spans="1:26" x14ac:dyDescent="0.35">
      <c r="A57" s="6">
        <v>44531</v>
      </c>
      <c r="B57" s="4">
        <v>1.4</v>
      </c>
      <c r="C57">
        <f>ABS(pred_GDP_now!C57-pred_GDP_now!$B57)</f>
        <v>0.72947652632612792</v>
      </c>
      <c r="D57">
        <f>ABS(pred_GDP_now!D57-pred_GDP_now!$B57)</f>
        <v>0.10331899999999994</v>
      </c>
      <c r="E57">
        <f>ABS(pred_GDP_now!E57-pred_GDP_now!$B57)</f>
        <v>4.7075999999999896E-2</v>
      </c>
      <c r="F57">
        <f>ABS(pred_GDP_now!F57-pred_GDP_now!$B57)</f>
        <v>0.18783899999999987</v>
      </c>
      <c r="G57">
        <f>ABS(pred_GDP_now!G57-pred_GDP_now!$B57)</f>
        <v>0.13966099999999981</v>
      </c>
      <c r="H57">
        <f>ABS(pred_GDP_now!H57-pred_GDP_now!$B57)</f>
        <v>0.82648622602374389</v>
      </c>
      <c r="I57">
        <f>ABS(pred_GDP_now!I57-pred_GDP_now!$B57)</f>
        <v>0.67913198448424794</v>
      </c>
      <c r="J57">
        <f>ABS(pred_GDP_now!J57-pred_GDP_now!$B57)</f>
        <v>0.29573100000000019</v>
      </c>
      <c r="K57">
        <f>ABS(pred_GDP_now!K57-pred_GDP_now!$B57)</f>
        <v>8.2600388128242885E-2</v>
      </c>
      <c r="L57">
        <f>ABS(pred_GDP_now!L57-pred_GDP_now!$B57)</f>
        <v>0.72230573999999992</v>
      </c>
      <c r="M57">
        <f>ABS(pred_GDP_now!M57-pred_GDP_now!$B57)</f>
        <v>0.6538418772378326</v>
      </c>
      <c r="N57">
        <f>ABS(pred_GDP_now!N57-pred_GDP_now!$B57)</f>
        <v>0.44569935798645011</v>
      </c>
      <c r="O57">
        <f>ABS(pred_GDP_now!O57-pred_GDP_now!$B57)</f>
        <v>0.33576899999999998</v>
      </c>
      <c r="P57">
        <f>ABS(pred_GDP_now!P57-pred_GDP_now!$B57)</f>
        <v>0.34501300000000001</v>
      </c>
      <c r="R57">
        <f>ABS(pred_GDP_now!R57-pred_GDP_now!$B57)</f>
        <v>0.26932793078358985</v>
      </c>
      <c r="S57">
        <f>ABS(pred_GDP_now!S57-pred_GDP_now!$B57)</f>
        <v>0.18783899999999987</v>
      </c>
      <c r="T57">
        <f>ABS(pred_GDP_now!T57-pred_GDP_now!$B57)</f>
        <v>4.7075999999999896E-2</v>
      </c>
      <c r="U57">
        <f>ABS(pred_GDP_now!U57-pred_GDP_now!$B57)</f>
        <v>0.15627312039935992</v>
      </c>
      <c r="V57">
        <f>ABS(pred_GDP_now!V57-pred_GDP_now!$B57)</f>
        <v>6.2288726335779865E-2</v>
      </c>
      <c r="W57">
        <f>ABS(pred_GDP_now!W57-pred_GDP_now!$B57)</f>
        <v>6.7214254087439862E-2</v>
      </c>
      <c r="X57">
        <f>ABS(pred_GDP_now!X57-pred_GDP_now!$B57)</f>
        <v>0.16815686333093982</v>
      </c>
      <c r="Y57">
        <f>ABS(pred_GDP_now!Y57-pred_GDP_now!$B57)</f>
        <v>0.22797153678378002</v>
      </c>
      <c r="Z57">
        <f>ABS(pred_GDP_now!Z57-pred_GDP_now!$B57)</f>
        <v>0.16661353638234</v>
      </c>
    </row>
    <row r="58" spans="1:26" x14ac:dyDescent="0.35">
      <c r="A58" s="6">
        <v>44621</v>
      </c>
      <c r="B58" s="4">
        <v>0.7</v>
      </c>
      <c r="C58">
        <f>ABS(pred_GDP_now!C58-pred_GDP_now!$B58)</f>
        <v>0.53484862610723005</v>
      </c>
      <c r="D58">
        <f>ABS(pred_GDP_now!D58-pred_GDP_now!$B58)</f>
        <v>0.14420700000000009</v>
      </c>
      <c r="E58">
        <f>ABS(pred_GDP_now!E58-pred_GDP_now!$B58)</f>
        <v>0.13652900000000001</v>
      </c>
      <c r="F58">
        <f>ABS(pred_GDP_now!F58-pred_GDP_now!$B58)</f>
        <v>0.17666999999999999</v>
      </c>
      <c r="G58">
        <f>ABS(pred_GDP_now!G58-pred_GDP_now!$B58)</f>
        <v>0.27516000000000007</v>
      </c>
      <c r="H58">
        <f>ABS(pred_GDP_now!H58-pred_GDP_now!$B58)</f>
        <v>0.169855594816955</v>
      </c>
      <c r="I58">
        <f>ABS(pred_GDP_now!I58-pred_GDP_now!$B58)</f>
        <v>0.16538675668013603</v>
      </c>
      <c r="J58">
        <f>ABS(pred_GDP_now!J58-pred_GDP_now!$B58)</f>
        <v>0.81737100000000007</v>
      </c>
      <c r="K58">
        <f>ABS(pred_GDP_now!K58-pred_GDP_now!$B58)</f>
        <v>7.758482027202307E-3</v>
      </c>
      <c r="L58">
        <f>ABS(pred_GDP_now!L58-pred_GDP_now!$B58)</f>
        <v>0.38631094999999993</v>
      </c>
      <c r="M58">
        <f>ABS(pred_GDP_now!M58-pred_GDP_now!$B58)</f>
        <v>1.9861657381175069E-2</v>
      </c>
      <c r="N58">
        <f>ABS(pred_GDP_now!N58-pred_GDP_now!$B58)</f>
        <v>0.22264759540557866</v>
      </c>
      <c r="O58">
        <f>ABS(pred_GDP_now!O58-pred_GDP_now!$B58)</f>
        <v>0.193021</v>
      </c>
      <c r="P58">
        <f>ABS(pred_GDP_now!P58-pred_GDP_now!$B58)</f>
        <v>0.25853300000000001</v>
      </c>
      <c r="R58">
        <f>ABS(pred_GDP_now!R58-pred_GDP_now!$B58)</f>
        <v>0.18925990480140509</v>
      </c>
      <c r="S58">
        <f>ABS(pred_GDP_now!S58-pred_GDP_now!$B58)</f>
        <v>0.169855594816955</v>
      </c>
      <c r="T58">
        <f>ABS(pred_GDP_now!T58-pred_GDP_now!$B58)</f>
        <v>0.13652900000000001</v>
      </c>
      <c r="U58">
        <f>ABS(pred_GDP_now!U58-pred_GDP_now!$B58)</f>
        <v>0.169855594816955</v>
      </c>
      <c r="V58">
        <f>ABS(pred_GDP_now!V58-pred_GDP_now!$B58)</f>
        <v>0.15608605348737703</v>
      </c>
      <c r="W58">
        <f>ABS(pred_GDP_now!W58-pred_GDP_now!$B58)</f>
        <v>0.15604069575337109</v>
      </c>
      <c r="X58">
        <f>ABS(pred_GDP_now!X58-pred_GDP_now!$B58)</f>
        <v>0.16703338507571208</v>
      </c>
      <c r="Y58">
        <f>ABS(pred_GDP_now!Y58-pred_GDP_now!$B58)</f>
        <v>0.17496437572591905</v>
      </c>
      <c r="Z58">
        <f>ABS(pred_GDP_now!Z58-pred_GDP_now!$B58)</f>
        <v>0.169855594816955</v>
      </c>
    </row>
    <row r="59" spans="1:26" x14ac:dyDescent="0.35">
      <c r="A59" s="6">
        <v>44713</v>
      </c>
      <c r="B59" s="4">
        <v>0.8</v>
      </c>
      <c r="C59">
        <f>ABS(pred_GDP_now!C59-pred_GDP_now!$B59)</f>
        <v>0.41686398720882506</v>
      </c>
      <c r="D59">
        <f>ABS(pred_GDP_now!D59-pred_GDP_now!$B59)</f>
        <v>0.42623700000000003</v>
      </c>
      <c r="E59">
        <f>ABS(pred_GDP_now!E59-pred_GDP_now!$B59)</f>
        <v>0.40805000000000002</v>
      </c>
      <c r="F59">
        <f>ABS(pred_GDP_now!F59-pred_GDP_now!$B59)</f>
        <v>0.35025700000000004</v>
      </c>
      <c r="G59">
        <f>ABS(pred_GDP_now!G59-pred_GDP_now!$B59)</f>
        <v>0.316168</v>
      </c>
      <c r="H59">
        <f>ABS(pred_GDP_now!H59-pred_GDP_now!$B59)</f>
        <v>4.0058009570277053E-2</v>
      </c>
      <c r="I59">
        <f>ABS(pred_GDP_now!I59-pred_GDP_now!$B59)</f>
        <v>8.2830359263546982E-2</v>
      </c>
      <c r="J59">
        <f>ABS(pred_GDP_now!J59-pred_GDP_now!$B59)</f>
        <v>0.47236900000000004</v>
      </c>
      <c r="K59">
        <f>ABS(pred_GDP_now!K59-pred_GDP_now!$B59)</f>
        <v>0.31651894029416217</v>
      </c>
      <c r="L59">
        <f>ABS(pred_GDP_now!L59-pred_GDP_now!$B59)</f>
        <v>8.0455470000000084E-2</v>
      </c>
      <c r="M59">
        <f>ABS(pred_GDP_now!M59-pred_GDP_now!$B59)</f>
        <v>0.61432308945350544</v>
      </c>
      <c r="N59">
        <f>ABS(pred_GDP_now!N59-pred_GDP_now!$B59)</f>
        <v>0.16521595716476445</v>
      </c>
      <c r="O59">
        <f>ABS(pred_GDP_now!O59-pred_GDP_now!$B59)</f>
        <v>0.53138900000000011</v>
      </c>
      <c r="P59">
        <f>ABS(pred_GDP_now!P59-pred_GDP_now!$B59)</f>
        <v>0.23085900000000004</v>
      </c>
      <c r="R59">
        <f>ABS(pred_GDP_now!R59-pred_GDP_now!$B59)</f>
        <v>0.23269446880215305</v>
      </c>
      <c r="S59">
        <f>ABS(pred_GDP_now!S59-pred_GDP_now!$B59)</f>
        <v>0.31651894029416305</v>
      </c>
      <c r="T59">
        <f>ABS(pred_GDP_now!T59-pred_GDP_now!$B59)</f>
        <v>0.40805000000000002</v>
      </c>
      <c r="U59">
        <f>ABS(pred_GDP_now!U59-pred_GDP_now!$B59)</f>
        <v>0.31753412279388704</v>
      </c>
      <c r="V59">
        <f>ABS(pred_GDP_now!V59-pred_GDP_now!$B59)</f>
        <v>0.38385907646264505</v>
      </c>
      <c r="W59">
        <f>ABS(pred_GDP_now!W59-pred_GDP_now!$B59)</f>
        <v>0.38019985048605304</v>
      </c>
      <c r="X59">
        <f>ABS(pred_GDP_now!X59-pred_GDP_now!$B59)</f>
        <v>0.34172689953580204</v>
      </c>
      <c r="Y59">
        <f>ABS(pred_GDP_now!Y59-pred_GDP_now!$B59)</f>
        <v>0.25425346696311002</v>
      </c>
      <c r="Z59">
        <f>ABS(pred_GDP_now!Z59-pred_GDP_now!$B59)</f>
        <v>0.31786891182301102</v>
      </c>
    </row>
    <row r="60" spans="1:26" x14ac:dyDescent="0.35">
      <c r="A60" s="6">
        <v>44805</v>
      </c>
      <c r="B60" s="4">
        <v>0.2</v>
      </c>
      <c r="C60">
        <f>ABS(pred_GDP_now!C60-pred_GDP_now!$B60)</f>
        <v>0.23518208614852551</v>
      </c>
      <c r="D60">
        <f>ABS(pred_GDP_now!D60-pred_GDP_now!$B60)</f>
        <v>7.2000000000016495E-5</v>
      </c>
      <c r="E60">
        <f>ABS(pred_GDP_now!E60-pred_GDP_now!$B60)</f>
        <v>0.10474600000000001</v>
      </c>
      <c r="F60">
        <f>ABS(pred_GDP_now!F60-pred_GDP_now!$B60)</f>
        <v>0.14061899999999999</v>
      </c>
      <c r="G60">
        <f>ABS(pred_GDP_now!G60-pred_GDP_now!$B60)</f>
        <v>0.84116999999999997</v>
      </c>
      <c r="H60">
        <f>ABS(pred_GDP_now!H60-pred_GDP_now!$B60)</f>
        <v>8.9937769275357016E-2</v>
      </c>
      <c r="I60">
        <f>ABS(pred_GDP_now!I60-pred_GDP_now!$B60)</f>
        <v>0.22239780630841299</v>
      </c>
      <c r="J60">
        <f>ABS(pred_GDP_now!J60-pred_GDP_now!$B60)</f>
        <v>0.67311199999999993</v>
      </c>
      <c r="K60">
        <f>ABS(pred_GDP_now!K60-pred_GDP_now!$B60)</f>
        <v>0.42004694232161482</v>
      </c>
      <c r="L60">
        <f>ABS(pred_GDP_now!L60-pred_GDP_now!$B60)</f>
        <v>0.48461346999999994</v>
      </c>
      <c r="M60">
        <f>ABS(pred_GDP_now!M60-pred_GDP_now!$B60)</f>
        <v>9.7138965300262017E-2</v>
      </c>
      <c r="N60">
        <f>ABS(pred_GDP_now!N60-pred_GDP_now!$B60)</f>
        <v>0.44097625017166137</v>
      </c>
      <c r="O60">
        <f>ABS(pred_GDP_now!O60-pred_GDP_now!$B60)</f>
        <v>0.38890699999999995</v>
      </c>
      <c r="P60">
        <f>ABS(pred_GDP_now!P60-pred_GDP_now!$B60)</f>
        <v>0.39603799999999995</v>
      </c>
      <c r="R60">
        <f>ABS(pred_GDP_now!R60-pred_GDP_now!$B60)</f>
        <v>0.216885322048327</v>
      </c>
      <c r="S60">
        <f>ABS(pred_GDP_now!S60-pred_GDP_now!$B60)</f>
        <v>0.22239780630841299</v>
      </c>
      <c r="T60">
        <f>ABS(pred_GDP_now!T60-pred_GDP_now!$B60)</f>
        <v>7.2000000000016495E-5</v>
      </c>
      <c r="U60">
        <f>ABS(pred_GDP_now!U60-pred_GDP_now!$B60)</f>
        <v>0.22239780630841299</v>
      </c>
      <c r="V60">
        <f>ABS(pred_GDP_now!V60-pred_GDP_now!$B60)</f>
        <v>0.12125888690646097</v>
      </c>
      <c r="W60">
        <f>ABS(pred_GDP_now!W60-pred_GDP_now!$B60)</f>
        <v>0.127112070815732</v>
      </c>
      <c r="X60">
        <f>ABS(pred_GDP_now!X60-pred_GDP_now!$B60)</f>
        <v>0.18130983600934697</v>
      </c>
      <c r="Y60">
        <f>ABS(pred_GDP_now!Y60-pred_GDP_now!$B60)</f>
        <v>0.22295401962149197</v>
      </c>
      <c r="Z60">
        <f>ABS(pred_GDP_now!Z60-pred_GDP_now!$B60)</f>
        <v>0.216885322048327</v>
      </c>
    </row>
    <row r="61" spans="1:26" x14ac:dyDescent="0.35">
      <c r="A61" s="6">
        <v>44896</v>
      </c>
      <c r="B61" s="4">
        <v>-0.3</v>
      </c>
      <c r="C61">
        <f>ABS(pred_GDP_now!C61-pred_GDP_now!$B61)</f>
        <v>0.50932658317772894</v>
      </c>
      <c r="D61">
        <f>ABS(pred_GDP_now!D61-pred_GDP_now!$B61)</f>
        <v>0.48486000000000001</v>
      </c>
      <c r="E61">
        <f>ABS(pred_GDP_now!E61-pred_GDP_now!$B61)</f>
        <v>0.63253000000000004</v>
      </c>
      <c r="F61">
        <f>ABS(pred_GDP_now!F61-pred_GDP_now!$B61)</f>
        <v>0.25035999999999997</v>
      </c>
      <c r="G61">
        <f>ABS(pred_GDP_now!G61-pred_GDP_now!$B61)</f>
        <v>0.26235999999999998</v>
      </c>
      <c r="H61">
        <f>ABS(pred_GDP_now!H61-pred_GDP_now!$B61)</f>
        <v>0.30430738701820664</v>
      </c>
      <c r="I61">
        <f>ABS(pred_GDP_now!I61-pred_GDP_now!$B61)</f>
        <v>0.75885565076943307</v>
      </c>
      <c r="J61">
        <f>ABS(pred_GDP_now!J61-pred_GDP_now!$B61)</f>
        <v>0.13845000000000002</v>
      </c>
      <c r="K61">
        <f>ABS(pred_GDP_now!K61-pred_GDP_now!$B61)</f>
        <v>0.34564943352870897</v>
      </c>
      <c r="L61">
        <f>ABS(pred_GDP_now!L61-pred_GDP_now!$B61)</f>
        <v>0.28131604999999998</v>
      </c>
      <c r="M61">
        <f>ABS(pred_GDP_now!M61-pred_GDP_now!$B61)</f>
        <v>0.45493006030823613</v>
      </c>
      <c r="N61">
        <f>ABS(pred_GDP_now!N61-pred_GDP_now!$B61)</f>
        <v>0.58175333142280583</v>
      </c>
      <c r="O61">
        <f>ABS(pred_GDP_now!O61-pred_GDP_now!$B61)</f>
        <v>0.41497400000000001</v>
      </c>
      <c r="P61">
        <f>ABS(pred_GDP_now!P61-pred_GDP_now!$B61)</f>
        <v>0.13512099999999999</v>
      </c>
      <c r="R61">
        <f>ABS(pred_GDP_now!R61-pred_GDP_now!$B61)</f>
        <v>3.088013616387203E-2</v>
      </c>
      <c r="S61">
        <f>ABS(pred_GDP_now!S61-pred_GDP_now!$B61)</f>
        <v>0.13845000000000002</v>
      </c>
      <c r="T61">
        <f>ABS(pred_GDP_now!T61-pred_GDP_now!$B61)</f>
        <v>0.48486000000000001</v>
      </c>
      <c r="U61">
        <f>ABS(pred_GDP_now!U61-pred_GDP_now!$B61)</f>
        <v>0.24609930192896806</v>
      </c>
      <c r="V61">
        <f>ABS(pred_GDP_now!V61-pred_GDP_now!$B61)</f>
        <v>0.36991820538431802</v>
      </c>
      <c r="W61">
        <f>ABS(pred_GDP_now!W61-pred_GDP_now!$B61)</f>
        <v>0.36253580945547698</v>
      </c>
      <c r="X61">
        <f>ABS(pred_GDP_now!X61-pred_GDP_now!$B61)</f>
        <v>0.11945348324031202</v>
      </c>
      <c r="Y61">
        <f>ABS(pred_GDP_now!Y61-pred_GDP_now!$B61)</f>
        <v>3.263048325874901E-2</v>
      </c>
      <c r="Z61">
        <f>ABS(pred_GDP_now!Z61-pred_GDP_now!$B61)</f>
        <v>0.21199163554740102</v>
      </c>
    </row>
    <row r="64" spans="1:26" x14ac:dyDescent="0.35">
      <c r="A64" s="9" t="s">
        <v>25</v>
      </c>
    </row>
    <row r="65" spans="1:26" x14ac:dyDescent="0.35">
      <c r="A65" s="10" t="s">
        <v>26</v>
      </c>
      <c r="D65">
        <f>AVERAGE(D2:D61)</f>
        <v>0.59523926196681165</v>
      </c>
      <c r="E65">
        <f t="shared" ref="E65:P65" si="0">AVERAGE(E2:E61)</f>
        <v>0.58880662048929233</v>
      </c>
      <c r="K65">
        <f t="shared" si="0"/>
        <v>0.46519128244593483</v>
      </c>
      <c r="M65">
        <f t="shared" si="0"/>
        <v>0.53907487396786768</v>
      </c>
      <c r="N65">
        <f t="shared" si="0"/>
        <v>0.52680480770766747</v>
      </c>
      <c r="O65">
        <f t="shared" si="0"/>
        <v>0.53933568940417753</v>
      </c>
      <c r="P65">
        <f t="shared" si="0"/>
        <v>0.52934706229468464</v>
      </c>
      <c r="R65">
        <f t="shared" ref="R65:Z65" si="1">AVERAGE(R2:R61)</f>
        <v>0.44421229567255965</v>
      </c>
      <c r="S65">
        <f t="shared" si="1"/>
        <v>0.46392402704510538</v>
      </c>
      <c r="T65">
        <f t="shared" si="1"/>
        <v>0.47394021300979089</v>
      </c>
      <c r="U65" s="9">
        <f t="shared" si="1"/>
        <v>0.41635475141709632</v>
      </c>
      <c r="V65">
        <f t="shared" si="1"/>
        <v>0.45341439515276544</v>
      </c>
      <c r="W65">
        <f t="shared" si="1"/>
        <v>0.45274910743587271</v>
      </c>
      <c r="X65">
        <f t="shared" si="1"/>
        <v>0.44675791553922534</v>
      </c>
      <c r="Y65">
        <f t="shared" si="1"/>
        <v>0.44109146466096077</v>
      </c>
      <c r="Z65">
        <f t="shared" si="1"/>
        <v>0.4073817081572163</v>
      </c>
    </row>
    <row r="66" spans="1:26" x14ac:dyDescent="0.35">
      <c r="A66" s="10" t="s">
        <v>27</v>
      </c>
      <c r="D66">
        <f>AVERAGE(D2:D9)</f>
        <v>1.3979040852397322</v>
      </c>
      <c r="E66">
        <f>AVERAGE(E2:E9)</f>
        <v>1.6496047740880395</v>
      </c>
      <c r="K66">
        <f>AVERAGE(K2:K9)</f>
        <v>1.1586829812575281</v>
      </c>
      <c r="M66">
        <f>AVERAGE(M2:M9)</f>
        <v>1.0783670471096694</v>
      </c>
      <c r="N66">
        <f>AVERAGE(N2:N9)</f>
        <v>1.2102232564240696</v>
      </c>
      <c r="O66">
        <f>AVERAGE(O2:O9)</f>
        <v>0.82927163763572154</v>
      </c>
      <c r="P66">
        <f>AVERAGE(P2:P9)</f>
        <v>1.1363429039308248</v>
      </c>
      <c r="R66">
        <f>AVERAGE(R2:R9)</f>
        <v>1.096636144853584</v>
      </c>
      <c r="S66">
        <f t="shared" ref="S66:Z66" si="2">AVERAGE(S2:S9)</f>
        <v>1.1687752939681078</v>
      </c>
      <c r="T66">
        <f t="shared" si="2"/>
        <v>1.0616224418026194</v>
      </c>
      <c r="U66" s="9">
        <f t="shared" si="2"/>
        <v>0.91356361803321673</v>
      </c>
      <c r="V66">
        <f t="shared" si="2"/>
        <v>1.0743911486225866</v>
      </c>
      <c r="W66">
        <f t="shared" si="2"/>
        <v>1.075538508515099</v>
      </c>
      <c r="X66">
        <f t="shared" si="2"/>
        <v>1.0496997944563411</v>
      </c>
      <c r="Y66">
        <f t="shared" si="2"/>
        <v>1.0692539026510772</v>
      </c>
      <c r="Z66">
        <f t="shared" si="2"/>
        <v>1.0004521030132756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pred_GDP_now</vt:lpstr>
      <vt:lpstr>error_now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lee</dc:creator>
  <cp:lastModifiedBy>조형배</cp:lastModifiedBy>
  <dcterms:created xsi:type="dcterms:W3CDTF">2026-01-07T11:42:06Z</dcterms:created>
  <dcterms:modified xsi:type="dcterms:W3CDTF">2026-01-09T07:59:21Z</dcterms:modified>
</cp:coreProperties>
</file>